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0.xml.rels" ContentType="application/vnd.openxmlformats-package.relationships+xml"/>
  <Override PartName="/xl/worksheets/_rels/sheet9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8.xml.rels" ContentType="application/vnd.openxmlformats-package.relationships+xml"/>
  <Override PartName="/xl/worksheets/sheet7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8.xml" ContentType="application/vnd.openxmlformats-officedocument.drawing+xml"/>
  <Override PartName="/xl/drawings/drawing7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8"/>
  </bookViews>
  <sheets>
    <sheet name="Introduction" sheetId="1" state="visible" r:id="rId3"/>
    <sheet name="Table of contents" sheetId="2" state="visible" r:id="rId4"/>
    <sheet name="Section 1 - Right, Left" sheetId="3" state="visible" r:id="rId5"/>
    <sheet name="Section 1 - Right, Left (ANS)" sheetId="4" state="hidden" r:id="rId6"/>
    <sheet name="Section 2 - Find, Len" sheetId="5" state="visible" r:id="rId7"/>
    <sheet name="Section 2 - Find, Len, Mid(ANS)" sheetId="6" state="hidden" r:id="rId8"/>
    <sheet name="Section 3 - Prop, Con" sheetId="7" state="visible" r:id="rId9"/>
    <sheet name="Section 3 - Prop, Con (ANS)" sheetId="8" state="hidden" r:id="rId10"/>
    <sheet name="Section 4 - Valid" sheetId="9" state="visible" r:id="rId11"/>
    <sheet name="Section 4 - Valid ANS" sheetId="10" state="hidden" r:id="rId12"/>
  </sheets>
  <definedNames>
    <definedName function="false" hidden="false" name="products" vbProcedure="false">'Section 4 - Valid ANS'!$K$59:$K$62</definedName>
    <definedName function="false" hidden="false" name="saleschannel" vbProcedure="false">'Section 4 - Valid ANS'!$L$59:$L$60</definedName>
    <definedName function="false" hidden="false" name="salesmen" vbProcedure="false">'Section 4 - Valid ANS'!$I$59:$I$66</definedName>
    <definedName function="false" hidden="false" localSheetId="8" name="products" vbProcedure="false">'Section 4 - Valid'!$K$59:$K$62</definedName>
    <definedName function="false" hidden="false" localSheetId="8" name="saleschannel" vbProcedure="false">'Section 4 - Valid'!$L$59:$L$60</definedName>
    <definedName function="false" hidden="false" localSheetId="8" name="salesmen" vbProcedure="false">'Section 4 - Valid'!$I$59:$I$66</definedName>
    <definedName function="true" hidden="false" name="ThisWorkbook.Right_Send_To_1A" vbProcedure="true"/>
    <definedName function="true" hidden="false" name="ThisWorkbook.Right_Send_To_1B" vbProcedure="true"/>
    <definedName function="true" hidden="false" name="ThisWorkbook.Right_Instruction_Send_To_1A" vbProcedure="true"/>
    <definedName function="true" hidden="false" name="ThisWorkbook.Right_Instruction_Send_To_1B" vbProcedure="true"/>
    <definedName function="true" hidden="false" name="ThisWorkbook.Find_Send_To_2A" vbProcedure="true"/>
    <definedName function="true" hidden="false" name="ThisWorkbook.Find_Send_To_2B" vbProcedure="true"/>
    <definedName function="true" hidden="false" name="ThisWorkbook.Find_Instruction_Send_To_2A" vbProcedure="true"/>
    <definedName function="true" hidden="false" name="ThisWorkbook.Find_Instruction_Send_To_2B" vbProcedure="true"/>
    <definedName function="true" hidden="false" name="ThisWorkbook.Prop_Send_To_1A" vbProcedure="true"/>
    <definedName function="true" hidden="false" name="ThisWorkbook.Prop_Send_To_1B" vbProcedure="true"/>
    <definedName function="true" hidden="false" name="ThisWorkbook.Prop_Instruction_Send_To_1A" vbProcedure="true"/>
    <definedName function="true" hidden="false" name="ThisWorkbook.Prop_Instruction_Send_To_1B" vbProcedure="true"/>
    <definedName function="true" hidden="false" name="ThisWorkbook.Valid_Send_To_1A" vbProcedure="true"/>
    <definedName function="true" hidden="false" name="ThisWorkbook.Valid_Send_To_1B" vbProcedure="true"/>
    <definedName function="true" hidden="false" name="ThisWorkbook.Valid_Instruction_Send_To_1A" vbProcedure="true"/>
    <definedName function="true" hidden="false" name="ThisWorkbook.Valid_Instruction_Send_To_1B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<sst xmlns="http://schemas.openxmlformats.org/spreadsheetml/2006/main" count="425" uniqueCount="146">
  <si>
    <t xml:space="preserve">Problem Solving with Excel </t>
  </si>
  <si>
    <t xml:space="preserve">Week 2</t>
  </si>
  <si>
    <t xml:space="preserve">Data Cleansing - Text Functions</t>
  </si>
  <si>
    <t xml:space="preserve">Summary</t>
  </si>
  <si>
    <t xml:space="preserve">Section</t>
  </si>
  <si>
    <t xml:space="preserve">Description</t>
  </si>
  <si>
    <t xml:space="preserve">Contained in Workbook</t>
  </si>
  <si>
    <t xml:space="preserve">Name of External Referenced File</t>
  </si>
  <si>
    <t xml:space="preserve">Right and Left</t>
  </si>
  <si>
    <t xml:space="preserve">Y</t>
  </si>
  <si>
    <t xml:space="preserve">NA</t>
  </si>
  <si>
    <t xml:space="preserve">Find and Len</t>
  </si>
  <si>
    <t xml:space="preserve">Proper and Concatenate</t>
  </si>
  <si>
    <t xml:space="preserve">Data Validation</t>
  </si>
  <si>
    <t xml:space="preserve">Problem 1A - Instructor Lead</t>
  </si>
  <si>
    <t xml:space="preserve">You've been given a list of product IDs. Your client would like you to extract the right section of the IDs.</t>
  </si>
  <si>
    <t xml:space="preserve">The structure of the ID's is AA-BBBB. Use the 'Right' formula to extract the 'BBBB' sections. </t>
  </si>
  <si>
    <t xml:space="preserve">Product IDs</t>
  </si>
  <si>
    <t xml:space="preserve">Product ID Extracts</t>
  </si>
  <si>
    <t xml:space="preserve">AJ-0269</t>
  </si>
  <si>
    <t xml:space="preserve">JN-2525</t>
  </si>
  <si>
    <t xml:space="preserve">VR-5512</t>
  </si>
  <si>
    <t xml:space="preserve">NR-7470</t>
  </si>
  <si>
    <t xml:space="preserve">RC-9018</t>
  </si>
  <si>
    <t xml:space="preserve">MJ-9506</t>
  </si>
  <si>
    <t xml:space="preserve">AO-2706</t>
  </si>
  <si>
    <t xml:space="preserve">NB-5160</t>
  </si>
  <si>
    <t xml:space="preserve">Problem 1B - Student Lead</t>
  </si>
  <si>
    <t xml:space="preserve">You've been given a list of product IDs. Your client would like you to extract the left section of the IDs.</t>
  </si>
  <si>
    <t xml:space="preserve">The structure of the ID's is AA-BBBB. Use the 'Left' formula to extract the 'AA' sections. </t>
  </si>
  <si>
    <t xml:space="preserve">Problem 2A - Instructor Lead</t>
  </si>
  <si>
    <t xml:space="preserve">Now there are other ID's that have variable lengths. You did so well with the first set of ID's your client wants you to do more.</t>
  </si>
  <si>
    <t xml:space="preserve">The new set of ID's has a variable structure but the sections of the ID are separated by a '-'. Use the find function to get the 'BBBB x' sections of the product IDs.</t>
  </si>
  <si>
    <t xml:space="preserve">Find('-')</t>
  </si>
  <si>
    <t xml:space="preserve">Length</t>
  </si>
  <si>
    <t xml:space="preserve">Product ID Extract</t>
  </si>
  <si>
    <t xml:space="preserve">Combined Formula</t>
  </si>
  <si>
    <t xml:space="preserve">VTYQ-2216</t>
  </si>
  <si>
    <t xml:space="preserve">YPX-382</t>
  </si>
  <si>
    <t xml:space="preserve">X-29</t>
  </si>
  <si>
    <t xml:space="preserve">ZT-97486</t>
  </si>
  <si>
    <t xml:space="preserve">LTXT-36166</t>
  </si>
  <si>
    <t xml:space="preserve">KWU-99</t>
  </si>
  <si>
    <t xml:space="preserve">VY-205</t>
  </si>
  <si>
    <t xml:space="preserve">NZX-061</t>
  </si>
  <si>
    <t xml:space="preserve">Problem 2B - Student Lead</t>
  </si>
  <si>
    <t xml:space="preserve">Now your client gives you a set of phone numbers. The phone numbers are standardized but need to be separated into area codes and phone numbers [(XXX)XXX-XXXX]</t>
  </si>
  <si>
    <t xml:space="preserve">Use the Find, length and right, left, and mid functions to separate the numbers.</t>
  </si>
  <si>
    <t xml:space="preserve">Phone Numbers</t>
  </si>
  <si>
    <t xml:space="preserve">Find("(")</t>
  </si>
  <si>
    <t xml:space="preserve">Find(')')</t>
  </si>
  <si>
    <t xml:space="preserve">Area Code</t>
  </si>
  <si>
    <t xml:space="preserve">Phone Number Section 1</t>
  </si>
  <si>
    <t xml:space="preserve">Phone Number Section 2</t>
  </si>
  <si>
    <t xml:space="preserve">(834)133-1776</t>
  </si>
  <si>
    <t xml:space="preserve">(623)560-7830</t>
  </si>
  <si>
    <t xml:space="preserve">(220)249-2610</t>
  </si>
  <si>
    <t xml:space="preserve">(444)698-6184</t>
  </si>
  <si>
    <t xml:space="preserve">(639)771-1953</t>
  </si>
  <si>
    <t xml:space="preserve">(761)431-5462</t>
  </si>
  <si>
    <t xml:space="preserve">(326)681-5891</t>
  </si>
  <si>
    <t xml:space="preserve">Now you've been given a long list of cities. However, the cities are in all capital letters. Your client would like properly formatted text.</t>
  </si>
  <si>
    <t xml:space="preserve">With these cities, use the Proper function to transform the city names. Also concatenate the city and the corresponding country using the "City, Country" convention</t>
  </si>
  <si>
    <t xml:space="preserve">Cities</t>
  </si>
  <si>
    <t xml:space="preserve">Country</t>
  </si>
  <si>
    <t xml:space="preserve">Proper</t>
  </si>
  <si>
    <t xml:space="preserve">Concatenate</t>
  </si>
  <si>
    <t xml:space="preserve">MANAUS</t>
  </si>
  <si>
    <t xml:space="preserve">Brazil</t>
  </si>
  <si>
    <t xml:space="preserve">CAMPINA GRANDE</t>
  </si>
  <si>
    <t xml:space="preserve">NATAL</t>
  </si>
  <si>
    <t xml:space="preserve">South Africa</t>
  </si>
  <si>
    <t xml:space="preserve">BELÉM</t>
  </si>
  <si>
    <t xml:space="preserve">JOÃO PESSOA</t>
  </si>
  <si>
    <t xml:space="preserve">FORTALEZA</t>
  </si>
  <si>
    <t xml:space="preserve">CASTANHAL</t>
  </si>
  <si>
    <t xml:space="preserve">MARANGUAPE</t>
  </si>
  <si>
    <t xml:space="preserve">Ceará</t>
  </si>
  <si>
    <t xml:space="preserve">Now there are a list of clients. The database, however, stored them all in uppercase. Your clients wants you fix the formatting before sending bills to them.</t>
  </si>
  <si>
    <t xml:space="preserve">Reformat the names into the proper case. Also, concatenate the names into their full names. </t>
  </si>
  <si>
    <t xml:space="preserve">First Name</t>
  </si>
  <si>
    <t xml:space="preserve">Last Name</t>
  </si>
  <si>
    <t xml:space="preserve">Full Name</t>
  </si>
  <si>
    <t xml:space="preserve">ERIC</t>
  </si>
  <si>
    <t xml:space="preserve">JOHNSON</t>
  </si>
  <si>
    <t xml:space="preserve">JOHN</t>
  </si>
  <si>
    <t xml:space="preserve">SMITH</t>
  </si>
  <si>
    <t xml:space="preserve">BETH</t>
  </si>
  <si>
    <t xml:space="preserve">SUMMERS</t>
  </si>
  <si>
    <t xml:space="preserve">MILES</t>
  </si>
  <si>
    <t xml:space="preserve">PETERSON</t>
  </si>
  <si>
    <t xml:space="preserve">JENNA</t>
  </si>
  <si>
    <t xml:space="preserve">STONE</t>
  </si>
  <si>
    <t xml:space="preserve">QUINN</t>
  </si>
  <si>
    <t xml:space="preserve">COOK</t>
  </si>
  <si>
    <t xml:space="preserve">Now there are list of clients. The database however stored them all in uppercase. Your clients wants you fix the formatting before sending bills to them.</t>
  </si>
  <si>
    <t xml:space="preserve">Data is the heart of data analysis and Excel. However, humans are extremely variable. As such, human-entry data is very variable, which causes issues all the time. How do we solve for that?</t>
  </si>
  <si>
    <t xml:space="preserve">Data Validation prevents or limits the possible entries into Excel. Below is a completed form that needs to be maintained. Use Data Validation to keep data consistent. Recreate the form below using data validation.</t>
  </si>
  <si>
    <t xml:space="preserve">Date Sold</t>
  </si>
  <si>
    <t xml:space="preserve">Month Sold</t>
  </si>
  <si>
    <t xml:space="preserve">Quantity</t>
  </si>
  <si>
    <t xml:space="preserve">Unit Price</t>
  </si>
  <si>
    <t xml:space="preserve">Revenue</t>
  </si>
  <si>
    <t xml:space="preserve">&lt;Date&gt;</t>
  </si>
  <si>
    <t xml:space="preserve">&lt;Whole Number&gt;</t>
  </si>
  <si>
    <t xml:space="preserve">&lt;Decimal&gt;</t>
  </si>
  <si>
    <t xml:space="preserve">Now sales need to be recorded. There are 5 products sold by 8 sales people. However, you can see they enter-in data very differently from salesperson to salesperson. </t>
  </si>
  <si>
    <t xml:space="preserve">Use data validation to prevent sales entry errors. </t>
  </si>
  <si>
    <t xml:space="preserve">Distributor Name</t>
  </si>
  <si>
    <t xml:space="preserve">Product </t>
  </si>
  <si>
    <t xml:space="preserve">Sales Channel</t>
  </si>
  <si>
    <t xml:space="preserve">Devin Abbott</t>
  </si>
  <si>
    <t xml:space="preserve">SUPA105</t>
  </si>
  <si>
    <t xml:space="preserve">Online</t>
  </si>
  <si>
    <t xml:space="preserve">Friday Jul 1</t>
  </si>
  <si>
    <t xml:space="preserve">Aphrodite Brennan</t>
  </si>
  <si>
    <t xml:space="preserve">Super Soft Bulk - 2 Litres</t>
  </si>
  <si>
    <t xml:space="preserve">Direct</t>
  </si>
  <si>
    <t xml:space="preserve">Jul14</t>
  </si>
  <si>
    <t xml:space="preserve">one hundred ninety nine</t>
  </si>
  <si>
    <t xml:space="preserve">Guinevere Key</t>
  </si>
  <si>
    <t xml:space="preserve">SUPA104</t>
  </si>
  <si>
    <t xml:space="preserve">Retail</t>
  </si>
  <si>
    <t xml:space="preserve">15-Jun</t>
  </si>
  <si>
    <t xml:space="preserve">seventy five</t>
  </si>
  <si>
    <t xml:space="preserve">Zahir Fields</t>
  </si>
  <si>
    <t xml:space="preserve">Super Soft - 1 Litre</t>
  </si>
  <si>
    <t xml:space="preserve">15-5-2016</t>
  </si>
  <si>
    <t xml:space="preserve">Deacon Craig</t>
  </si>
  <si>
    <t xml:space="preserve">Detafast Stain Remover - 800ml</t>
  </si>
  <si>
    <t xml:space="preserve">16-02</t>
  </si>
  <si>
    <t xml:space="preserve">Brynne Mcgowan</t>
  </si>
  <si>
    <t xml:space="preserve">DETA800</t>
  </si>
  <si>
    <t xml:space="preserve">Tuesday, 14-May</t>
  </si>
  <si>
    <t xml:space="preserve">Lani Sweet</t>
  </si>
  <si>
    <t xml:space="preserve">PURA250</t>
  </si>
  <si>
    <t xml:space="preserve">Noble Warner</t>
  </si>
  <si>
    <t xml:space="preserve">Pure Soft Detergent - 250ml</t>
  </si>
  <si>
    <t xml:space="preserve">&lt;List&gt;</t>
  </si>
  <si>
    <t xml:space="preserve">&lt;Decimal</t>
  </si>
  <si>
    <t xml:space="preserve">Salesmen</t>
  </si>
  <si>
    <t xml:space="preserve">Products</t>
  </si>
  <si>
    <t xml:space="preserve">Data is the heart of data analysis and excel. However, humans are extremely variable. As such, human-entry data is very variable, which causes issues all the time. How do we solve for that?</t>
  </si>
  <si>
    <t xml:space="preserve">Data Validation prevents or limits the possible entries into Excel. Below is a completed form and needs to be maintained. Use Data Validation to keep data consistent. Recreate the form below using data validation.</t>
  </si>
  <si>
    <t xml:space="preserve">Problem 1B -Student Lead</t>
  </si>
  <si>
    <t xml:space="preserve">Now sales need to be recorded. There are 5 products sold by 8 salesmen. However, you can see they enter in data very differently from salesman to salesman. </t>
  </si>
</sst>
</file>

<file path=xl/styles.xml><?xml version="1.0" encoding="utf-8"?>
<styleSheet xmlns="http://schemas.openxmlformats.org/spreadsheetml/2006/main">
  <numFmts count="12">
    <numFmt numFmtId="164" formatCode="_(* #,##0_);_(* \(#,##0\);_(* \-_);@_)"/>
    <numFmt numFmtId="165" formatCode="General"/>
    <numFmt numFmtId="166" formatCode="0%_);\(0%\)"/>
    <numFmt numFmtId="167" formatCode="@"/>
    <numFmt numFmtId="168" formatCode="_(* #,##0.00_);_(* \(#,##0.00\);_(* \-??_);_(@_)"/>
    <numFmt numFmtId="169" formatCode="_(\$* #,##0.00_);_(\$* \(#,##0.00\);_(\$* \-??_);_(@_)"/>
    <numFmt numFmtId="170" formatCode="M/D/YYYY"/>
    <numFmt numFmtId="171" formatCode="0"/>
    <numFmt numFmtId="172" formatCode="#,##0"/>
    <numFmt numFmtId="173" formatCode="\$#,##0.00_);[RED]&quot;($&quot;#,##0.00\)"/>
    <numFmt numFmtId="174" formatCode="_(\$* #,##0_);_(\$* \(#,##0\);_(\$* \-??_);_(@_)"/>
    <numFmt numFmtId="175" formatCode="\$#,##0.00_);&quot;($&quot;#,##0.00\)"/>
  </numFmts>
  <fonts count="21">
    <font>
      <sz val="9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9"/>
      <color rgb="FF602320"/>
      <name val="Calibri"/>
      <family val="2"/>
      <charset val="1"/>
    </font>
    <font>
      <sz val="8"/>
      <color rgb="FF000000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b val="true"/>
      <sz val="11"/>
      <color rgb="FF602320"/>
      <name val="Calibri"/>
      <family val="2"/>
      <charset val="1"/>
    </font>
    <font>
      <b val="true"/>
      <sz val="14"/>
      <color rgb="FF7A1818"/>
      <name val="Calibri"/>
      <family val="2"/>
      <charset val="1"/>
    </font>
    <font>
      <b val="true"/>
      <sz val="10"/>
      <color rgb="FF7A1818"/>
      <name val="Arial"/>
      <family val="2"/>
      <charset val="1"/>
    </font>
    <font>
      <b val="true"/>
      <sz val="9"/>
      <color rgb="FF602320"/>
      <name val="Arial"/>
      <family val="2"/>
      <charset val="1"/>
    </font>
    <font>
      <sz val="10"/>
      <name val="Calibri"/>
      <family val="2"/>
      <charset val="1"/>
    </font>
    <font>
      <b val="true"/>
      <u val="single"/>
      <sz val="14"/>
      <color rgb="FF602320"/>
      <name val="Calibri"/>
      <family val="2"/>
      <charset val="1"/>
    </font>
    <font>
      <b val="true"/>
      <sz val="10"/>
      <color rgb="FFFFFFFF"/>
      <name val="Arial"/>
      <family val="2"/>
      <charset val="1"/>
    </font>
    <font>
      <sz val="10"/>
      <color rgb="FF000000"/>
      <name val="Calibri"/>
      <family val="2"/>
      <charset val="1"/>
    </font>
    <font>
      <sz val="10"/>
      <color rgb="FF602320"/>
      <name val="Arial"/>
      <family val="2"/>
      <charset val="1"/>
    </font>
    <font>
      <b val="true"/>
      <sz val="12"/>
      <color rgb="FF000000"/>
      <name val="Calibri"/>
      <family val="0"/>
      <charset val="1"/>
    </font>
    <font>
      <b val="true"/>
      <sz val="10"/>
      <color rgb="FFA32020"/>
      <name val="Calibri"/>
      <family val="2"/>
      <charset val="1"/>
    </font>
    <font>
      <b val="true"/>
      <sz val="10"/>
      <name val="Calibri"/>
      <family val="2"/>
      <charset val="1"/>
    </font>
    <font>
      <b val="true"/>
      <sz val="12"/>
      <color rgb="FFFF0000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CD4B6"/>
        <bgColor rgb="FFECC7C6"/>
      </patternFill>
    </fill>
    <fill>
      <patternFill patternType="solid">
        <fgColor rgb="FFE8E6DF"/>
        <bgColor rgb="FFF2F2F2"/>
      </patternFill>
    </fill>
    <fill>
      <patternFill patternType="solid">
        <fgColor rgb="FFF2F2F2"/>
        <bgColor rgb="FFE8E6DF"/>
      </patternFill>
    </fill>
    <fill>
      <patternFill patternType="solid">
        <fgColor rgb="FF602320"/>
        <bgColor rgb="FF7A1818"/>
      </patternFill>
    </fill>
    <fill>
      <patternFill patternType="solid">
        <fgColor rgb="FFF3ACA5"/>
        <bgColor rgb="FFECC7C6"/>
      </patternFill>
    </fill>
    <fill>
      <patternFill patternType="solid">
        <fgColor rgb="FFFFFFFF"/>
        <bgColor rgb="FFF2F2F2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602320"/>
      </bottom>
      <diagonal/>
    </border>
    <border diagonalUp="false" diagonalDown="false">
      <left/>
      <right/>
      <top style="medium">
        <color rgb="FF602320"/>
      </top>
      <bottom/>
      <diagonal/>
    </border>
    <border diagonalUp="false" diagonalDown="false">
      <left/>
      <right/>
      <top style="thin">
        <color rgb="FF602320"/>
      </top>
      <bottom/>
      <diagonal/>
    </border>
    <border diagonalUp="false" diagonalDown="false">
      <left/>
      <right/>
      <top style="thin">
        <color rgb="FF602320"/>
      </top>
      <bottom style="medium">
        <color rgb="FF602320"/>
      </bottom>
      <diagonal/>
    </border>
    <border diagonalUp="false" diagonalDown="false">
      <left/>
      <right/>
      <top style="medium">
        <color rgb="FF602320"/>
      </top>
      <bottom style="hair">
        <color rgb="FF602320"/>
      </bottom>
      <diagonal/>
    </border>
    <border diagonalUp="false" diagonalDown="false">
      <left/>
      <right/>
      <top style="hair">
        <color rgb="FF602320"/>
      </top>
      <bottom style="hair">
        <color rgb="FF602320"/>
      </bottom>
      <diagonal/>
    </border>
    <border diagonalUp="false" diagonalDown="false">
      <left/>
      <right/>
      <top/>
      <bottom style="thin">
        <color rgb="FF602320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>
        <color rgb="FF602320"/>
      </top>
      <bottom style="thin">
        <color rgb="FF602320"/>
      </bottom>
      <diagonal/>
    </border>
  </borders>
  <cellStyleXfs count="3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true" applyAlignment="true" applyProtection="false">
      <alignment horizontal="general" vertical="bottom" textRotation="0" wrapText="false" indent="0" shrinkToFit="false"/>
    </xf>
    <xf numFmtId="165" fontId="5" fillId="0" borderId="1" applyFont="true" applyBorder="true" applyAlignment="true" applyProtection="false">
      <alignment horizontal="right" vertical="bottom" textRotation="0" wrapText="true" indent="0" shrinkToFit="false"/>
    </xf>
    <xf numFmtId="165" fontId="5" fillId="0" borderId="0" applyFont="true" applyBorder="true" applyAlignment="true" applyProtection="false">
      <alignment horizontal="general" vertical="bottom" textRotation="0" wrapText="true" indent="0" shrinkToFit="false"/>
    </xf>
    <xf numFmtId="165" fontId="5" fillId="0" borderId="2" applyFont="true" applyBorder="true" applyAlignment="true" applyProtection="false">
      <alignment horizontal="general" vertical="bottom" textRotation="0" wrapText="true" indent="0" shrinkToFit="false"/>
    </xf>
    <xf numFmtId="164" fontId="7" fillId="0" borderId="3" applyFont="true" applyBorder="true" applyAlignment="true" applyProtection="false">
      <alignment horizontal="general" vertical="bottom" textRotation="0" wrapText="false" indent="0" shrinkToFit="false"/>
    </xf>
    <xf numFmtId="165" fontId="8" fillId="0" borderId="0" applyFont="true" applyBorder="true" applyAlignment="true" applyProtection="false">
      <alignment horizontal="general" vertical="bottom" textRotation="0" wrapText="false" indent="0" shrinkToFit="false"/>
    </xf>
    <xf numFmtId="164" fontId="7" fillId="0" borderId="4" applyFont="true" applyBorder="true" applyAlignment="true" applyProtection="false">
      <alignment horizontal="general" vertical="bottom" textRotation="0" wrapText="false" indent="0" shrinkToFit="false"/>
    </xf>
    <xf numFmtId="167" fontId="11" fillId="0" borderId="1" applyFont="true" applyBorder="true" applyAlignment="true" applyProtection="false">
      <alignment horizontal="right" vertical="bottom" textRotation="0" wrapText="true" indent="0" shrinkToFit="false"/>
    </xf>
  </cellStyleXfs>
  <cellXfs count="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1" xfId="34" applyFont="true" applyBorder="false" applyAlignment="false" applyProtection="true">
      <alignment horizontal="right" vertical="bottom" textRotation="0" wrapText="true" indent="0" shrinkToFit="false"/>
      <protection locked="true" hidden="false"/>
    </xf>
    <xf numFmtId="167" fontId="5" fillId="0" borderId="1" xfId="34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5" fontId="5" fillId="4" borderId="5" xfId="34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8" fontId="12" fillId="0" borderId="6" xfId="15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12" fillId="0" borderId="6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4" borderId="6" xfId="34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4" fillId="0" borderId="0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3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5" borderId="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5" fillId="0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16" fillId="6" borderId="0" xfId="17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8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7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5" fontId="4" fillId="0" borderId="0" xfId="2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4" fillId="5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0" fontId="16" fillId="0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1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1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16" fillId="0" borderId="9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4" fontId="4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4" fillId="5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14" fillId="5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72" fontId="14" fillId="5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4" fillId="5" borderId="0" xfId="17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14" fillId="5" borderId="9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16" fillId="0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5" fontId="4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6" fillId="7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6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6" fillId="0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21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" xfId="20" builtinId="53" customBuiltin="true"/>
    <cellStyle name="Normal 3" xfId="21" builtinId="53" customBuiltin="true"/>
    <cellStyle name="Smart Bold" xfId="22" builtinId="53" customBuiltin="true"/>
    <cellStyle name="Smart Forecast" xfId="23" builtinId="53" customBuiltin="true"/>
    <cellStyle name="Smart General" xfId="24" builtinId="53" customBuiltin="true"/>
    <cellStyle name="Smart Highlight" xfId="25" builtinId="53" customBuiltin="true"/>
    <cellStyle name="Smart Percent" xfId="26" builtinId="53" customBuiltin="true"/>
    <cellStyle name="Smart Source" xfId="27" builtinId="53" customBuiltin="true"/>
    <cellStyle name="Smart Subtitle 1" xfId="28" builtinId="53" customBuiltin="true"/>
    <cellStyle name="Smart Subtitle 2" xfId="29" builtinId="53" customBuiltin="true"/>
    <cellStyle name="Smart Subtitle 3" xfId="30" builtinId="53" customBuiltin="true"/>
    <cellStyle name="Smart Subtotal" xfId="31" builtinId="53" customBuiltin="true"/>
    <cellStyle name="Smart Title" xfId="32" builtinId="53" customBuiltin="true"/>
    <cellStyle name="Smart Total" xfId="33" builtinId="53" customBuiltin="true"/>
    <cellStyle name="Excel Built-in Heading 1" xfId="34" builtinId="53" customBuiltin="true"/>
  </cellStyles>
  <dxfs count="6">
    <dxf>
      <fill>
        <patternFill>
          <bgColor rgb="FFECC7C6"/>
        </patternFill>
      </fill>
    </dxf>
    <dxf>
      <fill>
        <patternFill>
          <bgColor rgb="FFECC7C6"/>
        </patternFill>
      </fill>
    </dxf>
    <dxf>
      <fill>
        <patternFill>
          <bgColor rgb="FFECC7C6"/>
        </patternFill>
      </fill>
    </dxf>
    <dxf>
      <fill>
        <patternFill>
          <bgColor rgb="FFECC7C6"/>
        </patternFill>
      </fill>
    </dxf>
    <dxf>
      <fill>
        <patternFill>
          <bgColor rgb="FFECC7C6"/>
        </patternFill>
      </fill>
    </dxf>
    <dxf>
      <fill>
        <patternFill>
          <bgColor rgb="FFECC7C6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A1818"/>
      <rgbColor rgb="FF008000"/>
      <rgbColor rgb="FF000080"/>
      <rgbColor rgb="FF808000"/>
      <rgbColor rgb="FF800080"/>
      <rgbColor rgb="FF008080"/>
      <rgbColor rgb="FFECC7C6"/>
      <rgbColor rgb="FF808080"/>
      <rgbColor rgb="FF9999FF"/>
      <rgbColor rgb="FF993366"/>
      <rgbColor rgb="FFF2F2F2"/>
      <rgbColor rgb="FFCCFFFF"/>
      <rgbColor rgb="FF660066"/>
      <rgbColor rgb="FFDB536A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8E6DF"/>
      <rgbColor rgb="FFFFFF99"/>
      <rgbColor rgb="FF99CCFF"/>
      <rgbColor rgb="FFF3ACA5"/>
      <rgbColor rgb="FFCC99FF"/>
      <rgbColor rgb="FFFCD4B6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A32020"/>
      <rgbColor rgb="FF993366"/>
      <rgbColor rgb="FF333399"/>
      <rgbColor rgb="FF60232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" activeCellId="1" sqref="E30:E36 G2"/>
    </sheetView>
  </sheetViews>
  <sheetFormatPr defaultRowHeight="12" zeroHeight="false" outlineLevelRow="0" outlineLevelCol="0"/>
  <cols>
    <col collapsed="false" customWidth="true" hidden="false" outlineLevel="0" max="1025" min="1" style="0" width="9"/>
  </cols>
  <sheetData>
    <row r="1" customFormat="false" ht="18.5" hidden="false" customHeight="false" outlineLevel="0" collapsed="false">
      <c r="A1" s="1" t="s">
        <v>0</v>
      </c>
    </row>
    <row r="2" customFormat="false" ht="18.5" hidden="false" customHeight="false" outlineLevel="0" collapsed="false">
      <c r="A2" s="1" t="s">
        <v>1</v>
      </c>
    </row>
    <row r="3" customFormat="false" ht="18.5" hidden="false" customHeight="false" outlineLevel="0" collapsed="false">
      <c r="A3" s="1" t="s">
        <v>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11"/>
  <sheetViews>
    <sheetView showFormulas="false" showGridLines="false" showRowColHeaders="true" showZeros="true" rightToLeft="false" tabSelected="false" showOutlineSymbols="true" defaultGridColor="true" view="normal" topLeftCell="A1" colorId="64" zoomScale="86" zoomScaleNormal="86" zoomScalePageLayoutView="100" workbookViewId="0">
      <selection pane="topLeft" activeCell="D2" activeCellId="1" sqref="E30:E36 D2"/>
    </sheetView>
  </sheetViews>
  <sheetFormatPr defaultRowHeight="12.5" zeroHeight="false" outlineLevelRow="0" outlineLevelCol="0"/>
  <cols>
    <col collapsed="false" customWidth="true" hidden="false" outlineLevel="0" max="1" min="1" style="2" width="9.34"/>
    <col collapsed="false" customWidth="true" hidden="false" outlineLevel="0" max="2" min="2" style="2" width="10.78"/>
    <col collapsed="false" customWidth="true" hidden="false" outlineLevel="0" max="3" min="3" style="2" width="34.33"/>
    <col collapsed="false" customWidth="true" hidden="false" outlineLevel="0" max="4" min="4" style="2" width="29"/>
    <col collapsed="false" customWidth="true" hidden="false" outlineLevel="0" max="5" min="5" style="2" width="40.78"/>
    <col collapsed="false" customWidth="true" hidden="false" outlineLevel="0" max="1025" min="6" style="2" width="9.34"/>
  </cols>
  <sheetData>
    <row r="1" customFormat="false" ht="13" hidden="false" customHeight="false" outlineLevel="0" collapsed="false">
      <c r="A1" s="3" t="str">
        <f aca="false">Introduction!A1</f>
        <v>Problem Solving with Excel </v>
      </c>
    </row>
    <row r="2" customFormat="false" ht="13" hidden="false" customHeight="false" outlineLevel="0" collapsed="false">
      <c r="A2" s="3" t="str">
        <f aca="false">Introduction!A2</f>
        <v>Week 2</v>
      </c>
    </row>
    <row r="3" customFormat="false" ht="13" hidden="false" customHeight="false" outlineLevel="0" collapsed="false">
      <c r="A3" s="3" t="str">
        <f aca="false">Introduction!A3</f>
        <v>Data Cleansing - Text Functions</v>
      </c>
    </row>
    <row r="4" customFormat="false" ht="13" hidden="false" customHeight="false" outlineLevel="0" collapsed="false">
      <c r="A4" s="3" t="s">
        <v>3</v>
      </c>
    </row>
    <row r="7" customFormat="false" ht="13.5" hidden="false" customHeight="false" outlineLevel="0" collapsed="false">
      <c r="B7" s="4" t="s">
        <v>4</v>
      </c>
      <c r="C7" s="5" t="s">
        <v>5</v>
      </c>
      <c r="D7" s="4" t="s">
        <v>6</v>
      </c>
      <c r="E7" s="4" t="s">
        <v>7</v>
      </c>
    </row>
    <row r="8" customFormat="false" ht="13" hidden="false" customHeight="false" outlineLevel="0" collapsed="false">
      <c r="B8" s="6" t="n">
        <v>1</v>
      </c>
      <c r="C8" s="7" t="s">
        <v>8</v>
      </c>
      <c r="D8" s="8" t="s">
        <v>9</v>
      </c>
      <c r="E8" s="8" t="s">
        <v>10</v>
      </c>
    </row>
    <row r="9" customFormat="false" ht="13" hidden="false" customHeight="false" outlineLevel="0" collapsed="false">
      <c r="B9" s="9" t="n">
        <v>2</v>
      </c>
      <c r="C9" s="7" t="s">
        <v>11</v>
      </c>
      <c r="D9" s="8" t="s">
        <v>9</v>
      </c>
      <c r="E9" s="8" t="s">
        <v>10</v>
      </c>
    </row>
    <row r="10" customFormat="false" ht="13" hidden="false" customHeight="false" outlineLevel="0" collapsed="false">
      <c r="B10" s="9" t="n">
        <v>3</v>
      </c>
      <c r="C10" s="7" t="s">
        <v>12</v>
      </c>
      <c r="D10" s="8" t="s">
        <v>9</v>
      </c>
      <c r="E10" s="8" t="s">
        <v>10</v>
      </c>
    </row>
    <row r="11" customFormat="false" ht="13" hidden="false" customHeight="false" outlineLevel="0" collapsed="false">
      <c r="B11" s="9" t="n">
        <v>4</v>
      </c>
      <c r="C11" s="7" t="s">
        <v>13</v>
      </c>
      <c r="D11" s="8" t="s">
        <v>9</v>
      </c>
      <c r="E11" s="8" t="s">
        <v>10</v>
      </c>
    </row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61"/>
  <sheetViews>
    <sheetView showFormulas="false" showGridLines="false" showRowColHeaders="true" showZeros="true" rightToLeft="false" tabSelected="false" showOutlineSymbols="true" defaultGridColor="true" view="normal" topLeftCell="A19" colorId="64" zoomScale="80" zoomScaleNormal="80" zoomScalePageLayoutView="100" workbookViewId="0">
      <selection pane="topLeft" activeCell="C34" activeCellId="1" sqref="E30:E36 C34"/>
    </sheetView>
  </sheetViews>
  <sheetFormatPr defaultRowHeight="12.5" zeroHeight="false" outlineLevelRow="1" outlineLevelCol="0"/>
  <cols>
    <col collapsed="false" customWidth="true" hidden="false" outlineLevel="0" max="1" min="1" style="2" width="9.34"/>
    <col collapsed="false" customWidth="true" hidden="false" outlineLevel="0" max="8" min="2" style="2" width="24.77"/>
    <col collapsed="false" customWidth="true" hidden="false" outlineLevel="0" max="9" min="9" style="2" width="10.66"/>
    <col collapsed="false" customWidth="true" hidden="false" outlineLevel="0" max="1025" min="10" style="2" width="9.34"/>
  </cols>
  <sheetData>
    <row r="1" customFormat="false" ht="13" hidden="false" customHeight="false" outlineLevel="0" collapsed="false">
      <c r="A1" s="3" t="str">
        <f aca="false">Introduction!A1</f>
        <v>Problem Solving with Excel </v>
      </c>
    </row>
    <row r="2" customFormat="false" ht="13" hidden="false" customHeight="false" outlineLevel="0" collapsed="false">
      <c r="A2" s="3" t="str">
        <f aca="false">Introduction!A2</f>
        <v>Week 2</v>
      </c>
    </row>
    <row r="3" customFormat="false" ht="13" hidden="false" customHeight="false" outlineLevel="0" collapsed="false">
      <c r="A3" s="3" t="str">
        <f aca="false">Introduction!A3</f>
        <v>Data Cleansing - Text Functions</v>
      </c>
    </row>
    <row r="4" customFormat="false" ht="13" hidden="false" customHeight="false" outlineLevel="0" collapsed="false">
      <c r="A4" s="3"/>
    </row>
    <row r="5" customFormat="false" ht="12.5" hidden="false" customHeight="false" outlineLevel="0" collapsed="false">
      <c r="P5" s="10"/>
    </row>
    <row r="7" customFormat="false" ht="18.5" hidden="false" customHeight="false" outlineLevel="0" collapsed="false">
      <c r="B7" s="11" t="s">
        <v>14</v>
      </c>
    </row>
    <row r="8" customFormat="false" ht="12.5" hidden="false" customHeight="false" outlineLevel="1" collapsed="false"/>
    <row r="9" customFormat="false" ht="12.5" hidden="false" customHeight="false" outlineLevel="1" collapsed="false">
      <c r="B9" s="2" t="s">
        <v>15</v>
      </c>
    </row>
    <row r="10" customFormat="false" ht="12.5" hidden="false" customHeight="false" outlineLevel="1" collapsed="false">
      <c r="B10" s="2" t="s">
        <v>16</v>
      </c>
    </row>
    <row r="11" customFormat="false" ht="12.5" hidden="false" customHeight="false" outlineLevel="1" collapsed="false"/>
    <row r="12" customFormat="false" ht="13" hidden="false" customHeight="false" outlineLevel="1" collapsed="false">
      <c r="B12" s="12" t="s">
        <v>17</v>
      </c>
      <c r="C12" s="12" t="s">
        <v>18</v>
      </c>
    </row>
    <row r="13" customFormat="false" ht="12.8" hidden="false" customHeight="false" outlineLevel="1" collapsed="false">
      <c r="B13" s="13" t="s">
        <v>19</v>
      </c>
      <c r="C13" s="14" t="str">
        <f aca="false">RIGHT(B13,4)</f>
        <v>0269</v>
      </c>
    </row>
    <row r="14" customFormat="false" ht="12.8" hidden="false" customHeight="false" outlineLevel="1" collapsed="false">
      <c r="B14" s="13" t="s">
        <v>20</v>
      </c>
      <c r="C14" s="14" t="str">
        <f aca="false">RIGHT(B14,4)</f>
        <v>2525</v>
      </c>
    </row>
    <row r="15" customFormat="false" ht="12.8" hidden="false" customHeight="false" outlineLevel="1" collapsed="false">
      <c r="B15" s="13" t="s">
        <v>21</v>
      </c>
      <c r="C15" s="14" t="str">
        <f aca="false">RIGHT(B15,4)</f>
        <v>5512</v>
      </c>
    </row>
    <row r="16" customFormat="false" ht="12.8" hidden="false" customHeight="false" outlineLevel="1" collapsed="false">
      <c r="B16" s="13" t="s">
        <v>22</v>
      </c>
      <c r="C16" s="14" t="str">
        <f aca="false">RIGHT(B16,4)</f>
        <v>7470</v>
      </c>
    </row>
    <row r="17" customFormat="false" ht="12.8" hidden="false" customHeight="false" outlineLevel="1" collapsed="false">
      <c r="B17" s="13" t="s">
        <v>23</v>
      </c>
      <c r="C17" s="14" t="str">
        <f aca="false">RIGHT(B17,4)</f>
        <v>9018</v>
      </c>
    </row>
    <row r="18" customFormat="false" ht="12.8" hidden="false" customHeight="false" outlineLevel="1" collapsed="false">
      <c r="B18" s="13" t="s">
        <v>24</v>
      </c>
      <c r="C18" s="14" t="str">
        <f aca="false">RIGHT(B18,4)</f>
        <v>9506</v>
      </c>
    </row>
    <row r="19" customFormat="false" ht="12.8" hidden="false" customHeight="false" outlineLevel="1" collapsed="false">
      <c r="B19" s="13" t="s">
        <v>25</v>
      </c>
      <c r="C19" s="14" t="str">
        <f aca="false">RIGHT(B19,4)</f>
        <v>2706</v>
      </c>
    </row>
    <row r="20" customFormat="false" ht="12.8" hidden="false" customHeight="false" outlineLevel="1" collapsed="false">
      <c r="B20" s="13" t="s">
        <v>26</v>
      </c>
      <c r="C20" s="14" t="str">
        <f aca="false">RIGHT(B20,4)</f>
        <v>5160</v>
      </c>
    </row>
    <row r="21" customFormat="false" ht="12.5" hidden="false" customHeight="false" outlineLevel="1" collapsed="false"/>
    <row r="22" customFormat="false" ht="13" hidden="false" customHeight="false" outlineLevel="1" collapsed="false"/>
    <row r="23" customFormat="false" ht="12.5" hidden="false" customHeight="false" outlineLevel="1" collapsed="false"/>
    <row r="24" customFormat="false" ht="12.5" hidden="false" customHeight="false" outlineLevel="1" collapsed="false"/>
    <row r="25" customFormat="false" ht="12.5" hidden="false" customHeight="false" outlineLevel="1" collapsed="false"/>
    <row r="26" customFormat="false" ht="12.5" hidden="false" customHeight="false" outlineLevel="1" collapsed="false"/>
    <row r="27" customFormat="false" ht="12.5" hidden="false" customHeight="false" outlineLevel="1" collapsed="false"/>
    <row r="28" customFormat="false" ht="18.5" hidden="false" customHeight="false" outlineLevel="0" collapsed="false">
      <c r="B28" s="11" t="s">
        <v>27</v>
      </c>
    </row>
    <row r="29" customFormat="false" ht="12.5" hidden="false" customHeight="false" outlineLevel="1" collapsed="false"/>
    <row r="30" customFormat="false" ht="12.5" hidden="false" customHeight="false" outlineLevel="1" collapsed="false">
      <c r="B30" s="2" t="s">
        <v>28</v>
      </c>
    </row>
    <row r="31" customFormat="false" ht="12.5" hidden="false" customHeight="false" outlineLevel="1" collapsed="false">
      <c r="B31" s="2" t="s">
        <v>29</v>
      </c>
    </row>
    <row r="32" customFormat="false" ht="12.5" hidden="false" customHeight="false" outlineLevel="1" collapsed="false"/>
    <row r="33" customFormat="false" ht="13" hidden="false" customHeight="false" outlineLevel="1" collapsed="false">
      <c r="B33" s="12" t="s">
        <v>17</v>
      </c>
      <c r="C33" s="12" t="s">
        <v>18</v>
      </c>
    </row>
    <row r="34" customFormat="false" ht="12.8" hidden="false" customHeight="false" outlineLevel="1" collapsed="false">
      <c r="B34" s="13" t="s">
        <v>19</v>
      </c>
      <c r="C34" s="14" t="str">
        <f aca="false">LEFT(B34,2)</f>
        <v>AJ</v>
      </c>
    </row>
    <row r="35" customFormat="false" ht="12.8" hidden="false" customHeight="false" outlineLevel="1" collapsed="false">
      <c r="B35" s="13" t="s">
        <v>20</v>
      </c>
      <c r="C35" s="14" t="str">
        <f aca="false">LEFT(B35,2)</f>
        <v>JN</v>
      </c>
    </row>
    <row r="36" customFormat="false" ht="12.8" hidden="false" customHeight="false" outlineLevel="1" collapsed="false">
      <c r="B36" s="13" t="s">
        <v>21</v>
      </c>
      <c r="C36" s="14" t="str">
        <f aca="false">LEFT(B36,2)</f>
        <v>VR</v>
      </c>
    </row>
    <row r="37" customFormat="false" ht="12.8" hidden="false" customHeight="false" outlineLevel="1" collapsed="false">
      <c r="B37" s="13" t="s">
        <v>22</v>
      </c>
      <c r="C37" s="14" t="str">
        <f aca="false">LEFT(B37,2)</f>
        <v>NR</v>
      </c>
    </row>
    <row r="38" customFormat="false" ht="12.8" hidden="false" customHeight="false" outlineLevel="1" collapsed="false">
      <c r="B38" s="13" t="s">
        <v>23</v>
      </c>
      <c r="C38" s="14" t="str">
        <f aca="false">LEFT(B38,2)</f>
        <v>RC</v>
      </c>
    </row>
    <row r="39" customFormat="false" ht="12.8" hidden="false" customHeight="false" outlineLevel="1" collapsed="false">
      <c r="B39" s="13" t="s">
        <v>24</v>
      </c>
      <c r="C39" s="14" t="str">
        <f aca="false">LEFT(B39,2)</f>
        <v>MJ</v>
      </c>
    </row>
    <row r="40" customFormat="false" ht="12.8" hidden="false" customHeight="false" outlineLevel="1" collapsed="false">
      <c r="B40" s="13" t="s">
        <v>25</v>
      </c>
      <c r="C40" s="14" t="str">
        <f aca="false">LEFT(B40,2)</f>
        <v>AO</v>
      </c>
    </row>
    <row r="41" customFormat="false" ht="12.8" hidden="false" customHeight="false" outlineLevel="1" collapsed="false">
      <c r="B41" s="13" t="s">
        <v>26</v>
      </c>
      <c r="C41" s="14" t="str">
        <f aca="false">LEFT(B41,2)</f>
        <v>NB</v>
      </c>
    </row>
    <row r="61" customFormat="false" ht="18.5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DB536A"/>
    <pageSetUpPr fitToPage="false"/>
  </sheetPr>
  <dimension ref="A1:P61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33" activeCellId="1" sqref="E30:E36 D33"/>
    </sheetView>
  </sheetViews>
  <sheetFormatPr defaultRowHeight="12.5" zeroHeight="false" outlineLevelRow="1" outlineLevelCol="0"/>
  <cols>
    <col collapsed="false" customWidth="true" hidden="false" outlineLevel="0" max="1" min="1" style="2" width="9.34"/>
    <col collapsed="false" customWidth="true" hidden="false" outlineLevel="0" max="8" min="2" style="2" width="24.77"/>
    <col collapsed="false" customWidth="true" hidden="false" outlineLevel="0" max="10" min="9" style="2" width="10.66"/>
    <col collapsed="false" customWidth="true" hidden="false" outlineLevel="0" max="1025" min="11" style="2" width="9.34"/>
  </cols>
  <sheetData>
    <row r="1" customFormat="false" ht="13" hidden="false" customHeight="false" outlineLevel="0" collapsed="false">
      <c r="A1" s="3" t="str">
        <f aca="false">Introduction!A1</f>
        <v>Problem Solving with Excel </v>
      </c>
    </row>
    <row r="2" customFormat="false" ht="13" hidden="false" customHeight="false" outlineLevel="0" collapsed="false">
      <c r="A2" s="3" t="str">
        <f aca="false">Introduction!A2</f>
        <v>Week 2</v>
      </c>
    </row>
    <row r="3" customFormat="false" ht="13" hidden="false" customHeight="false" outlineLevel="0" collapsed="false">
      <c r="A3" s="3" t="str">
        <f aca="false">Introduction!A3</f>
        <v>Data Cleansing - Text Functions</v>
      </c>
    </row>
    <row r="4" customFormat="false" ht="13" hidden="false" customHeight="false" outlineLevel="0" collapsed="false">
      <c r="A4" s="3"/>
    </row>
    <row r="5" customFormat="false" ht="12.5" hidden="false" customHeight="false" outlineLevel="0" collapsed="false">
      <c r="P5" s="10"/>
    </row>
    <row r="7" customFormat="false" ht="18.5" hidden="false" customHeight="false" outlineLevel="0" collapsed="false">
      <c r="B7" s="11" t="s">
        <v>14</v>
      </c>
    </row>
    <row r="8" customFormat="false" ht="12.5" hidden="false" customHeight="false" outlineLevel="1" collapsed="false"/>
    <row r="9" customFormat="false" ht="12.5" hidden="false" customHeight="false" outlineLevel="1" collapsed="false">
      <c r="B9" s="2" t="s">
        <v>15</v>
      </c>
    </row>
    <row r="10" customFormat="false" ht="12.5" hidden="false" customHeight="false" outlineLevel="1" collapsed="false">
      <c r="B10" s="2" t="s">
        <v>16</v>
      </c>
    </row>
    <row r="11" customFormat="false" ht="12.5" hidden="false" customHeight="false" outlineLevel="1" collapsed="false"/>
    <row r="12" customFormat="false" ht="13" hidden="false" customHeight="false" outlineLevel="1" collapsed="false">
      <c r="B12" s="12" t="s">
        <v>17</v>
      </c>
      <c r="C12" s="12" t="s">
        <v>18</v>
      </c>
    </row>
    <row r="13" customFormat="false" ht="13" hidden="false" customHeight="false" outlineLevel="1" collapsed="false">
      <c r="B13" s="13" t="s">
        <v>19</v>
      </c>
      <c r="C13" s="14" t="str">
        <f aca="false">RIGHT(B13,4)</f>
        <v>0269</v>
      </c>
    </row>
    <row r="14" customFormat="false" ht="13" hidden="false" customHeight="false" outlineLevel="1" collapsed="false">
      <c r="B14" s="13" t="s">
        <v>20</v>
      </c>
      <c r="C14" s="14" t="str">
        <f aca="false">RIGHT(B14,4)</f>
        <v>2525</v>
      </c>
    </row>
    <row r="15" customFormat="false" ht="13" hidden="false" customHeight="false" outlineLevel="1" collapsed="false">
      <c r="B15" s="13" t="s">
        <v>21</v>
      </c>
      <c r="C15" s="14" t="str">
        <f aca="false">RIGHT(B15,4)</f>
        <v>5512</v>
      </c>
    </row>
    <row r="16" customFormat="false" ht="13" hidden="false" customHeight="false" outlineLevel="1" collapsed="false">
      <c r="B16" s="13" t="s">
        <v>22</v>
      </c>
      <c r="C16" s="14" t="str">
        <f aca="false">RIGHT(B16,4)</f>
        <v>7470</v>
      </c>
    </row>
    <row r="17" customFormat="false" ht="13" hidden="false" customHeight="false" outlineLevel="1" collapsed="false">
      <c r="B17" s="13" t="s">
        <v>23</v>
      </c>
      <c r="C17" s="14" t="str">
        <f aca="false">RIGHT(B17,4)</f>
        <v>9018</v>
      </c>
    </row>
    <row r="18" customFormat="false" ht="13" hidden="false" customHeight="false" outlineLevel="1" collapsed="false">
      <c r="B18" s="13" t="s">
        <v>24</v>
      </c>
      <c r="C18" s="14" t="str">
        <f aca="false">RIGHT(B18,4)</f>
        <v>9506</v>
      </c>
    </row>
    <row r="19" customFormat="false" ht="13" hidden="false" customHeight="false" outlineLevel="1" collapsed="false">
      <c r="B19" s="13" t="s">
        <v>25</v>
      </c>
      <c r="C19" s="14" t="str">
        <f aca="false">RIGHT(B19,4)</f>
        <v>2706</v>
      </c>
    </row>
    <row r="20" customFormat="false" ht="13" hidden="false" customHeight="false" outlineLevel="1" collapsed="false">
      <c r="B20" s="13" t="s">
        <v>26</v>
      </c>
      <c r="C20" s="14" t="str">
        <f aca="false">RIGHT(B20,4)</f>
        <v>5160</v>
      </c>
    </row>
    <row r="21" customFormat="false" ht="12.5" hidden="false" customHeight="false" outlineLevel="1" collapsed="false"/>
    <row r="22" customFormat="false" ht="13" hidden="false" customHeight="false" outlineLevel="1" collapsed="false"/>
    <row r="23" customFormat="false" ht="12.5" hidden="false" customHeight="false" outlineLevel="1" collapsed="false"/>
    <row r="24" customFormat="false" ht="12.5" hidden="false" customHeight="false" outlineLevel="1" collapsed="false"/>
    <row r="25" customFormat="false" ht="12.5" hidden="false" customHeight="false" outlineLevel="1" collapsed="false"/>
    <row r="26" customFormat="false" ht="12.5" hidden="false" customHeight="false" outlineLevel="1" collapsed="false"/>
    <row r="27" customFormat="false" ht="12.5" hidden="false" customHeight="false" outlineLevel="1" collapsed="false"/>
    <row r="28" customFormat="false" ht="18.5" hidden="false" customHeight="false" outlineLevel="0" collapsed="false">
      <c r="B28" s="11" t="s">
        <v>27</v>
      </c>
    </row>
    <row r="29" customFormat="false" ht="12.5" hidden="false" customHeight="false" outlineLevel="1" collapsed="false"/>
    <row r="30" customFormat="false" ht="12.5" hidden="false" customHeight="false" outlineLevel="1" collapsed="false">
      <c r="B30" s="2" t="s">
        <v>28</v>
      </c>
    </row>
    <row r="31" customFormat="false" ht="12.5" hidden="false" customHeight="false" outlineLevel="1" collapsed="false">
      <c r="B31" s="2" t="s">
        <v>29</v>
      </c>
    </row>
    <row r="32" customFormat="false" ht="12.5" hidden="false" customHeight="false" outlineLevel="1" collapsed="false"/>
    <row r="33" customFormat="false" ht="13" hidden="false" customHeight="false" outlineLevel="1" collapsed="false">
      <c r="B33" s="12" t="s">
        <v>17</v>
      </c>
      <c r="C33" s="12" t="s">
        <v>18</v>
      </c>
    </row>
    <row r="34" customFormat="false" ht="13" hidden="false" customHeight="false" outlineLevel="1" collapsed="false">
      <c r="B34" s="13" t="s">
        <v>19</v>
      </c>
      <c r="C34" s="14" t="str">
        <f aca="false">LEFT(B34,2)</f>
        <v>AJ</v>
      </c>
    </row>
    <row r="35" customFormat="false" ht="13" hidden="false" customHeight="false" outlineLevel="1" collapsed="false">
      <c r="B35" s="13" t="s">
        <v>20</v>
      </c>
      <c r="C35" s="14" t="str">
        <f aca="false">LEFT(B35,2)</f>
        <v>JN</v>
      </c>
    </row>
    <row r="36" customFormat="false" ht="13" hidden="false" customHeight="false" outlineLevel="1" collapsed="false">
      <c r="B36" s="13" t="s">
        <v>21</v>
      </c>
      <c r="C36" s="14" t="str">
        <f aca="false">LEFT(B36,2)</f>
        <v>VR</v>
      </c>
    </row>
    <row r="37" customFormat="false" ht="13" hidden="false" customHeight="false" outlineLevel="1" collapsed="false">
      <c r="B37" s="13" t="s">
        <v>22</v>
      </c>
      <c r="C37" s="14" t="str">
        <f aca="false">LEFT(B37,2)</f>
        <v>NR</v>
      </c>
    </row>
    <row r="38" customFormat="false" ht="13" hidden="false" customHeight="false" outlineLevel="1" collapsed="false">
      <c r="B38" s="13" t="s">
        <v>23</v>
      </c>
      <c r="C38" s="14" t="str">
        <f aca="false">LEFT(B38,2)</f>
        <v>RC</v>
      </c>
    </row>
    <row r="39" customFormat="false" ht="13" hidden="false" customHeight="false" outlineLevel="1" collapsed="false">
      <c r="B39" s="13" t="s">
        <v>24</v>
      </c>
      <c r="C39" s="14" t="str">
        <f aca="false">LEFT(B39,2)</f>
        <v>MJ</v>
      </c>
    </row>
    <row r="40" customFormat="false" ht="13" hidden="false" customHeight="false" outlineLevel="1" collapsed="false">
      <c r="B40" s="13" t="s">
        <v>25</v>
      </c>
      <c r="C40" s="14" t="str">
        <f aca="false">LEFT(B40,2)</f>
        <v>AO</v>
      </c>
    </row>
    <row r="41" customFormat="false" ht="13" hidden="false" customHeight="false" outlineLevel="1" collapsed="false">
      <c r="B41" s="13" t="s">
        <v>26</v>
      </c>
      <c r="C41" s="14" t="str">
        <f aca="false">LEFT(B41,2)</f>
        <v>NB</v>
      </c>
    </row>
    <row r="61" customFormat="false" ht="18.5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60"/>
  <sheetViews>
    <sheetView showFormulas="false" showGridLines="false" showRowColHeaders="true" showZeros="true" rightToLeft="false" tabSelected="false" showOutlineSymbols="true" defaultGridColor="true" view="normal" topLeftCell="A28" colorId="64" zoomScale="80" zoomScaleNormal="80" zoomScalePageLayoutView="100" workbookViewId="0">
      <selection pane="topLeft" activeCell="G35" activeCellId="1" sqref="E30:E36 G35"/>
    </sheetView>
  </sheetViews>
  <sheetFormatPr defaultRowHeight="12.5" zeroHeight="false" outlineLevelRow="1" outlineLevelCol="0"/>
  <cols>
    <col collapsed="false" customWidth="true" hidden="false" outlineLevel="0" max="1" min="1" style="2" width="9.34"/>
    <col collapsed="false" customWidth="true" hidden="false" outlineLevel="0" max="8" min="2" style="2" width="24.66"/>
    <col collapsed="false" customWidth="true" hidden="false" outlineLevel="0" max="9" min="9" style="2" width="10.78"/>
    <col collapsed="false" customWidth="true" hidden="false" outlineLevel="0" max="1025" min="10" style="2" width="9.34"/>
  </cols>
  <sheetData>
    <row r="1" customFormat="false" ht="13" hidden="false" customHeight="false" outlineLevel="0" collapsed="false">
      <c r="A1" s="3" t="str">
        <f aca="false">Introduction!A1</f>
        <v>Problem Solving with Excel </v>
      </c>
    </row>
    <row r="2" customFormat="false" ht="13" hidden="false" customHeight="false" outlineLevel="0" collapsed="false">
      <c r="A2" s="3" t="str">
        <f aca="false">Introduction!A2</f>
        <v>Week 2</v>
      </c>
    </row>
    <row r="3" customFormat="false" ht="13" hidden="false" customHeight="false" outlineLevel="0" collapsed="false">
      <c r="A3" s="3" t="str">
        <f aca="false">Introduction!A3</f>
        <v>Data Cleansing - Text Functions</v>
      </c>
    </row>
    <row r="4" customFormat="false" ht="13" hidden="false" customHeight="false" outlineLevel="0" collapsed="false">
      <c r="A4" s="3"/>
    </row>
    <row r="5" customFormat="false" ht="12.5" hidden="false" customHeight="false" outlineLevel="0" collapsed="false">
      <c r="P5" s="10"/>
    </row>
    <row r="6" customFormat="false" ht="13" hidden="false" customHeight="false" outlineLevel="0" collapsed="false">
      <c r="B6" s="15"/>
    </row>
    <row r="8" customFormat="false" ht="12.5" hidden="false" customHeight="false" outlineLevel="1" collapsed="false"/>
    <row r="9" customFormat="false" ht="18.5" hidden="false" customHeight="false" outlineLevel="1" collapsed="false">
      <c r="B9" s="11" t="s">
        <v>30</v>
      </c>
    </row>
    <row r="10" customFormat="false" ht="18.5" hidden="false" customHeight="false" outlineLevel="1" collapsed="false">
      <c r="B10" s="11"/>
    </row>
    <row r="11" customFormat="false" ht="12.5" hidden="false" customHeight="false" outlineLevel="1" collapsed="false">
      <c r="B11" s="2" t="s">
        <v>31</v>
      </c>
    </row>
    <row r="12" customFormat="false" ht="12.5" hidden="false" customHeight="false" outlineLevel="1" collapsed="false">
      <c r="B12" s="2" t="s">
        <v>32</v>
      </c>
    </row>
    <row r="13" customFormat="false" ht="12.5" hidden="false" customHeight="false" outlineLevel="1" collapsed="false"/>
    <row r="14" customFormat="false" ht="13" hidden="false" customHeight="false" outlineLevel="1" collapsed="false">
      <c r="B14" s="12" t="s">
        <v>17</v>
      </c>
      <c r="C14" s="12" t="s">
        <v>33</v>
      </c>
      <c r="D14" s="12" t="s">
        <v>34</v>
      </c>
      <c r="E14" s="12" t="s">
        <v>35</v>
      </c>
      <c r="F14" s="12" t="s">
        <v>36</v>
      </c>
    </row>
    <row r="15" customFormat="false" ht="12.8" hidden="false" customHeight="false" outlineLevel="1" collapsed="false">
      <c r="B15" s="13" t="s">
        <v>37</v>
      </c>
      <c r="C15" s="14" t="n">
        <f aca="false">FIND("-", B15)</f>
        <v>5</v>
      </c>
      <c r="D15" s="14" t="n">
        <f aca="false">LEN(B15)</f>
        <v>9</v>
      </c>
      <c r="E15" s="14" t="str">
        <f aca="false">RIGHT(B15,D15-C15)</f>
        <v>2216</v>
      </c>
      <c r="F15" s="14" t="str">
        <f aca="false">RIGHT(B15,LEN(B15)-FIND("-",B15))</f>
        <v>2216</v>
      </c>
    </row>
    <row r="16" customFormat="false" ht="12.8" hidden="false" customHeight="false" outlineLevel="1" collapsed="false">
      <c r="B16" s="13" t="s">
        <v>38</v>
      </c>
      <c r="C16" s="14" t="n">
        <f aca="false">FIND("-", B16)</f>
        <v>4</v>
      </c>
      <c r="D16" s="14" t="n">
        <f aca="false">LEN(B16)</f>
        <v>7</v>
      </c>
      <c r="E16" s="14" t="str">
        <f aca="false">RIGHT(B16,D16-C16)</f>
        <v>382</v>
      </c>
      <c r="F16" s="14" t="str">
        <f aca="false">RIGHT(B16,LEN(B16)-FIND("-",B16))</f>
        <v>382</v>
      </c>
    </row>
    <row r="17" customFormat="false" ht="12.8" hidden="false" customHeight="false" outlineLevel="1" collapsed="false">
      <c r="B17" s="13" t="s">
        <v>39</v>
      </c>
      <c r="C17" s="14" t="n">
        <f aca="false">FIND("-", B17)</f>
        <v>2</v>
      </c>
      <c r="D17" s="14" t="n">
        <f aca="false">LEN(B17)</f>
        <v>4</v>
      </c>
      <c r="E17" s="14" t="str">
        <f aca="false">RIGHT(B17,D17-C17)</f>
        <v>29</v>
      </c>
      <c r="F17" s="14" t="str">
        <f aca="false">RIGHT(B17,LEN(B17)-FIND("-",B17))</f>
        <v>29</v>
      </c>
    </row>
    <row r="18" customFormat="false" ht="12.8" hidden="false" customHeight="false" outlineLevel="1" collapsed="false">
      <c r="B18" s="13" t="s">
        <v>40</v>
      </c>
      <c r="C18" s="14" t="n">
        <f aca="false">FIND("-", B18)</f>
        <v>3</v>
      </c>
      <c r="D18" s="14" t="n">
        <f aca="false">LEN(B18)</f>
        <v>8</v>
      </c>
      <c r="E18" s="14" t="str">
        <f aca="false">RIGHT(B18,D18-C18)</f>
        <v>97486</v>
      </c>
      <c r="F18" s="14" t="str">
        <f aca="false">RIGHT(B18,LEN(B18)-FIND("-",B18))</f>
        <v>97486</v>
      </c>
    </row>
    <row r="19" customFormat="false" ht="12.8" hidden="false" customHeight="false" outlineLevel="1" collapsed="false">
      <c r="B19" s="13" t="s">
        <v>41</v>
      </c>
      <c r="C19" s="14" t="n">
        <f aca="false">FIND("-", B19)</f>
        <v>5</v>
      </c>
      <c r="D19" s="14" t="n">
        <f aca="false">LEN(B19)</f>
        <v>10</v>
      </c>
      <c r="E19" s="14" t="str">
        <f aca="false">RIGHT(B19,D19-C19)</f>
        <v>36166</v>
      </c>
      <c r="F19" s="14" t="str">
        <f aca="false">RIGHT(B19,LEN(B19)-FIND("-",B19))</f>
        <v>36166</v>
      </c>
    </row>
    <row r="20" customFormat="false" ht="12.8" hidden="false" customHeight="false" outlineLevel="1" collapsed="false">
      <c r="B20" s="13" t="s">
        <v>42</v>
      </c>
      <c r="C20" s="14" t="n">
        <f aca="false">FIND("-", B20)</f>
        <v>4</v>
      </c>
      <c r="D20" s="14" t="n">
        <f aca="false">LEN(B20)</f>
        <v>6</v>
      </c>
      <c r="E20" s="14" t="str">
        <f aca="false">RIGHT(B20,D20-C20)</f>
        <v>99</v>
      </c>
      <c r="F20" s="14" t="str">
        <f aca="false">RIGHT(B20,LEN(B20)-FIND("-",B20))</f>
        <v>99</v>
      </c>
    </row>
    <row r="21" customFormat="false" ht="12.8" hidden="false" customHeight="false" outlineLevel="1" collapsed="false">
      <c r="B21" s="13" t="s">
        <v>43</v>
      </c>
      <c r="C21" s="14" t="n">
        <f aca="false">FIND("-", B21)</f>
        <v>3</v>
      </c>
      <c r="D21" s="14" t="n">
        <f aca="false">LEN(B21)</f>
        <v>6</v>
      </c>
      <c r="E21" s="14" t="str">
        <f aca="false">RIGHT(B21,D21-C21)</f>
        <v>205</v>
      </c>
      <c r="F21" s="14" t="str">
        <f aca="false">RIGHT(B21,LEN(B21)-FIND("-",B21))</f>
        <v>205</v>
      </c>
    </row>
    <row r="22" customFormat="false" ht="12.8" hidden="false" customHeight="false" outlineLevel="1" collapsed="false">
      <c r="B22" s="13" t="s">
        <v>44</v>
      </c>
      <c r="C22" s="14" t="n">
        <f aca="false">FIND("-", B22)</f>
        <v>4</v>
      </c>
      <c r="D22" s="14" t="n">
        <f aca="false">LEN(B22)</f>
        <v>7</v>
      </c>
      <c r="E22" s="14" t="str">
        <f aca="false">RIGHT(B22,D22-C22)</f>
        <v>061</v>
      </c>
      <c r="F22" s="14" t="str">
        <f aca="false">RIGHT(B22,LEN(B22)-FIND("-",B22))</f>
        <v>061</v>
      </c>
    </row>
    <row r="23" customFormat="false" ht="12.5" hidden="false" customHeight="false" outlineLevel="1" collapsed="false"/>
    <row r="24" customFormat="false" ht="12.5" hidden="false" customHeight="false" outlineLevel="1" collapsed="false"/>
    <row r="25" customFormat="false" ht="13" hidden="false" customHeight="false" outlineLevel="1" collapsed="false">
      <c r="B25" s="16"/>
    </row>
    <row r="26" customFormat="false" ht="13" hidden="false" customHeight="false" outlineLevel="1" collapsed="false">
      <c r="B26" s="15"/>
    </row>
    <row r="28" customFormat="false" ht="12.5" hidden="false" customHeight="false" outlineLevel="1" collapsed="false"/>
    <row r="29" customFormat="false" ht="12.5" hidden="false" customHeight="false" outlineLevel="1" collapsed="false"/>
    <row r="30" customFormat="false" ht="18.5" hidden="false" customHeight="false" outlineLevel="1" collapsed="false">
      <c r="B30" s="11" t="s">
        <v>45</v>
      </c>
    </row>
    <row r="31" customFormat="false" ht="12.5" hidden="false" customHeight="false" outlineLevel="1" collapsed="false">
      <c r="B31" s="2" t="s">
        <v>46</v>
      </c>
    </row>
    <row r="32" customFormat="false" ht="12.5" hidden="false" customHeight="false" outlineLevel="1" collapsed="false">
      <c r="B32" s="2" t="s">
        <v>47</v>
      </c>
    </row>
    <row r="33" customFormat="false" ht="12.5" hidden="false" customHeight="false" outlineLevel="1" collapsed="false"/>
    <row r="34" customFormat="false" ht="52" hidden="false" customHeight="false" outlineLevel="1" collapsed="false">
      <c r="A34" s="17"/>
      <c r="B34" s="18" t="s">
        <v>48</v>
      </c>
      <c r="C34" s="18" t="s">
        <v>49</v>
      </c>
      <c r="D34" s="18" t="s">
        <v>50</v>
      </c>
      <c r="E34" s="18" t="s">
        <v>33</v>
      </c>
      <c r="F34" s="18" t="s">
        <v>51</v>
      </c>
      <c r="G34" s="18" t="s">
        <v>52</v>
      </c>
      <c r="I34" s="18" t="s">
        <v>53</v>
      </c>
    </row>
    <row r="35" customFormat="false" ht="12.8" hidden="false" customHeight="false" outlineLevel="1" collapsed="false">
      <c r="B35" s="13" t="s">
        <v>54</v>
      </c>
      <c r="C35" s="14" t="n">
        <f aca="false">FIND("(",B35)</f>
        <v>1</v>
      </c>
      <c r="D35" s="14" t="n">
        <f aca="false">FIND(")",B35)</f>
        <v>5</v>
      </c>
      <c r="E35" s="14" t="n">
        <f aca="false">FIND("-",B35)</f>
        <v>9</v>
      </c>
      <c r="F35" s="14" t="str">
        <f aca="false">LEFT(B35,5)</f>
        <v>(834)</v>
      </c>
      <c r="G35" s="14" t="str">
        <f aca="false">RIGHT(B35,LEN(B35)-LEN(F35))</f>
        <v>133-1776</v>
      </c>
      <c r="I35" s="14"/>
    </row>
    <row r="36" customFormat="false" ht="12.8" hidden="false" customHeight="false" outlineLevel="1" collapsed="false">
      <c r="B36" s="13" t="s">
        <v>55</v>
      </c>
      <c r="C36" s="14" t="n">
        <f aca="false">FIND("(",B36)</f>
        <v>1</v>
      </c>
      <c r="D36" s="14" t="n">
        <f aca="false">FIND(")",B36)</f>
        <v>5</v>
      </c>
      <c r="E36" s="14" t="n">
        <f aca="false">FIND("-",B36)</f>
        <v>9</v>
      </c>
      <c r="F36" s="14" t="str">
        <f aca="false">LEFT(B36,5)</f>
        <v>(623)</v>
      </c>
      <c r="G36" s="14" t="str">
        <f aca="false">RIGHT(B36,LEN(B36)-LEN(F36))</f>
        <v>560-7830</v>
      </c>
      <c r="I36" s="14"/>
    </row>
    <row r="37" customFormat="false" ht="12.8" hidden="false" customHeight="false" outlineLevel="1" collapsed="false">
      <c r="B37" s="13" t="s">
        <v>56</v>
      </c>
      <c r="C37" s="14" t="n">
        <f aca="false">FIND("(",B37)</f>
        <v>1</v>
      </c>
      <c r="D37" s="14" t="n">
        <f aca="false">FIND(")",B37)</f>
        <v>5</v>
      </c>
      <c r="E37" s="14" t="n">
        <f aca="false">FIND("-",B37)</f>
        <v>9</v>
      </c>
      <c r="F37" s="14" t="str">
        <f aca="false">LEFT(B37,5)</f>
        <v>(220)</v>
      </c>
      <c r="G37" s="14" t="str">
        <f aca="false">RIGHT(B37,LEN(B37)-LEN(F37))</f>
        <v>249-2610</v>
      </c>
      <c r="I37" s="14"/>
      <c r="J37" s="17"/>
      <c r="K37" s="17"/>
    </row>
    <row r="38" customFormat="false" ht="12.8" hidden="false" customHeight="false" outlineLevel="1" collapsed="false">
      <c r="B38" s="13" t="s">
        <v>57</v>
      </c>
      <c r="C38" s="14" t="n">
        <f aca="false">FIND("(",B38)</f>
        <v>1</v>
      </c>
      <c r="D38" s="14" t="n">
        <f aca="false">FIND(")",B38)</f>
        <v>5</v>
      </c>
      <c r="E38" s="14" t="n">
        <f aca="false">FIND("-",B38)</f>
        <v>9</v>
      </c>
      <c r="F38" s="14" t="str">
        <f aca="false">LEFT(B38,5)</f>
        <v>(444)</v>
      </c>
      <c r="G38" s="14" t="str">
        <f aca="false">RIGHT(B38,LEN(B38)-LEN(F38))</f>
        <v>698-6184</v>
      </c>
      <c r="I38" s="14"/>
    </row>
    <row r="39" customFormat="false" ht="12.8" hidden="false" customHeight="false" outlineLevel="1" collapsed="false">
      <c r="B39" s="13" t="s">
        <v>58</v>
      </c>
      <c r="C39" s="14" t="n">
        <f aca="false">FIND("(",B39)</f>
        <v>1</v>
      </c>
      <c r="D39" s="14" t="n">
        <f aca="false">FIND(")",B39)</f>
        <v>5</v>
      </c>
      <c r="E39" s="14" t="n">
        <f aca="false">FIND("-",B39)</f>
        <v>9</v>
      </c>
      <c r="F39" s="14" t="str">
        <f aca="false">LEFT(B39,5)</f>
        <v>(639)</v>
      </c>
      <c r="G39" s="14" t="str">
        <f aca="false">RIGHT(B39,LEN(B39)-LEN(F39))</f>
        <v>771-1953</v>
      </c>
      <c r="I39" s="14"/>
    </row>
    <row r="40" customFormat="false" ht="12.8" hidden="false" customHeight="false" outlineLevel="1" collapsed="false">
      <c r="B40" s="13" t="s">
        <v>59</v>
      </c>
      <c r="C40" s="14" t="n">
        <f aca="false">FIND("(",B40)</f>
        <v>1</v>
      </c>
      <c r="D40" s="14" t="n">
        <f aca="false">FIND(")",B40)</f>
        <v>5</v>
      </c>
      <c r="E40" s="14" t="n">
        <f aca="false">FIND("-",B40)</f>
        <v>9</v>
      </c>
      <c r="F40" s="14" t="str">
        <f aca="false">LEFT(B40,5)</f>
        <v>(761)</v>
      </c>
      <c r="G40" s="14" t="str">
        <f aca="false">RIGHT(B40,LEN(B40)-LEN(F40))</f>
        <v>431-5462</v>
      </c>
      <c r="I40" s="14"/>
    </row>
    <row r="41" customFormat="false" ht="12.8" hidden="false" customHeight="false" outlineLevel="1" collapsed="false">
      <c r="B41" s="13" t="s">
        <v>60</v>
      </c>
      <c r="C41" s="14" t="n">
        <f aca="false">FIND("(",B41)</f>
        <v>1</v>
      </c>
      <c r="D41" s="14" t="n">
        <f aca="false">FIND(")",B41)</f>
        <v>5</v>
      </c>
      <c r="E41" s="14" t="n">
        <f aca="false">FIND("-",B41)</f>
        <v>9</v>
      </c>
      <c r="F41" s="14" t="str">
        <f aca="false">LEFT(B41,5)</f>
        <v>(326)</v>
      </c>
      <c r="G41" s="14" t="str">
        <f aca="false">RIGHT(B41,LEN(B41)-LEN(F41))</f>
        <v>681-5891</v>
      </c>
      <c r="I41" s="14"/>
    </row>
    <row r="42" customFormat="false" ht="12.5" hidden="false" customHeight="false" outlineLevel="1" collapsed="false"/>
    <row r="43" customFormat="false" ht="12.5" hidden="false" customHeight="false" outlineLevel="1" collapsed="false"/>
    <row r="44" customFormat="false" ht="12.5" hidden="false" customHeight="false" outlineLevel="1" collapsed="false"/>
    <row r="45" customFormat="false" ht="12.5" hidden="false" customHeight="false" outlineLevel="1" collapsed="false"/>
    <row r="46" customFormat="false" ht="12.5" hidden="false" customHeight="false" outlineLevel="1" collapsed="false"/>
    <row r="47" customFormat="false" ht="12.5" hidden="false" customHeight="false" outlineLevel="1" collapsed="false"/>
    <row r="49" customFormat="false" ht="12.5" hidden="true" customHeight="false" outlineLevel="1" collapsed="false"/>
    <row r="50" customFormat="false" ht="12.5" hidden="true" customHeight="false" outlineLevel="1" collapsed="false"/>
    <row r="51" customFormat="false" ht="12.5" hidden="true" customHeight="false" outlineLevel="1" collapsed="false"/>
    <row r="52" customFormat="false" ht="12.5" hidden="true" customHeight="false" outlineLevel="1" collapsed="false"/>
    <row r="53" customFormat="false" ht="12.5" hidden="true" customHeight="false" outlineLevel="1" collapsed="false"/>
    <row r="54" customFormat="false" ht="12.5" hidden="true" customHeight="false" outlineLevel="1" collapsed="false"/>
    <row r="55" customFormat="false" ht="12.5" hidden="true" customHeight="false" outlineLevel="1" collapsed="false"/>
    <row r="56" customFormat="false" ht="12.5" hidden="true" customHeight="false" outlineLevel="1" collapsed="false"/>
    <row r="57" customFormat="false" ht="12.5" hidden="true" customHeight="false" outlineLevel="1" collapsed="false"/>
    <row r="58" customFormat="false" ht="12.5" hidden="true" customHeight="false" outlineLevel="1" collapsed="false"/>
    <row r="59" customFormat="false" ht="12.5" hidden="true" customHeight="false" outlineLevel="1" collapsed="false"/>
    <row r="60" customFormat="false" ht="12.5" hidden="true" customHeight="false" outlineLevel="1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DB536A"/>
    <pageSetUpPr fitToPage="false"/>
  </sheetPr>
  <dimension ref="A1:P47"/>
  <sheetViews>
    <sheetView showFormulas="false" showGridLines="false" showRowColHeaders="true" showZeros="true" rightToLeft="false" tabSelected="false" showOutlineSymbols="true" defaultGridColor="true" view="normal" topLeftCell="A8" colorId="64" zoomScale="80" zoomScaleNormal="80" zoomScalePageLayoutView="100" workbookViewId="0">
      <selection pane="topLeft" activeCell="G39" activeCellId="1" sqref="E30:E36 G39"/>
    </sheetView>
  </sheetViews>
  <sheetFormatPr defaultRowHeight="12.5" zeroHeight="false" outlineLevelRow="1" outlineLevelCol="0"/>
  <cols>
    <col collapsed="false" customWidth="true" hidden="false" outlineLevel="0" max="1" min="1" style="2" width="9.34"/>
    <col collapsed="false" customWidth="true" hidden="false" outlineLevel="0" max="8" min="2" style="2" width="24.66"/>
    <col collapsed="false" customWidth="true" hidden="false" outlineLevel="0" max="9" min="9" style="2" width="10.78"/>
    <col collapsed="false" customWidth="true" hidden="false" outlineLevel="0" max="1025" min="10" style="2" width="9.34"/>
  </cols>
  <sheetData>
    <row r="1" customFormat="false" ht="13" hidden="false" customHeight="false" outlineLevel="0" collapsed="false">
      <c r="A1" s="3" t="str">
        <f aca="false">Introduction!A1</f>
        <v>Problem Solving with Excel </v>
      </c>
    </row>
    <row r="2" customFormat="false" ht="13" hidden="false" customHeight="false" outlineLevel="0" collapsed="false">
      <c r="A2" s="3" t="str">
        <f aca="false">Introduction!A2</f>
        <v>Week 2</v>
      </c>
    </row>
    <row r="3" customFormat="false" ht="13" hidden="false" customHeight="false" outlineLevel="0" collapsed="false">
      <c r="A3" s="3" t="str">
        <f aca="false">Introduction!A3</f>
        <v>Data Cleansing - Text Functions</v>
      </c>
    </row>
    <row r="4" customFormat="false" ht="13" hidden="false" customHeight="false" outlineLevel="0" collapsed="false">
      <c r="A4" s="3"/>
    </row>
    <row r="5" customFormat="false" ht="12.5" hidden="false" customHeight="false" outlineLevel="0" collapsed="false">
      <c r="P5" s="10"/>
    </row>
    <row r="7" customFormat="false" ht="18.5" hidden="false" customHeight="false" outlineLevel="0" collapsed="false">
      <c r="B7" s="11" t="s">
        <v>30</v>
      </c>
    </row>
    <row r="8" customFormat="false" ht="18.5" hidden="false" customHeight="false" outlineLevel="1" collapsed="false">
      <c r="B8" s="11"/>
    </row>
    <row r="9" customFormat="false" ht="12.5" hidden="false" customHeight="false" outlineLevel="1" collapsed="false">
      <c r="B9" s="2" t="s">
        <v>31</v>
      </c>
    </row>
    <row r="10" customFormat="false" ht="12.5" hidden="false" customHeight="false" outlineLevel="1" collapsed="false">
      <c r="B10" s="2" t="s">
        <v>32</v>
      </c>
    </row>
    <row r="11" customFormat="false" ht="12.5" hidden="false" customHeight="false" outlineLevel="1" collapsed="false"/>
    <row r="12" customFormat="false" ht="13" hidden="false" customHeight="false" outlineLevel="1" collapsed="false">
      <c r="B12" s="12" t="s">
        <v>17</v>
      </c>
      <c r="C12" s="12" t="s">
        <v>33</v>
      </c>
      <c r="D12" s="12" t="s">
        <v>34</v>
      </c>
      <c r="E12" s="12" t="s">
        <v>35</v>
      </c>
      <c r="F12" s="12" t="s">
        <v>36</v>
      </c>
    </row>
    <row r="13" customFormat="false" ht="13" hidden="false" customHeight="false" outlineLevel="1" collapsed="false">
      <c r="B13" s="13" t="s">
        <v>37</v>
      </c>
      <c r="C13" s="14" t="n">
        <f aca="false">FIND("-",B13)</f>
        <v>5</v>
      </c>
      <c r="D13" s="14" t="n">
        <f aca="false">LEN(B13)</f>
        <v>9</v>
      </c>
      <c r="E13" s="14" t="str">
        <f aca="false">RIGHT(B13,D13-C13)</f>
        <v>2216</v>
      </c>
      <c r="F13" s="14" t="str">
        <f aca="false">RIGHT(B13,LEN(B13)-FIND("-",B13))</f>
        <v>2216</v>
      </c>
    </row>
    <row r="14" customFormat="false" ht="13" hidden="false" customHeight="false" outlineLevel="1" collapsed="false">
      <c r="B14" s="13" t="s">
        <v>38</v>
      </c>
      <c r="C14" s="14" t="n">
        <f aca="false">FIND("-",B14)</f>
        <v>4</v>
      </c>
      <c r="D14" s="14" t="n">
        <f aca="false">LEN(B14)</f>
        <v>7</v>
      </c>
      <c r="E14" s="14" t="str">
        <f aca="false">RIGHT(B14,D14-C14)</f>
        <v>382</v>
      </c>
      <c r="F14" s="14" t="str">
        <f aca="false">RIGHT(B14,LEN(B14)-FIND("-",B14))</f>
        <v>382</v>
      </c>
    </row>
    <row r="15" customFormat="false" ht="13" hidden="false" customHeight="false" outlineLevel="1" collapsed="false">
      <c r="B15" s="13" t="s">
        <v>39</v>
      </c>
      <c r="C15" s="14" t="n">
        <f aca="false">FIND("-",B15)</f>
        <v>2</v>
      </c>
      <c r="D15" s="14" t="n">
        <f aca="false">LEN(B15)</f>
        <v>4</v>
      </c>
      <c r="E15" s="14" t="str">
        <f aca="false">RIGHT(B15,D15-C15)</f>
        <v>29</v>
      </c>
      <c r="F15" s="14" t="str">
        <f aca="false">RIGHT(B15,LEN(B15)-FIND("-",B15))</f>
        <v>29</v>
      </c>
    </row>
    <row r="16" customFormat="false" ht="13" hidden="false" customHeight="false" outlineLevel="1" collapsed="false">
      <c r="B16" s="13" t="s">
        <v>40</v>
      </c>
      <c r="C16" s="14" t="n">
        <f aca="false">FIND("-",B16)</f>
        <v>3</v>
      </c>
      <c r="D16" s="14" t="n">
        <f aca="false">LEN(B16)</f>
        <v>8</v>
      </c>
      <c r="E16" s="14" t="str">
        <f aca="false">RIGHT(B16,D16-C16)</f>
        <v>97486</v>
      </c>
      <c r="F16" s="14" t="str">
        <f aca="false">RIGHT(B16,LEN(B16)-FIND("-",B16))</f>
        <v>97486</v>
      </c>
    </row>
    <row r="17" customFormat="false" ht="13" hidden="false" customHeight="false" outlineLevel="1" collapsed="false">
      <c r="B17" s="13" t="s">
        <v>41</v>
      </c>
      <c r="C17" s="14" t="n">
        <f aca="false">FIND("-",B17)</f>
        <v>5</v>
      </c>
      <c r="D17" s="14" t="n">
        <f aca="false">LEN(B17)</f>
        <v>10</v>
      </c>
      <c r="E17" s="14" t="str">
        <f aca="false">RIGHT(B17,D17-C17)</f>
        <v>36166</v>
      </c>
      <c r="F17" s="14" t="str">
        <f aca="false">RIGHT(B17,LEN(B17)-FIND("-",B17))</f>
        <v>36166</v>
      </c>
    </row>
    <row r="18" customFormat="false" ht="13" hidden="false" customHeight="false" outlineLevel="1" collapsed="false">
      <c r="B18" s="13" t="s">
        <v>42</v>
      </c>
      <c r="C18" s="14" t="n">
        <f aca="false">FIND("-",B18)</f>
        <v>4</v>
      </c>
      <c r="D18" s="14" t="n">
        <f aca="false">LEN(B18)</f>
        <v>6</v>
      </c>
      <c r="E18" s="14" t="str">
        <f aca="false">RIGHT(B18,D18-C18)</f>
        <v>99</v>
      </c>
      <c r="F18" s="14" t="str">
        <f aca="false">RIGHT(B18,LEN(B18)-FIND("-",B18))</f>
        <v>99</v>
      </c>
    </row>
    <row r="19" customFormat="false" ht="13" hidden="false" customHeight="false" outlineLevel="1" collapsed="false">
      <c r="B19" s="13" t="s">
        <v>43</v>
      </c>
      <c r="C19" s="14" t="n">
        <f aca="false">FIND("-",B19)</f>
        <v>3</v>
      </c>
      <c r="D19" s="14" t="n">
        <f aca="false">LEN(B19)</f>
        <v>6</v>
      </c>
      <c r="E19" s="14" t="str">
        <f aca="false">RIGHT(B19,D19-C19)</f>
        <v>205</v>
      </c>
      <c r="F19" s="14" t="str">
        <f aca="false">RIGHT(B19,LEN(B19)-FIND("-",B19))</f>
        <v>205</v>
      </c>
    </row>
    <row r="20" customFormat="false" ht="13" hidden="false" customHeight="false" outlineLevel="1" collapsed="false">
      <c r="B20" s="13" t="s">
        <v>44</v>
      </c>
      <c r="C20" s="14" t="n">
        <f aca="false">FIND("-",B20)</f>
        <v>4</v>
      </c>
      <c r="D20" s="14" t="n">
        <f aca="false">LEN(B20)</f>
        <v>7</v>
      </c>
      <c r="E20" s="14" t="str">
        <f aca="false">RIGHT(B20,D20-C20)</f>
        <v>061</v>
      </c>
      <c r="F20" s="14" t="str">
        <f aca="false">RIGHT(B20,LEN(B20)-FIND("-",B20))</f>
        <v>061</v>
      </c>
    </row>
    <row r="21" customFormat="false" ht="12.5" hidden="false" customHeight="false" outlineLevel="1" collapsed="false"/>
    <row r="22" customFormat="false" ht="12.5" hidden="false" customHeight="false" outlineLevel="1" collapsed="false"/>
    <row r="23" customFormat="false" ht="13" hidden="false" customHeight="false" outlineLevel="1" collapsed="false">
      <c r="B23" s="16"/>
    </row>
    <row r="24" customFormat="false" ht="13" hidden="false" customHeight="false" outlineLevel="1" collapsed="false">
      <c r="B24" s="15"/>
    </row>
    <row r="25" customFormat="false" ht="12.5" hidden="false" customHeight="false" outlineLevel="1" collapsed="false"/>
    <row r="26" customFormat="false" ht="12.5" hidden="false" customHeight="false" outlineLevel="1" collapsed="false"/>
    <row r="28" customFormat="false" ht="18.5" hidden="false" customHeight="false" outlineLevel="1" collapsed="false">
      <c r="B28" s="11" t="s">
        <v>45</v>
      </c>
    </row>
    <row r="29" customFormat="false" ht="12.5" hidden="false" customHeight="false" outlineLevel="1" collapsed="false">
      <c r="B29" s="2" t="s">
        <v>46</v>
      </c>
    </row>
    <row r="30" customFormat="false" ht="12.5" hidden="false" customHeight="false" outlineLevel="1" collapsed="false">
      <c r="B30" s="2" t="s">
        <v>47</v>
      </c>
    </row>
    <row r="31" customFormat="false" ht="12.5" hidden="false" customHeight="false" outlineLevel="1" collapsed="false"/>
    <row r="32" customFormat="false" ht="26" hidden="false" customHeight="false" outlineLevel="1" collapsed="false">
      <c r="A32" s="17"/>
      <c r="B32" s="18" t="s">
        <v>48</v>
      </c>
      <c r="C32" s="18" t="s">
        <v>49</v>
      </c>
      <c r="D32" s="18" t="s">
        <v>50</v>
      </c>
      <c r="E32" s="18" t="s">
        <v>33</v>
      </c>
      <c r="F32" s="18" t="s">
        <v>51</v>
      </c>
      <c r="G32" s="18" t="s">
        <v>52</v>
      </c>
      <c r="H32" s="18" t="s">
        <v>53</v>
      </c>
    </row>
    <row r="33" customFormat="false" ht="13" hidden="false" customHeight="false" outlineLevel="1" collapsed="false">
      <c r="B33" s="13" t="s">
        <v>54</v>
      </c>
      <c r="C33" s="14" t="n">
        <f aca="false">FIND("(",B33)</f>
        <v>1</v>
      </c>
      <c r="D33" s="14" t="n">
        <f aca="false">FIND(")",B33)</f>
        <v>5</v>
      </c>
      <c r="E33" s="14" t="n">
        <f aca="false">FIND("-",B33)</f>
        <v>9</v>
      </c>
      <c r="F33" s="14" t="str">
        <f aca="false">LEFT(RIGHT(LEFT(B33,D33),LEN(LEFT(B33,D33))-C33),D33-2)</f>
        <v>834</v>
      </c>
      <c r="G33" s="14" t="str">
        <f aca="false">LEFT(RIGHT(B33,LEN(B33)-D33),3)</f>
        <v>133</v>
      </c>
      <c r="H33" s="14" t="str">
        <f aca="false">RIGHT(B33,LEN(B33)-E33)</f>
        <v>1776</v>
      </c>
    </row>
    <row r="34" customFormat="false" ht="13" hidden="false" customHeight="false" outlineLevel="1" collapsed="false">
      <c r="B34" s="13" t="s">
        <v>55</v>
      </c>
      <c r="C34" s="14" t="n">
        <f aca="false">FIND("(",B34)</f>
        <v>1</v>
      </c>
      <c r="D34" s="14" t="n">
        <f aca="false">FIND(")",B34)</f>
        <v>5</v>
      </c>
      <c r="E34" s="14" t="n">
        <f aca="false">FIND("-",B34)</f>
        <v>9</v>
      </c>
      <c r="F34" s="14" t="str">
        <f aca="false">LEFT(RIGHT(LEFT(B34,D34),LEN(LEFT(B34,D34))-C34),D34-2)</f>
        <v>623</v>
      </c>
      <c r="G34" s="14" t="str">
        <f aca="false">LEFT(RIGHT(B34,LEN(B34)-D34),3)</f>
        <v>560</v>
      </c>
      <c r="H34" s="14" t="str">
        <f aca="false">RIGHT(B34,LEN(B34)-E34)</f>
        <v>7830</v>
      </c>
    </row>
    <row r="35" customFormat="false" ht="13" hidden="false" customHeight="false" outlineLevel="1" collapsed="false">
      <c r="B35" s="13" t="s">
        <v>56</v>
      </c>
      <c r="C35" s="14" t="n">
        <f aca="false">FIND("(",B35)</f>
        <v>1</v>
      </c>
      <c r="D35" s="14" t="n">
        <f aca="false">FIND(")",B35)</f>
        <v>5</v>
      </c>
      <c r="E35" s="14" t="n">
        <f aca="false">FIND("-",B35)</f>
        <v>9</v>
      </c>
      <c r="F35" s="14" t="str">
        <f aca="false">LEFT(RIGHT(LEFT(B35,D35),LEN(LEFT(B35,D35))-C35),D35-2)</f>
        <v>220</v>
      </c>
      <c r="G35" s="14" t="str">
        <f aca="false">LEFT(RIGHT(B35,LEN(B35)-D35),3)</f>
        <v>249</v>
      </c>
      <c r="H35" s="14" t="str">
        <f aca="false">RIGHT(B35,LEN(B35)-E35)</f>
        <v>2610</v>
      </c>
    </row>
    <row r="36" customFormat="false" ht="13" hidden="false" customHeight="false" outlineLevel="1" collapsed="false">
      <c r="B36" s="13" t="s">
        <v>57</v>
      </c>
      <c r="C36" s="14" t="n">
        <f aca="false">FIND("(",B36)</f>
        <v>1</v>
      </c>
      <c r="D36" s="14" t="n">
        <f aca="false">FIND(")",B36)</f>
        <v>5</v>
      </c>
      <c r="E36" s="14" t="n">
        <f aca="false">FIND("-",B36)</f>
        <v>9</v>
      </c>
      <c r="F36" s="14" t="str">
        <f aca="false">LEFT(RIGHT(LEFT(B36,D36),LEN(LEFT(B36,D36))-C36),D36-2)</f>
        <v>444</v>
      </c>
      <c r="G36" s="14" t="str">
        <f aca="false">LEFT(RIGHT(B36,LEN(B36)-D36),3)</f>
        <v>698</v>
      </c>
      <c r="H36" s="14" t="str">
        <f aca="false">RIGHT(B36,LEN(B36)-E36)</f>
        <v>6184</v>
      </c>
    </row>
    <row r="37" customFormat="false" ht="13" hidden="false" customHeight="false" outlineLevel="1" collapsed="false">
      <c r="B37" s="13" t="s">
        <v>58</v>
      </c>
      <c r="C37" s="14" t="n">
        <f aca="false">FIND("(",B37)</f>
        <v>1</v>
      </c>
      <c r="D37" s="14" t="n">
        <f aca="false">FIND(")",B37)</f>
        <v>5</v>
      </c>
      <c r="E37" s="14" t="n">
        <f aca="false">FIND("-",B37)</f>
        <v>9</v>
      </c>
      <c r="F37" s="14" t="str">
        <f aca="false">LEFT(RIGHT(LEFT(B37,D37),LEN(LEFT(B37,D37))-C37),D37-2)</f>
        <v>639</v>
      </c>
      <c r="G37" s="14" t="str">
        <f aca="false">LEFT(RIGHT(B37,LEN(B37)-D37),3)</f>
        <v>771</v>
      </c>
      <c r="H37" s="14" t="str">
        <f aca="false">RIGHT(B37,LEN(B37)-E37)</f>
        <v>1953</v>
      </c>
    </row>
    <row r="38" customFormat="false" ht="13" hidden="false" customHeight="false" outlineLevel="1" collapsed="false">
      <c r="B38" s="13" t="s">
        <v>59</v>
      </c>
      <c r="C38" s="14" t="n">
        <f aca="false">FIND("(",B38)</f>
        <v>1</v>
      </c>
      <c r="D38" s="14" t="n">
        <f aca="false">FIND(")",B38)</f>
        <v>5</v>
      </c>
      <c r="E38" s="14" t="n">
        <f aca="false">FIND("-",B38)</f>
        <v>9</v>
      </c>
      <c r="F38" s="14" t="str">
        <f aca="false">LEFT(RIGHT(LEFT(B38,D38),LEN(LEFT(B38,D38))-C38),D38-2)</f>
        <v>761</v>
      </c>
      <c r="G38" s="14" t="str">
        <f aca="false">LEFT(RIGHT(B38,LEN(B38)-D38),3)</f>
        <v>431</v>
      </c>
      <c r="H38" s="14" t="str">
        <f aca="false">RIGHT(B38,LEN(B38)-E38)</f>
        <v>5462</v>
      </c>
    </row>
    <row r="39" customFormat="false" ht="13" hidden="false" customHeight="false" outlineLevel="1" collapsed="false">
      <c r="B39" s="13" t="s">
        <v>60</v>
      </c>
      <c r="C39" s="14" t="n">
        <f aca="false">FIND("(",B39)</f>
        <v>1</v>
      </c>
      <c r="D39" s="14" t="n">
        <f aca="false">FIND(")",B39)</f>
        <v>5</v>
      </c>
      <c r="E39" s="14" t="n">
        <f aca="false">FIND("-",B39)</f>
        <v>9</v>
      </c>
      <c r="F39" s="14" t="str">
        <f aca="false">LEFT(RIGHT(LEFT(B39,D39),LEN(LEFT(B39,D39))-C39),D39-2)</f>
        <v>326</v>
      </c>
      <c r="G39" s="14" t="str">
        <f aca="false">LEFT(RIGHT(B39,LEN(B39)-D39),3)</f>
        <v>681</v>
      </c>
      <c r="H39" s="14" t="str">
        <f aca="false">RIGHT(B39,LEN(B39)-E39)</f>
        <v>5891</v>
      </c>
    </row>
    <row r="40" customFormat="false" ht="12.5" hidden="false" customHeight="false" outlineLevel="1" collapsed="false"/>
    <row r="41" customFormat="false" ht="12.5" hidden="false" customHeight="false" outlineLevel="1" collapsed="false"/>
    <row r="42" customFormat="false" ht="12.5" hidden="false" customHeight="false" outlineLevel="1" collapsed="false"/>
    <row r="43" customFormat="false" ht="12.5" hidden="false" customHeight="false" outlineLevel="1" collapsed="false"/>
    <row r="44" customFormat="false" ht="12.5" hidden="false" customHeight="false" outlineLevel="1" collapsed="false"/>
    <row r="45" customFormat="false" ht="12.5" hidden="false" customHeight="false" outlineLevel="1" collapsed="false"/>
    <row r="46" customFormat="false" ht="12.5" hidden="false" customHeight="false" outlineLevel="1" collapsed="false"/>
    <row r="47" customFormat="false" ht="12.5" hidden="false" customHeight="false" outlineLevel="1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40"/>
  <sheetViews>
    <sheetView showFormulas="false" showGridLines="false" showRowColHeaders="true" showZeros="true" rightToLeft="false" tabSelected="false" showOutlineSymbols="true" defaultGridColor="true" view="normal" topLeftCell="A13" colorId="64" zoomScale="80" zoomScaleNormal="80" zoomScalePageLayoutView="100" workbookViewId="0">
      <selection pane="topLeft" activeCell="F33" activeCellId="1" sqref="E30:E36 F33"/>
    </sheetView>
  </sheetViews>
  <sheetFormatPr defaultRowHeight="12.5" zeroHeight="false" outlineLevelRow="1" outlineLevelCol="0"/>
  <cols>
    <col collapsed="false" customWidth="true" hidden="false" outlineLevel="0" max="1" min="1" style="2" width="9.34"/>
    <col collapsed="false" customWidth="true" hidden="false" outlineLevel="0" max="8" min="2" style="2" width="24.77"/>
    <col collapsed="false" customWidth="true" hidden="false" outlineLevel="0" max="1025" min="9" style="2" width="9.34"/>
  </cols>
  <sheetData>
    <row r="1" customFormat="false" ht="13" hidden="false" customHeight="false" outlineLevel="0" collapsed="false">
      <c r="A1" s="3" t="str">
        <f aca="false">Introduction!A1</f>
        <v>Problem Solving with Excel </v>
      </c>
    </row>
    <row r="2" customFormat="false" ht="13" hidden="false" customHeight="false" outlineLevel="0" collapsed="false">
      <c r="A2" s="3" t="str">
        <f aca="false">Introduction!A2</f>
        <v>Week 2</v>
      </c>
    </row>
    <row r="3" customFormat="false" ht="13" hidden="false" customHeight="false" outlineLevel="0" collapsed="false">
      <c r="A3" s="3" t="str">
        <f aca="false">Introduction!A3</f>
        <v>Data Cleansing - Text Functions</v>
      </c>
    </row>
    <row r="4" customFormat="false" ht="13" hidden="false" customHeight="false" outlineLevel="0" collapsed="false">
      <c r="A4" s="3"/>
    </row>
    <row r="5" customFormat="false" ht="12.5" hidden="false" customHeight="false" outlineLevel="0" collapsed="false">
      <c r="P5" s="10"/>
    </row>
    <row r="7" customFormat="false" ht="18.5" hidden="false" customHeight="false" outlineLevel="0" collapsed="false">
      <c r="B7" s="11" t="s">
        <v>14</v>
      </c>
    </row>
    <row r="8" customFormat="false" ht="12.5" hidden="false" customHeight="false" outlineLevel="1" collapsed="false"/>
    <row r="9" customFormat="false" ht="12.5" hidden="false" customHeight="false" outlineLevel="1" collapsed="false">
      <c r="B9" s="2" t="s">
        <v>61</v>
      </c>
    </row>
    <row r="10" customFormat="false" ht="12.5" hidden="false" customHeight="false" outlineLevel="1" collapsed="false">
      <c r="B10" s="2" t="s">
        <v>62</v>
      </c>
    </row>
    <row r="11" customFormat="false" ht="12.5" hidden="false" customHeight="false" outlineLevel="1" collapsed="false"/>
    <row r="12" customFormat="false" ht="13" hidden="false" customHeight="false" outlineLevel="1" collapsed="false">
      <c r="B12" s="12" t="s">
        <v>63</v>
      </c>
      <c r="C12" s="12" t="s">
        <v>64</v>
      </c>
      <c r="D12" s="12" t="s">
        <v>65</v>
      </c>
      <c r="E12" s="12" t="s">
        <v>66</v>
      </c>
    </row>
    <row r="13" customFormat="false" ht="12.8" hidden="false" customHeight="false" outlineLevel="1" collapsed="false">
      <c r="B13" s="13" t="s">
        <v>67</v>
      </c>
      <c r="C13" s="13" t="s">
        <v>68</v>
      </c>
      <c r="D13" s="14" t="str">
        <f aca="false">PROPER(B13)</f>
        <v>Manaus</v>
      </c>
      <c r="E13" s="14" t="str">
        <f aca="false">CONCATENATE(D13,"-",C13)</f>
        <v>Manaus-Brazil</v>
      </c>
    </row>
    <row r="14" customFormat="false" ht="12.8" hidden="false" customHeight="false" outlineLevel="1" collapsed="false">
      <c r="B14" s="13" t="s">
        <v>69</v>
      </c>
      <c r="C14" s="13" t="s">
        <v>68</v>
      </c>
      <c r="D14" s="14" t="str">
        <f aca="false">PROPER(B14)</f>
        <v>Campina Grande</v>
      </c>
      <c r="E14" s="14" t="str">
        <f aca="false">CONCATENATE(D14,"-",C14)</f>
        <v>Campina Grande-Brazil</v>
      </c>
    </row>
    <row r="15" customFormat="false" ht="12.8" hidden="false" customHeight="false" outlineLevel="1" collapsed="false">
      <c r="B15" s="13" t="s">
        <v>70</v>
      </c>
      <c r="C15" s="13" t="s">
        <v>71</v>
      </c>
      <c r="D15" s="14" t="str">
        <f aca="false">PROPER(B15)</f>
        <v>Natal</v>
      </c>
      <c r="E15" s="14" t="str">
        <f aca="false">CONCATENATE(D15,"-",C15)</f>
        <v>Natal-South Africa</v>
      </c>
    </row>
    <row r="16" customFormat="false" ht="12.8" hidden="false" customHeight="false" outlineLevel="1" collapsed="false">
      <c r="B16" s="13" t="s">
        <v>72</v>
      </c>
      <c r="C16" s="13" t="s">
        <v>68</v>
      </c>
      <c r="D16" s="14" t="str">
        <f aca="false">PROPER(B16)</f>
        <v>Belém</v>
      </c>
      <c r="E16" s="14" t="str">
        <f aca="false">CONCATENATE(D16,"-",C16)</f>
        <v>Belém-Brazil</v>
      </c>
    </row>
    <row r="17" customFormat="false" ht="12.8" hidden="false" customHeight="false" outlineLevel="1" collapsed="false">
      <c r="B17" s="13" t="s">
        <v>73</v>
      </c>
      <c r="C17" s="13" t="s">
        <v>68</v>
      </c>
      <c r="D17" s="14" t="str">
        <f aca="false">PROPER(B17)</f>
        <v>João Pessoa</v>
      </c>
      <c r="E17" s="14" t="str">
        <f aca="false">CONCATENATE(D17,"-",C17)</f>
        <v>João Pessoa-Brazil</v>
      </c>
    </row>
    <row r="18" customFormat="false" ht="12.8" hidden="false" customHeight="false" outlineLevel="1" collapsed="false">
      <c r="B18" s="13" t="s">
        <v>74</v>
      </c>
      <c r="C18" s="13" t="s">
        <v>68</v>
      </c>
      <c r="D18" s="14" t="str">
        <f aca="false">PROPER(B18)</f>
        <v>Fortaleza</v>
      </c>
      <c r="E18" s="14" t="str">
        <f aca="false">CONCATENATE(D18,"-",C18)</f>
        <v>Fortaleza-Brazil</v>
      </c>
    </row>
    <row r="19" customFormat="false" ht="12.8" hidden="false" customHeight="false" outlineLevel="1" collapsed="false">
      <c r="B19" s="13" t="s">
        <v>75</v>
      </c>
      <c r="C19" s="13" t="s">
        <v>68</v>
      </c>
      <c r="D19" s="14" t="str">
        <f aca="false">PROPER(B19)</f>
        <v>Castanhal</v>
      </c>
      <c r="E19" s="14" t="str">
        <f aca="false">CONCATENATE(D19,"-",C19)</f>
        <v>Castanhal-Brazil</v>
      </c>
    </row>
    <row r="20" customFormat="false" ht="12.8" hidden="false" customHeight="false" outlineLevel="1" collapsed="false">
      <c r="B20" s="13" t="s">
        <v>76</v>
      </c>
      <c r="C20" s="13" t="s">
        <v>77</v>
      </c>
      <c r="D20" s="14" t="str">
        <f aca="false">PROPER(B20)</f>
        <v>Maranguape</v>
      </c>
      <c r="E20" s="14" t="str">
        <f aca="false">CONCATENATE(D20,"-",C20)</f>
        <v>Maranguape-Ceará</v>
      </c>
    </row>
    <row r="21" customFormat="false" ht="12.5" hidden="false" customHeight="false" outlineLevel="1" collapsed="false"/>
    <row r="22" customFormat="false" ht="12.5" hidden="false" customHeight="false" outlineLevel="1" collapsed="false"/>
    <row r="23" customFormat="false" ht="13" hidden="false" customHeight="false" outlineLevel="1" collapsed="false">
      <c r="B23" s="16"/>
    </row>
    <row r="24" customFormat="false" ht="13" hidden="false" customHeight="false" outlineLevel="1" collapsed="false">
      <c r="B24" s="15"/>
    </row>
    <row r="25" customFormat="false" ht="12.5" hidden="false" customHeight="false" outlineLevel="1" collapsed="false"/>
    <row r="26" customFormat="false" ht="12.5" hidden="false" customHeight="false" outlineLevel="1" collapsed="false"/>
    <row r="27" customFormat="false" ht="18.5" hidden="false" customHeight="false" outlineLevel="0" collapsed="false">
      <c r="B27" s="11" t="s">
        <v>27</v>
      </c>
    </row>
    <row r="28" customFormat="false" ht="18.5" hidden="false" customHeight="false" outlineLevel="1" collapsed="false">
      <c r="B28" s="11"/>
    </row>
    <row r="29" customFormat="false" ht="12.5" hidden="false" customHeight="false" outlineLevel="1" collapsed="false">
      <c r="B29" s="2" t="s">
        <v>78</v>
      </c>
    </row>
    <row r="30" customFormat="false" ht="12.5" hidden="false" customHeight="false" outlineLevel="1" collapsed="false">
      <c r="B30" s="2" t="s">
        <v>79</v>
      </c>
    </row>
    <row r="31" customFormat="false" ht="12.5" hidden="false" customHeight="false" outlineLevel="1" collapsed="false"/>
    <row r="32" customFormat="false" ht="13" hidden="false" customHeight="false" outlineLevel="1" collapsed="false">
      <c r="B32" s="12" t="s">
        <v>80</v>
      </c>
      <c r="C32" s="12" t="s">
        <v>81</v>
      </c>
      <c r="D32" s="12" t="s">
        <v>80</v>
      </c>
      <c r="E32" s="12" t="s">
        <v>81</v>
      </c>
      <c r="F32" s="12" t="s">
        <v>82</v>
      </c>
    </row>
    <row r="33" customFormat="false" ht="12.8" hidden="false" customHeight="false" outlineLevel="1" collapsed="false">
      <c r="B33" s="13" t="s">
        <v>83</v>
      </c>
      <c r="C33" s="13" t="s">
        <v>84</v>
      </c>
      <c r="D33" s="14" t="str">
        <f aca="false">PROPER(B33)</f>
        <v>Eric</v>
      </c>
      <c r="E33" s="14" t="str">
        <f aca="false">PROPER(C33)</f>
        <v>Johnson</v>
      </c>
      <c r="F33" s="14" t="str">
        <f aca="false">CONCATENATE(D33," ",E33)</f>
        <v>Eric Johnson</v>
      </c>
    </row>
    <row r="34" customFormat="false" ht="12.8" hidden="false" customHeight="false" outlineLevel="1" collapsed="false">
      <c r="B34" s="13" t="s">
        <v>85</v>
      </c>
      <c r="C34" s="13" t="s">
        <v>86</v>
      </c>
      <c r="D34" s="14" t="str">
        <f aca="false">PROPER(B34)</f>
        <v>John</v>
      </c>
      <c r="E34" s="14" t="str">
        <f aca="false">PROPER(C34)</f>
        <v>Smith</v>
      </c>
      <c r="F34" s="14" t="str">
        <f aca="false">CONCATENATE(D34," ",E34)</f>
        <v>John Smith</v>
      </c>
    </row>
    <row r="35" customFormat="false" ht="12.8" hidden="false" customHeight="false" outlineLevel="1" collapsed="false">
      <c r="B35" s="13" t="s">
        <v>87</v>
      </c>
      <c r="C35" s="13" t="s">
        <v>88</v>
      </c>
      <c r="D35" s="14" t="str">
        <f aca="false">PROPER(B35)</f>
        <v>Beth</v>
      </c>
      <c r="E35" s="14" t="str">
        <f aca="false">PROPER(C35)</f>
        <v>Summers</v>
      </c>
      <c r="F35" s="14" t="str">
        <f aca="false">CONCATENATE(D35," ",E35)</f>
        <v>Beth Summers</v>
      </c>
    </row>
    <row r="36" customFormat="false" ht="12.8" hidden="false" customHeight="false" outlineLevel="1" collapsed="false">
      <c r="B36" s="13" t="s">
        <v>89</v>
      </c>
      <c r="C36" s="13" t="s">
        <v>90</v>
      </c>
      <c r="D36" s="14" t="str">
        <f aca="false">PROPER(B36)</f>
        <v>Miles</v>
      </c>
      <c r="E36" s="14" t="str">
        <f aca="false">PROPER(C36)</f>
        <v>Peterson</v>
      </c>
      <c r="F36" s="14" t="str">
        <f aca="false">CONCATENATE(D36," ",E36)</f>
        <v>Miles Peterson</v>
      </c>
    </row>
    <row r="37" customFormat="false" ht="12.8" hidden="false" customHeight="false" outlineLevel="1" collapsed="false">
      <c r="B37" s="13" t="s">
        <v>91</v>
      </c>
      <c r="C37" s="13" t="s">
        <v>92</v>
      </c>
      <c r="D37" s="14" t="str">
        <f aca="false">PROPER(B37)</f>
        <v>Jenna</v>
      </c>
      <c r="E37" s="14" t="str">
        <f aca="false">PROPER(C37)</f>
        <v>Stone</v>
      </c>
      <c r="F37" s="14" t="str">
        <f aca="false">CONCATENATE(D37," ",E37)</f>
        <v>Jenna Stone</v>
      </c>
    </row>
    <row r="38" customFormat="false" ht="12.8" hidden="false" customHeight="false" outlineLevel="1" collapsed="false">
      <c r="B38" s="13" t="s">
        <v>93</v>
      </c>
      <c r="C38" s="13" t="s">
        <v>94</v>
      </c>
      <c r="D38" s="14" t="str">
        <f aca="false">PROPER(B38)</f>
        <v>Quinn</v>
      </c>
      <c r="E38" s="14" t="str">
        <f aca="false">PROPER(C38)</f>
        <v>Cook</v>
      </c>
      <c r="F38" s="14" t="str">
        <f aca="false">CONCATENATE(D38," ",E38)</f>
        <v>Quinn Cook</v>
      </c>
    </row>
    <row r="39" customFormat="false" ht="13" hidden="false" customHeight="false" outlineLevel="1" collapsed="false"/>
    <row r="40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DB536A"/>
    <pageSetUpPr fitToPage="false"/>
  </sheetPr>
  <dimension ref="A1:P40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G32" activeCellId="1" sqref="E30:E36 G32"/>
    </sheetView>
  </sheetViews>
  <sheetFormatPr defaultRowHeight="12.5" zeroHeight="false" outlineLevelRow="1" outlineLevelCol="0"/>
  <cols>
    <col collapsed="false" customWidth="true" hidden="false" outlineLevel="0" max="1" min="1" style="2" width="9.34"/>
    <col collapsed="false" customWidth="true" hidden="false" outlineLevel="0" max="8" min="2" style="2" width="24.77"/>
    <col collapsed="false" customWidth="true" hidden="false" outlineLevel="0" max="1025" min="9" style="2" width="9.34"/>
  </cols>
  <sheetData>
    <row r="1" customFormat="false" ht="13" hidden="false" customHeight="false" outlineLevel="0" collapsed="false">
      <c r="A1" s="3" t="str">
        <f aca="false">Introduction!A1</f>
        <v>Problem Solving with Excel </v>
      </c>
    </row>
    <row r="2" customFormat="false" ht="13" hidden="false" customHeight="false" outlineLevel="0" collapsed="false">
      <c r="A2" s="3" t="str">
        <f aca="false">Introduction!A2</f>
        <v>Week 2</v>
      </c>
    </row>
    <row r="3" customFormat="false" ht="13" hidden="false" customHeight="false" outlineLevel="0" collapsed="false">
      <c r="A3" s="3" t="str">
        <f aca="false">Introduction!A3</f>
        <v>Data Cleansing - Text Functions</v>
      </c>
    </row>
    <row r="4" customFormat="false" ht="13" hidden="false" customHeight="false" outlineLevel="0" collapsed="false">
      <c r="A4" s="3"/>
    </row>
    <row r="5" customFormat="false" ht="12.5" hidden="false" customHeight="false" outlineLevel="0" collapsed="false">
      <c r="P5" s="10"/>
    </row>
    <row r="7" customFormat="false" ht="18.5" hidden="false" customHeight="false" outlineLevel="0" collapsed="false">
      <c r="B7" s="11" t="s">
        <v>14</v>
      </c>
    </row>
    <row r="8" customFormat="false" ht="12.5" hidden="false" customHeight="false" outlineLevel="1" collapsed="false"/>
    <row r="9" customFormat="false" ht="12.5" hidden="false" customHeight="false" outlineLevel="1" collapsed="false">
      <c r="B9" s="2" t="s">
        <v>61</v>
      </c>
    </row>
    <row r="10" customFormat="false" ht="12.5" hidden="false" customHeight="false" outlineLevel="1" collapsed="false">
      <c r="B10" s="2" t="s">
        <v>62</v>
      </c>
    </row>
    <row r="11" customFormat="false" ht="12.5" hidden="false" customHeight="false" outlineLevel="1" collapsed="false"/>
    <row r="12" customFormat="false" ht="13" hidden="false" customHeight="false" outlineLevel="1" collapsed="false">
      <c r="B12" s="12" t="s">
        <v>63</v>
      </c>
      <c r="C12" s="12" t="s">
        <v>64</v>
      </c>
      <c r="D12" s="12" t="s">
        <v>65</v>
      </c>
      <c r="E12" s="12" t="s">
        <v>66</v>
      </c>
    </row>
    <row r="13" customFormat="false" ht="13" hidden="false" customHeight="false" outlineLevel="1" collapsed="false">
      <c r="B13" s="13" t="s">
        <v>67</v>
      </c>
      <c r="C13" s="13" t="s">
        <v>68</v>
      </c>
      <c r="D13" s="14" t="str">
        <f aca="false">PROPER(B13)</f>
        <v>Manaus</v>
      </c>
      <c r="E13" s="14" t="str">
        <f aca="false">CONCATENATE(D13,", ",C13)</f>
        <v>Manaus, Brazil</v>
      </c>
    </row>
    <row r="14" customFormat="false" ht="13" hidden="false" customHeight="false" outlineLevel="1" collapsed="false">
      <c r="B14" s="13" t="s">
        <v>69</v>
      </c>
      <c r="C14" s="13" t="s">
        <v>68</v>
      </c>
      <c r="D14" s="14" t="str">
        <f aca="false">PROPER(B14)</f>
        <v>Campina Grande</v>
      </c>
      <c r="E14" s="14" t="str">
        <f aca="false">CONCATENATE(D14,", ",C14)</f>
        <v>Campina Grande, Brazil</v>
      </c>
    </row>
    <row r="15" customFormat="false" ht="13" hidden="false" customHeight="false" outlineLevel="1" collapsed="false">
      <c r="B15" s="13" t="s">
        <v>70</v>
      </c>
      <c r="C15" s="13" t="s">
        <v>71</v>
      </c>
      <c r="D15" s="14" t="str">
        <f aca="false">PROPER(B15)</f>
        <v>Natal</v>
      </c>
      <c r="E15" s="14" t="str">
        <f aca="false">CONCATENATE(D15,", ",C15)</f>
        <v>Natal, South Africa</v>
      </c>
    </row>
    <row r="16" customFormat="false" ht="13" hidden="false" customHeight="false" outlineLevel="1" collapsed="false">
      <c r="B16" s="13" t="s">
        <v>72</v>
      </c>
      <c r="C16" s="13" t="s">
        <v>68</v>
      </c>
      <c r="D16" s="14" t="str">
        <f aca="false">PROPER(B16)</f>
        <v>Belém</v>
      </c>
      <c r="E16" s="14" t="str">
        <f aca="false">CONCATENATE(D16,", ",C16)</f>
        <v>Belém, Brazil</v>
      </c>
    </row>
    <row r="17" customFormat="false" ht="13" hidden="false" customHeight="false" outlineLevel="1" collapsed="false">
      <c r="B17" s="13" t="s">
        <v>73</v>
      </c>
      <c r="C17" s="13" t="s">
        <v>68</v>
      </c>
      <c r="D17" s="14" t="str">
        <f aca="false">PROPER(B17)</f>
        <v>João Pessoa</v>
      </c>
      <c r="E17" s="14" t="str">
        <f aca="false">CONCATENATE(D17,", ",C17)</f>
        <v>João Pessoa, Brazil</v>
      </c>
    </row>
    <row r="18" customFormat="false" ht="13" hidden="false" customHeight="false" outlineLevel="1" collapsed="false">
      <c r="B18" s="13" t="s">
        <v>74</v>
      </c>
      <c r="C18" s="13" t="s">
        <v>68</v>
      </c>
      <c r="D18" s="14" t="str">
        <f aca="false">PROPER(B18)</f>
        <v>Fortaleza</v>
      </c>
      <c r="E18" s="14" t="str">
        <f aca="false">CONCATENATE(D18,", ",C18)</f>
        <v>Fortaleza, Brazil</v>
      </c>
    </row>
    <row r="19" customFormat="false" ht="13" hidden="false" customHeight="false" outlineLevel="1" collapsed="false">
      <c r="B19" s="13" t="s">
        <v>75</v>
      </c>
      <c r="C19" s="13" t="s">
        <v>68</v>
      </c>
      <c r="D19" s="14" t="str">
        <f aca="false">PROPER(B19)</f>
        <v>Castanhal</v>
      </c>
      <c r="E19" s="14" t="str">
        <f aca="false">CONCATENATE(D19,", ",C19)</f>
        <v>Castanhal, Brazil</v>
      </c>
    </row>
    <row r="20" customFormat="false" ht="13" hidden="false" customHeight="false" outlineLevel="1" collapsed="false">
      <c r="B20" s="13" t="s">
        <v>76</v>
      </c>
      <c r="C20" s="13" t="s">
        <v>77</v>
      </c>
      <c r="D20" s="14" t="str">
        <f aca="false">PROPER(B20)</f>
        <v>Maranguape</v>
      </c>
      <c r="E20" s="14" t="str">
        <f aca="false">CONCATENATE(D20,", ",C20)</f>
        <v>Maranguape, Ceará</v>
      </c>
    </row>
    <row r="21" customFormat="false" ht="12.5" hidden="false" customHeight="false" outlineLevel="1" collapsed="false"/>
    <row r="22" customFormat="false" ht="12.5" hidden="false" customHeight="false" outlineLevel="1" collapsed="false"/>
    <row r="23" customFormat="false" ht="13" hidden="false" customHeight="false" outlineLevel="1" collapsed="false">
      <c r="B23" s="16"/>
    </row>
    <row r="24" customFormat="false" ht="13" hidden="false" customHeight="false" outlineLevel="1" collapsed="false">
      <c r="B24" s="15"/>
    </row>
    <row r="25" customFormat="false" ht="12.5" hidden="false" customHeight="false" outlineLevel="1" collapsed="false"/>
    <row r="26" customFormat="false" ht="12.5" hidden="false" customHeight="false" outlineLevel="1" collapsed="false"/>
    <row r="27" customFormat="false" ht="18.5" hidden="false" customHeight="false" outlineLevel="0" collapsed="false">
      <c r="B27" s="11" t="s">
        <v>27</v>
      </c>
    </row>
    <row r="28" customFormat="false" ht="18.5" hidden="false" customHeight="false" outlineLevel="1" collapsed="false">
      <c r="B28" s="11"/>
    </row>
    <row r="29" customFormat="false" ht="12.5" hidden="false" customHeight="false" outlineLevel="1" collapsed="false">
      <c r="B29" s="2" t="s">
        <v>95</v>
      </c>
    </row>
    <row r="30" customFormat="false" ht="12.5" hidden="false" customHeight="false" outlineLevel="1" collapsed="false">
      <c r="B30" s="2" t="s">
        <v>79</v>
      </c>
    </row>
    <row r="31" customFormat="false" ht="12.5" hidden="false" customHeight="false" outlineLevel="1" collapsed="false"/>
    <row r="32" customFormat="false" ht="13" hidden="false" customHeight="false" outlineLevel="1" collapsed="false">
      <c r="B32" s="12" t="s">
        <v>80</v>
      </c>
      <c r="C32" s="12" t="s">
        <v>81</v>
      </c>
      <c r="D32" s="12" t="s">
        <v>80</v>
      </c>
      <c r="E32" s="12" t="s">
        <v>81</v>
      </c>
      <c r="F32" s="12" t="s">
        <v>82</v>
      </c>
    </row>
    <row r="33" customFormat="false" ht="13" hidden="false" customHeight="false" outlineLevel="1" collapsed="false">
      <c r="B33" s="13" t="s">
        <v>83</v>
      </c>
      <c r="C33" s="13" t="s">
        <v>84</v>
      </c>
      <c r="D33" s="14" t="str">
        <f aca="false">PROPER(B33)</f>
        <v>Eric</v>
      </c>
      <c r="E33" s="14" t="str">
        <f aca="false">PROPER(C33)</f>
        <v>Johnson</v>
      </c>
      <c r="F33" s="14" t="str">
        <f aca="false">CONCATENATE(D33,", ",E33)</f>
        <v>Eric, Johnson</v>
      </c>
    </row>
    <row r="34" customFormat="false" ht="13" hidden="false" customHeight="false" outlineLevel="1" collapsed="false">
      <c r="B34" s="13" t="s">
        <v>85</v>
      </c>
      <c r="C34" s="13" t="s">
        <v>86</v>
      </c>
      <c r="D34" s="14" t="str">
        <f aca="false">PROPER(B34)</f>
        <v>John</v>
      </c>
      <c r="E34" s="14" t="str">
        <f aca="false">PROPER(C34)</f>
        <v>Smith</v>
      </c>
      <c r="F34" s="14" t="str">
        <f aca="false">CONCATENATE(D34,", ",E34)</f>
        <v>John, Smith</v>
      </c>
    </row>
    <row r="35" customFormat="false" ht="13" hidden="false" customHeight="false" outlineLevel="1" collapsed="false">
      <c r="B35" s="13" t="s">
        <v>87</v>
      </c>
      <c r="C35" s="13" t="s">
        <v>88</v>
      </c>
      <c r="D35" s="14" t="str">
        <f aca="false">PROPER(B35)</f>
        <v>Beth</v>
      </c>
      <c r="E35" s="14" t="str">
        <f aca="false">PROPER(C35)</f>
        <v>Summers</v>
      </c>
      <c r="F35" s="14" t="str">
        <f aca="false">CONCATENATE(D35,", ",E35)</f>
        <v>Beth, Summers</v>
      </c>
    </row>
    <row r="36" customFormat="false" ht="13" hidden="false" customHeight="false" outlineLevel="1" collapsed="false">
      <c r="B36" s="13" t="s">
        <v>89</v>
      </c>
      <c r="C36" s="13" t="s">
        <v>90</v>
      </c>
      <c r="D36" s="14" t="str">
        <f aca="false">PROPER(B36)</f>
        <v>Miles</v>
      </c>
      <c r="E36" s="14" t="str">
        <f aca="false">PROPER(C36)</f>
        <v>Peterson</v>
      </c>
      <c r="F36" s="14" t="str">
        <f aca="false">CONCATENATE(D36,", ",E36)</f>
        <v>Miles, Peterson</v>
      </c>
    </row>
    <row r="37" customFormat="false" ht="13" hidden="false" customHeight="false" outlineLevel="1" collapsed="false">
      <c r="B37" s="13" t="s">
        <v>91</v>
      </c>
      <c r="C37" s="13" t="s">
        <v>92</v>
      </c>
      <c r="D37" s="14" t="str">
        <f aca="false">PROPER(B37)</f>
        <v>Jenna</v>
      </c>
      <c r="E37" s="14" t="str">
        <f aca="false">PROPER(C37)</f>
        <v>Stone</v>
      </c>
      <c r="F37" s="14" t="str">
        <f aca="false">CONCATENATE(D37,", ",E37)</f>
        <v>Jenna, Stone</v>
      </c>
    </row>
    <row r="38" customFormat="false" ht="13" hidden="false" customHeight="false" outlineLevel="1" collapsed="false">
      <c r="B38" s="13" t="s">
        <v>93</v>
      </c>
      <c r="C38" s="13" t="s">
        <v>94</v>
      </c>
      <c r="D38" s="14" t="str">
        <f aca="false">PROPER(B38)</f>
        <v>Quinn</v>
      </c>
      <c r="E38" s="14" t="str">
        <f aca="false">PROPER(C38)</f>
        <v>Cook</v>
      </c>
      <c r="F38" s="14" t="str">
        <f aca="false">CONCATENATE(D38,", ",E38)</f>
        <v>Quinn, Cook</v>
      </c>
    </row>
    <row r="39" customFormat="false" ht="13" hidden="false" customHeight="false" outlineLevel="1" collapsed="false"/>
    <row r="40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66"/>
  <sheetViews>
    <sheetView showFormulas="false" showGridLines="false" showRowColHeaders="true" showZeros="true" rightToLeft="false" tabSelected="true" showOutlineSymbols="true" defaultGridColor="true" view="normal" topLeftCell="A16" colorId="64" zoomScale="80" zoomScaleNormal="80" zoomScalePageLayoutView="100" workbookViewId="0">
      <selection pane="topLeft" activeCell="E30" activeCellId="0" sqref="E30:E36"/>
    </sheetView>
  </sheetViews>
  <sheetFormatPr defaultRowHeight="12.5" zeroHeight="false" outlineLevelRow="1" outlineLevelCol="0"/>
  <cols>
    <col collapsed="false" customWidth="true" hidden="false" outlineLevel="0" max="1" min="1" style="2" width="9.34"/>
    <col collapsed="false" customWidth="true" hidden="false" outlineLevel="0" max="2" min="2" style="2" width="20"/>
    <col collapsed="false" customWidth="true" hidden="false" outlineLevel="0" max="3" min="3" style="2" width="27.34"/>
    <col collapsed="false" customWidth="true" hidden="false" outlineLevel="0" max="4" min="4" style="2" width="30.78"/>
    <col collapsed="false" customWidth="true" hidden="false" outlineLevel="0" max="5" min="5" style="2" width="29.11"/>
    <col collapsed="false" customWidth="true" hidden="false" outlineLevel="0" max="6" min="6" style="2" width="30.34"/>
    <col collapsed="false" customWidth="true" hidden="false" outlineLevel="0" max="7" min="7" style="2" width="31.66"/>
    <col collapsed="false" customWidth="true" hidden="false" outlineLevel="0" max="8" min="8" style="2" width="15.33"/>
    <col collapsed="false" customWidth="true" hidden="false" outlineLevel="0" max="9" min="9" style="2" width="12.66"/>
    <col collapsed="false" customWidth="true" hidden="false" outlineLevel="0" max="10" min="10" style="2" width="9.34"/>
    <col collapsed="false" customWidth="true" hidden="false" outlineLevel="0" max="11" min="11" style="2" width="16"/>
    <col collapsed="false" customWidth="true" hidden="false" outlineLevel="0" max="1025" min="12" style="2" width="9.34"/>
  </cols>
  <sheetData>
    <row r="1" customFormat="false" ht="13" hidden="false" customHeight="false" outlineLevel="0" collapsed="false">
      <c r="A1" s="3" t="str">
        <f aca="false">Introduction!A1</f>
        <v>Problem Solving with Excel </v>
      </c>
    </row>
    <row r="2" customFormat="false" ht="13" hidden="false" customHeight="false" outlineLevel="0" collapsed="false">
      <c r="A2" s="3" t="str">
        <f aca="false">Introduction!A2</f>
        <v>Week 2</v>
      </c>
    </row>
    <row r="3" customFormat="false" ht="13" hidden="false" customHeight="false" outlineLevel="0" collapsed="false">
      <c r="A3" s="3" t="str">
        <f aca="false">Introduction!A3</f>
        <v>Data Cleansing - Text Functions</v>
      </c>
    </row>
    <row r="4" customFormat="false" ht="13" hidden="false" customHeight="false" outlineLevel="0" collapsed="false">
      <c r="A4" s="3"/>
    </row>
    <row r="5" customFormat="false" ht="12.5" hidden="false" customHeight="false" outlineLevel="0" collapsed="false">
      <c r="P5" s="10"/>
    </row>
    <row r="7" customFormat="false" ht="18.5" hidden="false" customHeight="false" outlineLevel="0" collapsed="false">
      <c r="B7" s="11" t="s">
        <v>14</v>
      </c>
    </row>
    <row r="8" customFormat="false" ht="12.5" hidden="false" customHeight="false" outlineLevel="1" collapsed="false"/>
    <row r="9" customFormat="false" ht="12.5" hidden="false" customHeight="false" outlineLevel="1" collapsed="false">
      <c r="B9" s="2" t="s">
        <v>96</v>
      </c>
    </row>
    <row r="10" customFormat="false" ht="12.5" hidden="false" customHeight="false" outlineLevel="1" collapsed="false">
      <c r="B10" s="2" t="s">
        <v>97</v>
      </c>
    </row>
    <row r="11" customFormat="false" ht="12.5" hidden="false" customHeight="false" outlineLevel="1" collapsed="false"/>
    <row r="12" customFormat="false" ht="13" hidden="false" customHeight="false" outlineLevel="1" collapsed="false">
      <c r="B12" s="12" t="s">
        <v>98</v>
      </c>
      <c r="C12" s="12" t="s">
        <v>99</v>
      </c>
      <c r="D12" s="12" t="s">
        <v>100</v>
      </c>
      <c r="E12" s="12" t="s">
        <v>101</v>
      </c>
      <c r="F12" s="12" t="s">
        <v>102</v>
      </c>
    </row>
    <row r="13" customFormat="false" ht="12.5" hidden="false" customHeight="false" outlineLevel="1" collapsed="false">
      <c r="B13" s="19" t="n">
        <v>42535</v>
      </c>
      <c r="C13" s="20" t="n">
        <f aca="false">VALUE(MONTH(B13))</f>
        <v>6</v>
      </c>
      <c r="D13" s="21" t="n">
        <v>208</v>
      </c>
      <c r="E13" s="22" t="n">
        <v>14.5</v>
      </c>
      <c r="F13" s="23" t="n">
        <f aca="false">E13*D13</f>
        <v>3016</v>
      </c>
    </row>
    <row r="14" customFormat="false" ht="12.5" hidden="false" customHeight="false" outlineLevel="1" collapsed="false">
      <c r="B14" s="19" t="n">
        <v>42553</v>
      </c>
      <c r="C14" s="20" t="n">
        <f aca="false">VALUE(MONTH(B14))</f>
        <v>7</v>
      </c>
      <c r="D14" s="21" t="n">
        <v>197</v>
      </c>
      <c r="E14" s="22" t="n">
        <v>14.5</v>
      </c>
      <c r="F14" s="23" t="n">
        <f aca="false">E14*D14</f>
        <v>2856.5</v>
      </c>
    </row>
    <row r="15" customFormat="false" ht="12.5" hidden="false" customHeight="false" outlineLevel="1" collapsed="false">
      <c r="B15" s="19" t="n">
        <v>42536</v>
      </c>
      <c r="C15" s="20" t="n">
        <f aca="false">VALUE(MONTH(B15))</f>
        <v>6</v>
      </c>
      <c r="D15" s="21" t="n">
        <v>176</v>
      </c>
      <c r="E15" s="22" t="n">
        <v>14.5</v>
      </c>
      <c r="F15" s="23" t="n">
        <f aca="false">E15*D15</f>
        <v>2552</v>
      </c>
    </row>
    <row r="16" customFormat="false" ht="12.5" hidden="false" customHeight="false" outlineLevel="1" collapsed="false">
      <c r="B16" s="19" t="n">
        <v>42531</v>
      </c>
      <c r="C16" s="20" t="n">
        <f aca="false">VALUE(MONTH(B16))</f>
        <v>6</v>
      </c>
      <c r="D16" s="21" t="n">
        <v>168</v>
      </c>
      <c r="E16" s="22" t="n">
        <v>14.5</v>
      </c>
      <c r="F16" s="23" t="n">
        <f aca="false">E16*D16</f>
        <v>2436</v>
      </c>
    </row>
    <row r="17" customFormat="false" ht="12.5" hidden="false" customHeight="false" outlineLevel="1" collapsed="false">
      <c r="B17" s="19" t="n">
        <v>42536</v>
      </c>
      <c r="C17" s="20" t="n">
        <f aca="false">VALUE(MONTH(B17))</f>
        <v>6</v>
      </c>
      <c r="D17" s="21" t="n">
        <v>166</v>
      </c>
      <c r="E17" s="22" t="n">
        <v>14.5</v>
      </c>
      <c r="F17" s="23" t="n">
        <f aca="false">E17*D17</f>
        <v>2407</v>
      </c>
    </row>
    <row r="18" customFormat="false" ht="12.5" hidden="false" customHeight="false" outlineLevel="1" collapsed="false">
      <c r="B18" s="19" t="n">
        <v>42539</v>
      </c>
      <c r="C18" s="20" t="n">
        <f aca="false">VALUE(MONTH(B18))</f>
        <v>6</v>
      </c>
      <c r="D18" s="21" t="n">
        <v>157</v>
      </c>
      <c r="E18" s="22" t="n">
        <v>14.5</v>
      </c>
      <c r="F18" s="23" t="n">
        <f aca="false">E18*D18</f>
        <v>2276.5</v>
      </c>
    </row>
    <row r="19" customFormat="false" ht="12.5" hidden="false" customHeight="false" outlineLevel="1" collapsed="false">
      <c r="B19" s="19" t="n">
        <v>42545</v>
      </c>
      <c r="C19" s="20" t="n">
        <f aca="false">VALUE(MONTH(B19))</f>
        <v>6</v>
      </c>
      <c r="D19" s="21" t="n">
        <v>142</v>
      </c>
      <c r="E19" s="22" t="n">
        <v>14.5</v>
      </c>
      <c r="F19" s="23" t="n">
        <f aca="false">E19*D19</f>
        <v>2059</v>
      </c>
    </row>
    <row r="20" customFormat="false" ht="12.5" hidden="false" customHeight="false" outlineLevel="1" collapsed="false">
      <c r="B20" s="19" t="n">
        <v>42535</v>
      </c>
      <c r="C20" s="20" t="n">
        <f aca="false">VALUE(MONTH(B20))</f>
        <v>6</v>
      </c>
      <c r="D20" s="21" t="n">
        <v>193</v>
      </c>
      <c r="E20" s="22" t="n">
        <v>9.99</v>
      </c>
      <c r="F20" s="23" t="n">
        <f aca="false">E20*D20</f>
        <v>1928.07</v>
      </c>
    </row>
    <row r="21" customFormat="false" ht="12.5" hidden="false" customHeight="false" outlineLevel="1" collapsed="false">
      <c r="B21" s="19" t="n">
        <v>42538</v>
      </c>
      <c r="C21" s="20" t="n">
        <f aca="false">VALUE(MONTH(B21))</f>
        <v>6</v>
      </c>
      <c r="D21" s="21" t="n">
        <v>205</v>
      </c>
      <c r="E21" s="22" t="n">
        <v>9</v>
      </c>
      <c r="F21" s="23" t="n">
        <f aca="false">E21*D21</f>
        <v>1845</v>
      </c>
    </row>
    <row r="22" customFormat="false" ht="12.5" hidden="false" customHeight="false" outlineLevel="1" collapsed="false">
      <c r="B22" s="19" t="n">
        <v>42538</v>
      </c>
      <c r="C22" s="20" t="n">
        <f aca="false">VALUE(MONTH(B22))</f>
        <v>6</v>
      </c>
      <c r="D22" s="21" t="n">
        <v>199</v>
      </c>
      <c r="E22" s="22" t="n">
        <v>9</v>
      </c>
      <c r="F22" s="23" t="n">
        <f aca="false">E22*D22</f>
        <v>1791</v>
      </c>
    </row>
    <row r="23" customFormat="false" ht="12.5" hidden="false" customHeight="false" outlineLevel="1" collapsed="false">
      <c r="B23" s="19" t="n">
        <v>42534</v>
      </c>
      <c r="C23" s="20" t="n">
        <f aca="false">VALUE(MONTH(B23))</f>
        <v>6</v>
      </c>
      <c r="D23" s="21" t="n">
        <v>188</v>
      </c>
      <c r="E23" s="22" t="n">
        <v>9</v>
      </c>
      <c r="F23" s="23" t="n">
        <f aca="false">E23*D23</f>
        <v>1692</v>
      </c>
    </row>
    <row r="24" customFormat="false" ht="13" hidden="false" customHeight="false" outlineLevel="1" collapsed="false"/>
    <row r="25" customFormat="false" ht="13" hidden="false" customHeight="false" outlineLevel="1" collapsed="false"/>
    <row r="26" customFormat="false" ht="13" hidden="false" customHeight="false" outlineLevel="1" collapsed="false"/>
    <row r="27" customFormat="false" ht="13" hidden="false" customHeight="false" outlineLevel="1" collapsed="false"/>
    <row r="28" customFormat="false" ht="13" hidden="false" customHeight="false" outlineLevel="1" collapsed="false">
      <c r="B28" s="24" t="s">
        <v>98</v>
      </c>
      <c r="C28" s="25" t="s">
        <v>99</v>
      </c>
      <c r="D28" s="26" t="s">
        <v>100</v>
      </c>
      <c r="E28" s="27" t="s">
        <v>101</v>
      </c>
      <c r="F28" s="27" t="s">
        <v>102</v>
      </c>
    </row>
    <row r="29" customFormat="false" ht="13" hidden="false" customHeight="false" outlineLevel="1" collapsed="false">
      <c r="B29" s="24" t="s">
        <v>103</v>
      </c>
      <c r="C29" s="25" t="s">
        <v>104</v>
      </c>
      <c r="D29" s="26" t="s">
        <v>104</v>
      </c>
      <c r="E29" s="27" t="s">
        <v>105</v>
      </c>
      <c r="F29" s="27" t="s">
        <v>105</v>
      </c>
    </row>
    <row r="30" customFormat="false" ht="12.8" hidden="false" customHeight="false" outlineLevel="1" collapsed="false">
      <c r="B30" s="19"/>
      <c r="C30" s="20"/>
      <c r="D30" s="21"/>
      <c r="E30" s="22"/>
      <c r="F30" s="23"/>
    </row>
    <row r="31" customFormat="false" ht="12.8" hidden="false" customHeight="false" outlineLevel="1" collapsed="false">
      <c r="B31" s="19"/>
      <c r="C31" s="20"/>
      <c r="D31" s="21"/>
      <c r="E31" s="22"/>
      <c r="F31" s="23"/>
    </row>
    <row r="32" customFormat="false" ht="12.8" hidden="false" customHeight="false" outlineLevel="1" collapsed="false">
      <c r="B32" s="19"/>
      <c r="C32" s="20"/>
      <c r="D32" s="21"/>
      <c r="E32" s="22"/>
      <c r="F32" s="23"/>
    </row>
    <row r="33" customFormat="false" ht="12.8" hidden="false" customHeight="false" outlineLevel="1" collapsed="false">
      <c r="B33" s="19"/>
      <c r="C33" s="20"/>
      <c r="D33" s="21"/>
      <c r="E33" s="22"/>
      <c r="F33" s="23"/>
    </row>
    <row r="34" customFormat="false" ht="12.8" hidden="false" customHeight="false" outlineLevel="1" collapsed="false">
      <c r="B34" s="19"/>
      <c r="C34" s="20"/>
      <c r="D34" s="21"/>
      <c r="E34" s="22"/>
      <c r="F34" s="23"/>
    </row>
    <row r="35" customFormat="false" ht="12.8" hidden="false" customHeight="false" outlineLevel="1" collapsed="false">
      <c r="B35" s="19"/>
      <c r="C35" s="20"/>
      <c r="D35" s="21"/>
      <c r="E35" s="22"/>
      <c r="F35" s="23"/>
    </row>
    <row r="36" customFormat="false" ht="12.8" hidden="false" customHeight="false" outlineLevel="1" collapsed="false">
      <c r="B36" s="19"/>
      <c r="C36" s="20"/>
      <c r="D36" s="21"/>
      <c r="E36" s="22"/>
      <c r="F36" s="23"/>
    </row>
    <row r="37" customFormat="false" ht="12.5" hidden="false" customHeight="false" outlineLevel="1" collapsed="false"/>
    <row r="38" customFormat="false" ht="18.5" hidden="false" customHeight="false" outlineLevel="0" collapsed="false">
      <c r="B38" s="11" t="s">
        <v>27</v>
      </c>
    </row>
    <row r="39" customFormat="false" ht="18.5" hidden="false" customHeight="false" outlineLevel="1" collapsed="false">
      <c r="B39" s="11"/>
    </row>
    <row r="40" customFormat="false" ht="12.5" hidden="false" customHeight="false" outlineLevel="1" collapsed="false">
      <c r="B40" s="2" t="s">
        <v>106</v>
      </c>
    </row>
    <row r="41" customFormat="false" ht="12.5" hidden="false" customHeight="false" outlineLevel="1" collapsed="false">
      <c r="B41" s="2" t="s">
        <v>107</v>
      </c>
    </row>
    <row r="42" customFormat="false" ht="12.5" hidden="false" customHeight="false" outlineLevel="1" collapsed="false"/>
    <row r="43" customFormat="false" ht="13" hidden="false" customHeight="false" outlineLevel="1" collapsed="false">
      <c r="B43" s="28" t="s">
        <v>108</v>
      </c>
      <c r="C43" s="28" t="s">
        <v>109</v>
      </c>
      <c r="D43" s="24" t="s">
        <v>110</v>
      </c>
      <c r="E43" s="24" t="s">
        <v>98</v>
      </c>
      <c r="F43" s="26" t="s">
        <v>100</v>
      </c>
      <c r="G43" s="27" t="s">
        <v>102</v>
      </c>
    </row>
    <row r="44" customFormat="false" ht="12.5" hidden="false" customHeight="false" outlineLevel="1" collapsed="false">
      <c r="B44" s="29" t="s">
        <v>111</v>
      </c>
      <c r="C44" s="29" t="s">
        <v>112</v>
      </c>
      <c r="D44" s="29" t="s">
        <v>113</v>
      </c>
      <c r="E44" s="19" t="s">
        <v>114</v>
      </c>
      <c r="F44" s="21" t="n">
        <v>208</v>
      </c>
      <c r="G44" s="30" t="n">
        <v>3016</v>
      </c>
    </row>
    <row r="45" customFormat="false" ht="12.5" hidden="false" customHeight="false" outlineLevel="1" collapsed="false">
      <c r="B45" s="29" t="s">
        <v>115</v>
      </c>
      <c r="C45" s="29" t="s">
        <v>116</v>
      </c>
      <c r="D45" s="29" t="s">
        <v>117</v>
      </c>
      <c r="E45" s="19" t="s">
        <v>118</v>
      </c>
      <c r="F45" s="21" t="s">
        <v>119</v>
      </c>
      <c r="G45" s="30" t="n">
        <v>2856.5</v>
      </c>
    </row>
    <row r="46" customFormat="false" ht="12.5" hidden="false" customHeight="false" outlineLevel="1" collapsed="false">
      <c r="B46" s="29" t="s">
        <v>120</v>
      </c>
      <c r="C46" s="31" t="s">
        <v>121</v>
      </c>
      <c r="D46" s="29" t="s">
        <v>122</v>
      </c>
      <c r="E46" s="19" t="s">
        <v>123</v>
      </c>
      <c r="F46" s="21" t="s">
        <v>124</v>
      </c>
      <c r="G46" s="30" t="n">
        <v>2552</v>
      </c>
    </row>
    <row r="47" customFormat="false" ht="12.5" hidden="false" customHeight="false" outlineLevel="1" collapsed="false">
      <c r="B47" s="32" t="s">
        <v>125</v>
      </c>
      <c r="C47" s="31" t="s">
        <v>126</v>
      </c>
      <c r="D47" s="29" t="s">
        <v>117</v>
      </c>
      <c r="E47" s="19" t="s">
        <v>127</v>
      </c>
      <c r="F47" s="21" t="n">
        <v>168</v>
      </c>
      <c r="G47" s="30" t="n">
        <v>2436</v>
      </c>
    </row>
    <row r="48" customFormat="false" ht="12.5" hidden="false" customHeight="false" outlineLevel="1" collapsed="false">
      <c r="B48" s="29" t="s">
        <v>128</v>
      </c>
      <c r="C48" s="33" t="s">
        <v>129</v>
      </c>
      <c r="D48" s="29" t="s">
        <v>122</v>
      </c>
      <c r="E48" s="19" t="s">
        <v>130</v>
      </c>
      <c r="F48" s="21" t="n">
        <v>166</v>
      </c>
      <c r="G48" s="30" t="n">
        <v>2407</v>
      </c>
    </row>
    <row r="49" customFormat="false" ht="12.5" hidden="false" customHeight="false" outlineLevel="1" collapsed="false">
      <c r="B49" s="29" t="s">
        <v>131</v>
      </c>
      <c r="C49" s="33" t="s">
        <v>132</v>
      </c>
      <c r="D49" s="29" t="s">
        <v>113</v>
      </c>
      <c r="E49" s="19" t="s">
        <v>133</v>
      </c>
      <c r="F49" s="21" t="n">
        <v>157</v>
      </c>
      <c r="G49" s="30" t="n">
        <v>2276.5</v>
      </c>
    </row>
    <row r="50" customFormat="false" ht="12.5" hidden="false" customHeight="false" outlineLevel="1" collapsed="false">
      <c r="B50" s="29" t="s">
        <v>134</v>
      </c>
      <c r="C50" s="33" t="s">
        <v>135</v>
      </c>
      <c r="D50" s="29" t="s">
        <v>113</v>
      </c>
      <c r="E50" s="19" t="n">
        <v>42545</v>
      </c>
      <c r="F50" s="21" t="n">
        <v>142</v>
      </c>
      <c r="G50" s="30" t="n">
        <v>2059</v>
      </c>
    </row>
    <row r="51" customFormat="false" ht="12.5" hidden="false" customHeight="false" outlineLevel="1" collapsed="false">
      <c r="B51" s="31" t="s">
        <v>136</v>
      </c>
      <c r="C51" s="31" t="s">
        <v>137</v>
      </c>
      <c r="D51" s="29" t="s">
        <v>122</v>
      </c>
      <c r="E51" s="19" t="n">
        <v>42535</v>
      </c>
      <c r="F51" s="21" t="n">
        <v>193</v>
      </c>
      <c r="G51" s="30" t="n">
        <v>1692</v>
      </c>
    </row>
    <row r="52" customFormat="false" ht="13" hidden="false" customHeight="false" outlineLevel="1" collapsed="false"/>
    <row r="53" customFormat="false" ht="13" hidden="false" customHeight="false" outlineLevel="1" collapsed="false"/>
    <row r="54" customFormat="false" ht="13" hidden="false" customHeight="false" outlineLevel="1" collapsed="false"/>
    <row r="55" customFormat="false" ht="13" hidden="false" customHeight="false" outlineLevel="1" collapsed="false"/>
    <row r="56" customFormat="false" ht="13" hidden="false" customHeight="false" outlineLevel="1" collapsed="false"/>
    <row r="57" customFormat="false" ht="13" hidden="false" customHeight="false" outlineLevel="1" collapsed="false">
      <c r="B57" s="28" t="s">
        <v>108</v>
      </c>
      <c r="C57" s="28" t="s">
        <v>109</v>
      </c>
      <c r="D57" s="24" t="s">
        <v>110</v>
      </c>
      <c r="E57" s="24" t="s">
        <v>98</v>
      </c>
      <c r="F57" s="26" t="s">
        <v>100</v>
      </c>
      <c r="G57" s="27" t="s">
        <v>102</v>
      </c>
    </row>
    <row r="58" customFormat="false" ht="13" hidden="false" customHeight="false" outlineLevel="1" collapsed="false">
      <c r="B58" s="28" t="s">
        <v>138</v>
      </c>
      <c r="C58" s="28" t="s">
        <v>138</v>
      </c>
      <c r="D58" s="24" t="s">
        <v>138</v>
      </c>
      <c r="E58" s="24" t="s">
        <v>103</v>
      </c>
      <c r="F58" s="26" t="s">
        <v>104</v>
      </c>
      <c r="G58" s="27" t="s">
        <v>139</v>
      </c>
      <c r="I58" s="2" t="s">
        <v>140</v>
      </c>
      <c r="K58" s="2" t="s">
        <v>141</v>
      </c>
      <c r="L58" s="2" t="s">
        <v>110</v>
      </c>
    </row>
    <row r="59" customFormat="false" ht="12.5" hidden="false" customHeight="false" outlineLevel="1" collapsed="false">
      <c r="B59" s="29"/>
      <c r="C59" s="29"/>
      <c r="D59" s="29"/>
      <c r="E59" s="19"/>
      <c r="F59" s="21"/>
      <c r="G59" s="30"/>
      <c r="I59" s="2" t="s">
        <v>111</v>
      </c>
      <c r="K59" s="2" t="s">
        <v>116</v>
      </c>
      <c r="L59" s="2" t="s">
        <v>113</v>
      </c>
    </row>
    <row r="60" customFormat="false" ht="12.5" hidden="false" customHeight="false" outlineLevel="1" collapsed="false">
      <c r="B60" s="29"/>
      <c r="C60" s="29"/>
      <c r="D60" s="29"/>
      <c r="E60" s="19"/>
      <c r="F60" s="21"/>
      <c r="G60" s="30"/>
      <c r="I60" s="2" t="s">
        <v>115</v>
      </c>
      <c r="K60" s="2" t="s">
        <v>126</v>
      </c>
      <c r="L60" s="2" t="s">
        <v>117</v>
      </c>
    </row>
    <row r="61" customFormat="false" ht="12.5" hidden="false" customHeight="false" outlineLevel="1" collapsed="false">
      <c r="B61" s="29"/>
      <c r="C61" s="31"/>
      <c r="D61" s="29"/>
      <c r="E61" s="19"/>
      <c r="F61" s="21"/>
      <c r="G61" s="30"/>
      <c r="I61" s="2" t="s">
        <v>120</v>
      </c>
      <c r="K61" s="2" t="s">
        <v>129</v>
      </c>
      <c r="L61" s="2" t="s">
        <v>122</v>
      </c>
    </row>
    <row r="62" customFormat="false" ht="12.5" hidden="false" customHeight="false" outlineLevel="1" collapsed="false">
      <c r="B62" s="32"/>
      <c r="C62" s="31"/>
      <c r="D62" s="29"/>
      <c r="E62" s="19"/>
      <c r="F62" s="21"/>
      <c r="G62" s="30"/>
      <c r="I62" s="2" t="s">
        <v>125</v>
      </c>
      <c r="K62" s="2" t="s">
        <v>137</v>
      </c>
    </row>
    <row r="63" customFormat="false" ht="12.5" hidden="false" customHeight="false" outlineLevel="1" collapsed="false">
      <c r="B63" s="29"/>
      <c r="C63" s="33"/>
      <c r="D63" s="29"/>
      <c r="E63" s="19"/>
      <c r="F63" s="21"/>
      <c r="G63" s="30"/>
      <c r="I63" s="2" t="s">
        <v>128</v>
      </c>
    </row>
    <row r="64" customFormat="false" ht="12.5" hidden="false" customHeight="false" outlineLevel="1" collapsed="false">
      <c r="B64" s="29"/>
      <c r="C64" s="33"/>
      <c r="D64" s="29"/>
      <c r="E64" s="19"/>
      <c r="F64" s="21"/>
      <c r="G64" s="30"/>
      <c r="I64" s="2" t="s">
        <v>131</v>
      </c>
    </row>
    <row r="65" customFormat="false" ht="12.5" hidden="false" customHeight="false" outlineLevel="1" collapsed="false">
      <c r="B65" s="29"/>
      <c r="C65" s="33"/>
      <c r="D65" s="29"/>
      <c r="E65" s="19"/>
      <c r="F65" s="21"/>
      <c r="G65" s="30"/>
      <c r="I65" s="2" t="s">
        <v>134</v>
      </c>
    </row>
    <row r="66" customFormat="false" ht="12.5" hidden="false" customHeight="false" outlineLevel="1" collapsed="false">
      <c r="B66" s="31"/>
      <c r="C66" s="31"/>
      <c r="D66" s="29"/>
      <c r="E66" s="19"/>
      <c r="F66" s="21"/>
      <c r="G66" s="30"/>
      <c r="I66" s="2" t="s">
        <v>136</v>
      </c>
    </row>
  </sheetData>
  <conditionalFormatting sqref="B30:F36 B44:G51">
    <cfRule type="expression" priority="2" aboveAverage="0" equalAverage="0" bottom="0" percent="0" rank="0" text="" dxfId="0">
      <formula>MOD(ROW(B30),2)</formula>
    </cfRule>
  </conditionalFormatting>
  <conditionalFormatting sqref="B13:F23">
    <cfRule type="expression" priority="3" aboveAverage="0" equalAverage="0" bottom="0" percent="0" rank="0" text="" dxfId="1">
      <formula>MOD(ROW(B13),2)</formula>
    </cfRule>
  </conditionalFormatting>
  <conditionalFormatting sqref="B59:G66">
    <cfRule type="expression" priority="4" aboveAverage="0" equalAverage="0" bottom="0" percent="0" rank="0" text="" dxfId="2">
      <formula>MOD(ROW(B59),2)</formula>
    </cfRule>
  </conditionalFormatting>
  <dataValidations count="4">
    <dataValidation allowBlank="true" operator="greaterThan" showDropDown="false" showErrorMessage="true" showInputMessage="true" sqref="E30:F36" type="decimal">
      <formula1>0</formula1>
      <formula2>0</formula2>
    </dataValidation>
    <dataValidation allowBlank="true" operator="greaterThan" showDropDown="false" showErrorMessage="true" showInputMessage="true" sqref="D30:D36" type="whole">
      <formula1>0</formula1>
      <formula2>0</formula2>
    </dataValidation>
    <dataValidation allowBlank="true" operator="greaterThanOrEqual" showDropDown="false" showErrorMessage="true" showInputMessage="true" sqref="B30:B36" type="date">
      <formula1>1</formula1>
      <formula2>0</formula2>
    </dataValidation>
    <dataValidation allowBlank="true" operator="between" showDropDown="false" showErrorMessage="true" showInputMessage="true" sqref="C30:C36" type="whole">
      <formula1>1</formula1>
      <formula2>12</formula2>
    </dataValidation>
  </dataValidations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tabColor rgb="FFDB536A"/>
    <pageSetUpPr fitToPage="false"/>
  </sheetPr>
  <dimension ref="A1:P66"/>
  <sheetViews>
    <sheetView showFormulas="false" showGridLines="false" showRowColHeaders="true" showZeros="true" rightToLeft="false" tabSelected="false" showOutlineSymbols="true" defaultGridColor="true" view="normal" topLeftCell="A26" colorId="64" zoomScale="80" zoomScaleNormal="80" zoomScalePageLayoutView="100" workbookViewId="0">
      <selection pane="topLeft" activeCell="I46" activeCellId="1" sqref="E30:E36 I46"/>
    </sheetView>
  </sheetViews>
  <sheetFormatPr defaultRowHeight="12.5" zeroHeight="false" outlineLevelRow="1" outlineLevelCol="0"/>
  <cols>
    <col collapsed="false" customWidth="true" hidden="false" outlineLevel="0" max="1" min="1" style="2" width="9.34"/>
    <col collapsed="false" customWidth="true" hidden="false" outlineLevel="0" max="2" min="2" style="2" width="20"/>
    <col collapsed="false" customWidth="true" hidden="false" outlineLevel="0" max="3" min="3" style="2" width="27.34"/>
    <col collapsed="false" customWidth="true" hidden="false" outlineLevel="0" max="4" min="4" style="2" width="30.78"/>
    <col collapsed="false" customWidth="true" hidden="false" outlineLevel="0" max="5" min="5" style="2" width="29.11"/>
    <col collapsed="false" customWidth="true" hidden="false" outlineLevel="0" max="6" min="6" style="2" width="30.34"/>
    <col collapsed="false" customWidth="true" hidden="false" outlineLevel="0" max="7" min="7" style="2" width="31.66"/>
    <col collapsed="false" customWidth="true" hidden="false" outlineLevel="0" max="8" min="8" style="2" width="15.33"/>
    <col collapsed="false" customWidth="true" hidden="false" outlineLevel="0" max="9" min="9" style="2" width="12.66"/>
    <col collapsed="false" customWidth="true" hidden="false" outlineLevel="0" max="10" min="10" style="2" width="9.34"/>
    <col collapsed="false" customWidth="true" hidden="false" outlineLevel="0" max="11" min="11" style="2" width="16"/>
    <col collapsed="false" customWidth="true" hidden="false" outlineLevel="0" max="1025" min="12" style="2" width="9.34"/>
  </cols>
  <sheetData>
    <row r="1" customFormat="false" ht="13" hidden="false" customHeight="false" outlineLevel="0" collapsed="false">
      <c r="A1" s="3" t="str">
        <f aca="false">Introduction!A1</f>
        <v>Problem Solving with Excel </v>
      </c>
    </row>
    <row r="2" customFormat="false" ht="13" hidden="false" customHeight="false" outlineLevel="0" collapsed="false">
      <c r="A2" s="3" t="str">
        <f aca="false">Introduction!A2</f>
        <v>Week 2</v>
      </c>
    </row>
    <row r="3" customFormat="false" ht="13" hidden="false" customHeight="false" outlineLevel="0" collapsed="false">
      <c r="A3" s="3" t="str">
        <f aca="false">Introduction!A3</f>
        <v>Data Cleansing - Text Functions</v>
      </c>
    </row>
    <row r="4" customFormat="false" ht="13" hidden="false" customHeight="false" outlineLevel="0" collapsed="false">
      <c r="A4" s="3"/>
    </row>
    <row r="5" customFormat="false" ht="12.5" hidden="false" customHeight="false" outlineLevel="0" collapsed="false">
      <c r="P5" s="10"/>
    </row>
    <row r="7" customFormat="false" ht="18.5" hidden="false" customHeight="false" outlineLevel="0" collapsed="false">
      <c r="B7" s="11" t="s">
        <v>14</v>
      </c>
    </row>
    <row r="8" customFormat="false" ht="12.5" hidden="false" customHeight="false" outlineLevel="1" collapsed="false"/>
    <row r="9" customFormat="false" ht="12.5" hidden="false" customHeight="false" outlineLevel="1" collapsed="false">
      <c r="B9" s="2" t="s">
        <v>142</v>
      </c>
    </row>
    <row r="10" customFormat="false" ht="12.75" hidden="false" customHeight="true" outlineLevel="1" collapsed="false">
      <c r="B10" s="2" t="s">
        <v>143</v>
      </c>
    </row>
    <row r="11" customFormat="false" ht="12.5" hidden="false" customHeight="false" outlineLevel="1" collapsed="false"/>
    <row r="12" customFormat="false" ht="13" hidden="false" customHeight="false" outlineLevel="1" collapsed="false">
      <c r="B12" s="24" t="s">
        <v>98</v>
      </c>
      <c r="C12" s="25" t="s">
        <v>99</v>
      </c>
      <c r="D12" s="26" t="s">
        <v>100</v>
      </c>
      <c r="E12" s="27" t="s">
        <v>101</v>
      </c>
      <c r="F12" s="27" t="s">
        <v>102</v>
      </c>
    </row>
    <row r="13" customFormat="false" ht="12.5" hidden="false" customHeight="false" outlineLevel="1" collapsed="false">
      <c r="B13" s="19" t="n">
        <v>42535</v>
      </c>
      <c r="C13" s="20" t="n">
        <f aca="false">VALUE(MONTH(B13))</f>
        <v>6</v>
      </c>
      <c r="D13" s="21" t="n">
        <v>208</v>
      </c>
      <c r="E13" s="22" t="n">
        <v>14.5</v>
      </c>
      <c r="F13" s="23" t="n">
        <f aca="false">E13*D13</f>
        <v>3016</v>
      </c>
    </row>
    <row r="14" customFormat="false" ht="12.5" hidden="false" customHeight="false" outlineLevel="1" collapsed="false">
      <c r="B14" s="19" t="n">
        <v>42553</v>
      </c>
      <c r="C14" s="20" t="n">
        <f aca="false">VALUE(MONTH(B14))</f>
        <v>7</v>
      </c>
      <c r="D14" s="21" t="n">
        <v>197</v>
      </c>
      <c r="E14" s="22" t="n">
        <v>14.5</v>
      </c>
      <c r="F14" s="23" t="n">
        <f aca="false">E14*D14</f>
        <v>2856.5</v>
      </c>
    </row>
    <row r="15" customFormat="false" ht="12.5" hidden="false" customHeight="false" outlineLevel="1" collapsed="false">
      <c r="B15" s="19" t="n">
        <v>42536</v>
      </c>
      <c r="C15" s="20" t="n">
        <f aca="false">VALUE(MONTH(B15))</f>
        <v>6</v>
      </c>
      <c r="D15" s="21" t="n">
        <v>176</v>
      </c>
      <c r="E15" s="22" t="n">
        <v>14.5</v>
      </c>
      <c r="F15" s="23" t="n">
        <f aca="false">E15*D15</f>
        <v>2552</v>
      </c>
    </row>
    <row r="16" customFormat="false" ht="12.5" hidden="false" customHeight="false" outlineLevel="1" collapsed="false">
      <c r="B16" s="19" t="n">
        <v>42531</v>
      </c>
      <c r="C16" s="20" t="n">
        <f aca="false">VALUE(MONTH(B16))</f>
        <v>6</v>
      </c>
      <c r="D16" s="21" t="n">
        <v>168</v>
      </c>
      <c r="E16" s="22" t="n">
        <v>14.5</v>
      </c>
      <c r="F16" s="23" t="n">
        <f aca="false">E16*D16</f>
        <v>2436</v>
      </c>
    </row>
    <row r="17" customFormat="false" ht="12.5" hidden="false" customHeight="false" outlineLevel="1" collapsed="false">
      <c r="B17" s="19" t="n">
        <v>42536</v>
      </c>
      <c r="C17" s="20" t="n">
        <f aca="false">VALUE(MONTH(B17))</f>
        <v>6</v>
      </c>
      <c r="D17" s="21" t="n">
        <v>166</v>
      </c>
      <c r="E17" s="22" t="n">
        <v>14.5</v>
      </c>
      <c r="F17" s="23" t="n">
        <f aca="false">E17*D17</f>
        <v>2407</v>
      </c>
    </row>
    <row r="18" customFormat="false" ht="12.5" hidden="false" customHeight="false" outlineLevel="1" collapsed="false">
      <c r="B18" s="19" t="n">
        <v>42539</v>
      </c>
      <c r="C18" s="20" t="n">
        <f aca="false">VALUE(MONTH(B18))</f>
        <v>6</v>
      </c>
      <c r="D18" s="21" t="n">
        <v>157</v>
      </c>
      <c r="E18" s="22" t="n">
        <v>14.5</v>
      </c>
      <c r="F18" s="23" t="n">
        <f aca="false">E18*D18</f>
        <v>2276.5</v>
      </c>
    </row>
    <row r="19" customFormat="false" ht="12.5" hidden="false" customHeight="false" outlineLevel="1" collapsed="false">
      <c r="B19" s="19" t="n">
        <v>42545</v>
      </c>
      <c r="C19" s="20" t="n">
        <f aca="false">VALUE(MONTH(B19))</f>
        <v>6</v>
      </c>
      <c r="D19" s="21" t="n">
        <v>142</v>
      </c>
      <c r="E19" s="22" t="n">
        <v>14.5</v>
      </c>
      <c r="F19" s="23" t="n">
        <f aca="false">E19*D19</f>
        <v>2059</v>
      </c>
    </row>
    <row r="20" customFormat="false" ht="12.5" hidden="false" customHeight="false" outlineLevel="1" collapsed="false">
      <c r="B20" s="19" t="n">
        <v>42535</v>
      </c>
      <c r="C20" s="20" t="n">
        <f aca="false">VALUE(MONTH(B20))</f>
        <v>6</v>
      </c>
      <c r="D20" s="21" t="n">
        <v>193</v>
      </c>
      <c r="E20" s="22" t="n">
        <v>9.99</v>
      </c>
      <c r="F20" s="23" t="n">
        <f aca="false">E20*D20</f>
        <v>1928.07</v>
      </c>
    </row>
    <row r="21" customFormat="false" ht="12.5" hidden="false" customHeight="false" outlineLevel="1" collapsed="false">
      <c r="B21" s="19" t="n">
        <v>42538</v>
      </c>
      <c r="C21" s="20" t="n">
        <f aca="false">VALUE(MONTH(B21))</f>
        <v>6</v>
      </c>
      <c r="D21" s="21" t="n">
        <v>205</v>
      </c>
      <c r="E21" s="22" t="n">
        <v>9</v>
      </c>
      <c r="F21" s="23" t="n">
        <f aca="false">E21*D21</f>
        <v>1845</v>
      </c>
    </row>
    <row r="22" customFormat="false" ht="12.75" hidden="false" customHeight="true" outlineLevel="1" collapsed="false">
      <c r="B22" s="19" t="n">
        <v>42538</v>
      </c>
      <c r="C22" s="20" t="n">
        <f aca="false">VALUE(MONTH(B22))</f>
        <v>6</v>
      </c>
      <c r="D22" s="21" t="n">
        <v>199</v>
      </c>
      <c r="E22" s="22" t="n">
        <v>9</v>
      </c>
      <c r="F22" s="23" t="n">
        <f aca="false">E22*D22</f>
        <v>1791</v>
      </c>
    </row>
    <row r="23" customFormat="false" ht="12.5" hidden="false" customHeight="false" outlineLevel="1" collapsed="false">
      <c r="B23" s="19" t="n">
        <v>42534</v>
      </c>
      <c r="C23" s="20" t="n">
        <f aca="false">VALUE(MONTH(B23))</f>
        <v>6</v>
      </c>
      <c r="D23" s="21" t="n">
        <v>188</v>
      </c>
      <c r="E23" s="22" t="n">
        <v>9</v>
      </c>
      <c r="F23" s="23" t="n">
        <f aca="false">E23*D23</f>
        <v>1692</v>
      </c>
    </row>
    <row r="24" customFormat="false" ht="12.5" hidden="false" customHeight="false" outlineLevel="1" collapsed="false"/>
    <row r="25" customFormat="false" ht="12.5" hidden="false" customHeight="false" outlineLevel="1" collapsed="false"/>
    <row r="26" customFormat="false" ht="12.5" hidden="false" customHeight="false" outlineLevel="1" collapsed="false"/>
    <row r="27" customFormat="false" ht="15.5" hidden="false" customHeight="false" outlineLevel="1" collapsed="false">
      <c r="B27" s="34"/>
    </row>
    <row r="28" customFormat="false" ht="13" hidden="false" customHeight="false" outlineLevel="1" collapsed="false">
      <c r="B28" s="24" t="s">
        <v>98</v>
      </c>
      <c r="C28" s="25" t="s">
        <v>99</v>
      </c>
      <c r="D28" s="26" t="s">
        <v>100</v>
      </c>
      <c r="E28" s="27" t="s">
        <v>101</v>
      </c>
      <c r="F28" s="27" t="s">
        <v>102</v>
      </c>
    </row>
    <row r="29" customFormat="false" ht="13" hidden="false" customHeight="false" outlineLevel="1" collapsed="false">
      <c r="B29" s="24" t="s">
        <v>103</v>
      </c>
      <c r="C29" s="25" t="s">
        <v>104</v>
      </c>
      <c r="D29" s="26" t="s">
        <v>104</v>
      </c>
      <c r="E29" s="27" t="s">
        <v>138</v>
      </c>
      <c r="F29" s="27" t="s">
        <v>105</v>
      </c>
    </row>
    <row r="30" customFormat="false" ht="12.5" hidden="false" customHeight="false" outlineLevel="1" collapsed="false">
      <c r="B30" s="19" t="n">
        <v>42535</v>
      </c>
      <c r="C30" s="20" t="n">
        <v>6</v>
      </c>
      <c r="D30" s="21" t="n">
        <v>208</v>
      </c>
      <c r="E30" s="22" t="n">
        <v>14.5</v>
      </c>
      <c r="F30" s="23" t="n">
        <v>3016</v>
      </c>
    </row>
    <row r="31" customFormat="false" ht="12.5" hidden="false" customHeight="false" outlineLevel="1" collapsed="false">
      <c r="B31" s="19"/>
      <c r="C31" s="20"/>
      <c r="D31" s="21"/>
      <c r="E31" s="22"/>
      <c r="F31" s="23"/>
    </row>
    <row r="32" customFormat="false" ht="12.5" hidden="false" customHeight="false" outlineLevel="1" collapsed="false">
      <c r="B32" s="19"/>
      <c r="C32" s="20"/>
      <c r="D32" s="21"/>
      <c r="E32" s="22"/>
      <c r="F32" s="23"/>
    </row>
    <row r="33" customFormat="false" ht="12.5" hidden="false" customHeight="false" outlineLevel="1" collapsed="false">
      <c r="B33" s="19"/>
      <c r="C33" s="20"/>
      <c r="D33" s="21"/>
      <c r="E33" s="22"/>
      <c r="F33" s="23"/>
    </row>
    <row r="34" customFormat="false" ht="12.5" hidden="false" customHeight="false" outlineLevel="1" collapsed="false">
      <c r="B34" s="19"/>
      <c r="C34" s="20"/>
      <c r="D34" s="21"/>
      <c r="E34" s="22"/>
      <c r="F34" s="23"/>
    </row>
    <row r="35" customFormat="false" ht="12.5" hidden="false" customHeight="false" outlineLevel="1" collapsed="false">
      <c r="B35" s="19"/>
      <c r="C35" s="20"/>
      <c r="D35" s="21"/>
      <c r="E35" s="22"/>
      <c r="F35" s="23"/>
    </row>
    <row r="36" customFormat="false" ht="12.5" hidden="false" customHeight="false" outlineLevel="1" collapsed="false">
      <c r="B36" s="19"/>
      <c r="C36" s="20"/>
      <c r="D36" s="21"/>
      <c r="E36" s="22"/>
      <c r="F36" s="23"/>
    </row>
    <row r="37" customFormat="false" ht="12.5" hidden="false" customHeight="false" outlineLevel="1" collapsed="false"/>
    <row r="38" customFormat="false" ht="18.5" hidden="false" customHeight="false" outlineLevel="0" collapsed="false">
      <c r="B38" s="11" t="s">
        <v>144</v>
      </c>
    </row>
    <row r="39" customFormat="false" ht="18.5" hidden="false" customHeight="false" outlineLevel="1" collapsed="false">
      <c r="B39" s="11"/>
    </row>
    <row r="40" customFormat="false" ht="12.5" hidden="false" customHeight="false" outlineLevel="1" collapsed="false">
      <c r="B40" s="2" t="s">
        <v>145</v>
      </c>
    </row>
    <row r="41" customFormat="false" ht="12.5" hidden="false" customHeight="false" outlineLevel="1" collapsed="false">
      <c r="B41" s="2" t="s">
        <v>107</v>
      </c>
    </row>
    <row r="42" customFormat="false" ht="12.75" hidden="false" customHeight="true" outlineLevel="1" collapsed="false"/>
    <row r="43" customFormat="false" ht="13" hidden="false" customHeight="false" outlineLevel="1" collapsed="false">
      <c r="B43" s="28" t="s">
        <v>108</v>
      </c>
      <c r="C43" s="28" t="s">
        <v>109</v>
      </c>
      <c r="D43" s="24" t="s">
        <v>110</v>
      </c>
      <c r="E43" s="24" t="s">
        <v>98</v>
      </c>
      <c r="F43" s="26" t="s">
        <v>100</v>
      </c>
      <c r="G43" s="27" t="s">
        <v>102</v>
      </c>
    </row>
    <row r="44" customFormat="false" ht="12.5" hidden="false" customHeight="false" outlineLevel="1" collapsed="false">
      <c r="B44" s="29" t="s">
        <v>111</v>
      </c>
      <c r="C44" s="29" t="s">
        <v>112</v>
      </c>
      <c r="D44" s="29" t="s">
        <v>113</v>
      </c>
      <c r="E44" s="19" t="s">
        <v>114</v>
      </c>
      <c r="F44" s="21" t="n">
        <v>208</v>
      </c>
      <c r="G44" s="30" t="n">
        <v>3016</v>
      </c>
    </row>
    <row r="45" customFormat="false" ht="12.5" hidden="false" customHeight="false" outlineLevel="1" collapsed="false">
      <c r="B45" s="29" t="s">
        <v>115</v>
      </c>
      <c r="C45" s="29" t="s">
        <v>116</v>
      </c>
      <c r="D45" s="29" t="s">
        <v>117</v>
      </c>
      <c r="E45" s="19" t="s">
        <v>118</v>
      </c>
      <c r="F45" s="21" t="s">
        <v>119</v>
      </c>
      <c r="G45" s="30" t="n">
        <v>2856.5</v>
      </c>
    </row>
    <row r="46" customFormat="false" ht="12.5" hidden="false" customHeight="false" outlineLevel="1" collapsed="false">
      <c r="B46" s="29" t="s">
        <v>120</v>
      </c>
      <c r="C46" s="31" t="s">
        <v>121</v>
      </c>
      <c r="D46" s="29" t="s">
        <v>122</v>
      </c>
      <c r="E46" s="19" t="s">
        <v>123</v>
      </c>
      <c r="F46" s="21" t="s">
        <v>124</v>
      </c>
      <c r="G46" s="30" t="n">
        <v>2552</v>
      </c>
    </row>
    <row r="47" customFormat="false" ht="12.5" hidden="false" customHeight="false" outlineLevel="1" collapsed="false">
      <c r="B47" s="32" t="s">
        <v>125</v>
      </c>
      <c r="C47" s="31" t="s">
        <v>126</v>
      </c>
      <c r="D47" s="29" t="s">
        <v>117</v>
      </c>
      <c r="E47" s="19" t="s">
        <v>127</v>
      </c>
      <c r="F47" s="21" t="n">
        <v>168</v>
      </c>
      <c r="G47" s="30" t="n">
        <v>2436</v>
      </c>
    </row>
    <row r="48" customFormat="false" ht="12.5" hidden="false" customHeight="false" outlineLevel="1" collapsed="false">
      <c r="B48" s="29" t="s">
        <v>128</v>
      </c>
      <c r="C48" s="33" t="s">
        <v>129</v>
      </c>
      <c r="D48" s="29" t="s">
        <v>122</v>
      </c>
      <c r="E48" s="19" t="s">
        <v>130</v>
      </c>
      <c r="F48" s="21" t="n">
        <v>166</v>
      </c>
      <c r="G48" s="30" t="n">
        <v>2407</v>
      </c>
    </row>
    <row r="49" customFormat="false" ht="12.5" hidden="false" customHeight="false" outlineLevel="1" collapsed="false">
      <c r="B49" s="29" t="s">
        <v>131</v>
      </c>
      <c r="C49" s="33" t="s">
        <v>132</v>
      </c>
      <c r="D49" s="29" t="s">
        <v>113</v>
      </c>
      <c r="E49" s="19" t="s">
        <v>133</v>
      </c>
      <c r="F49" s="21" t="n">
        <v>157</v>
      </c>
      <c r="G49" s="30" t="n">
        <v>2276.5</v>
      </c>
    </row>
    <row r="50" customFormat="false" ht="12.5" hidden="false" customHeight="false" outlineLevel="1" collapsed="false">
      <c r="B50" s="29" t="s">
        <v>134</v>
      </c>
      <c r="C50" s="33" t="s">
        <v>135</v>
      </c>
      <c r="D50" s="29" t="s">
        <v>113</v>
      </c>
      <c r="E50" s="19" t="n">
        <v>42545</v>
      </c>
      <c r="F50" s="21" t="n">
        <v>142</v>
      </c>
      <c r="G50" s="30" t="n">
        <v>2059</v>
      </c>
    </row>
    <row r="51" customFormat="false" ht="12.5" hidden="false" customHeight="false" outlineLevel="1" collapsed="false">
      <c r="B51" s="31" t="s">
        <v>136</v>
      </c>
      <c r="C51" s="31" t="s">
        <v>137</v>
      </c>
      <c r="D51" s="29" t="s">
        <v>122</v>
      </c>
      <c r="E51" s="19" t="n">
        <v>42535</v>
      </c>
      <c r="F51" s="21" t="n">
        <v>193</v>
      </c>
      <c r="G51" s="30" t="n">
        <v>1692</v>
      </c>
    </row>
    <row r="52" customFormat="false" ht="12.5" hidden="false" customHeight="false" outlineLevel="1" collapsed="false"/>
    <row r="53" customFormat="false" ht="12.5" hidden="false" customHeight="false" outlineLevel="1" collapsed="false"/>
    <row r="54" customFormat="false" ht="12.5" hidden="false" customHeight="false" outlineLevel="1" collapsed="false"/>
    <row r="55" customFormat="false" ht="12.5" hidden="false" customHeight="false" outlineLevel="1" collapsed="false"/>
    <row r="56" customFormat="false" ht="12.5" hidden="false" customHeight="false" outlineLevel="1" collapsed="false"/>
    <row r="57" customFormat="false" ht="13" hidden="false" customHeight="false" outlineLevel="1" collapsed="false">
      <c r="B57" s="28" t="s">
        <v>108</v>
      </c>
      <c r="C57" s="28" t="s">
        <v>109</v>
      </c>
      <c r="D57" s="24" t="s">
        <v>110</v>
      </c>
      <c r="E57" s="24" t="s">
        <v>98</v>
      </c>
      <c r="F57" s="26" t="s">
        <v>100</v>
      </c>
      <c r="G57" s="27" t="s">
        <v>102</v>
      </c>
    </row>
    <row r="58" customFormat="false" ht="13" hidden="false" customHeight="false" outlineLevel="1" collapsed="false">
      <c r="B58" s="28" t="s">
        <v>138</v>
      </c>
      <c r="C58" s="28" t="s">
        <v>138</v>
      </c>
      <c r="D58" s="24" t="s">
        <v>138</v>
      </c>
      <c r="E58" s="24" t="s">
        <v>103</v>
      </c>
      <c r="F58" s="26" t="s">
        <v>104</v>
      </c>
      <c r="G58" s="27" t="s">
        <v>139</v>
      </c>
      <c r="I58" s="2" t="s">
        <v>140</v>
      </c>
      <c r="K58" s="2" t="s">
        <v>141</v>
      </c>
      <c r="L58" s="2" t="s">
        <v>110</v>
      </c>
    </row>
    <row r="59" customFormat="false" ht="12.5" hidden="false" customHeight="false" outlineLevel="1" collapsed="false">
      <c r="B59" s="29" t="s">
        <v>111</v>
      </c>
      <c r="C59" s="29" t="s">
        <v>116</v>
      </c>
      <c r="D59" s="29" t="s">
        <v>113</v>
      </c>
      <c r="E59" s="19" t="n">
        <v>42552</v>
      </c>
      <c r="F59" s="21" t="n">
        <v>208</v>
      </c>
      <c r="G59" s="30" t="n">
        <v>3016</v>
      </c>
      <c r="I59" s="2" t="s">
        <v>111</v>
      </c>
      <c r="K59" s="2" t="s">
        <v>116</v>
      </c>
      <c r="L59" s="2" t="s">
        <v>113</v>
      </c>
    </row>
    <row r="60" customFormat="false" ht="12.5" hidden="false" customHeight="false" outlineLevel="1" collapsed="false">
      <c r="B60" s="29" t="s">
        <v>115</v>
      </c>
      <c r="C60" s="29" t="s">
        <v>116</v>
      </c>
      <c r="D60" s="29" t="s">
        <v>117</v>
      </c>
      <c r="E60" s="19" t="n">
        <v>42565</v>
      </c>
      <c r="F60" s="21" t="n">
        <v>199</v>
      </c>
      <c r="G60" s="30" t="n">
        <v>2856.5</v>
      </c>
      <c r="I60" s="2" t="s">
        <v>115</v>
      </c>
      <c r="K60" s="2" t="s">
        <v>126</v>
      </c>
      <c r="L60" s="2" t="s">
        <v>117</v>
      </c>
    </row>
    <row r="61" customFormat="false" ht="12.5" hidden="false" customHeight="false" outlineLevel="1" collapsed="false">
      <c r="B61" s="29" t="s">
        <v>120</v>
      </c>
      <c r="C61" s="31" t="s">
        <v>126</v>
      </c>
      <c r="D61" s="29" t="s">
        <v>122</v>
      </c>
      <c r="E61" s="19" t="n">
        <v>42536</v>
      </c>
      <c r="F61" s="21" t="n">
        <v>75</v>
      </c>
      <c r="G61" s="30" t="n">
        <v>2552</v>
      </c>
      <c r="I61" s="2" t="s">
        <v>120</v>
      </c>
      <c r="K61" s="2" t="s">
        <v>129</v>
      </c>
    </row>
    <row r="62" customFormat="false" ht="12.5" hidden="false" customHeight="false" outlineLevel="1" collapsed="false">
      <c r="B62" s="32" t="s">
        <v>125</v>
      </c>
      <c r="C62" s="31" t="s">
        <v>126</v>
      </c>
      <c r="D62" s="29" t="s">
        <v>117</v>
      </c>
      <c r="E62" s="19" t="n">
        <v>42505</v>
      </c>
      <c r="F62" s="21" t="n">
        <v>168</v>
      </c>
      <c r="G62" s="30" t="n">
        <v>2436</v>
      </c>
      <c r="I62" s="2" t="s">
        <v>125</v>
      </c>
      <c r="K62" s="2" t="s">
        <v>137</v>
      </c>
    </row>
    <row r="63" customFormat="false" ht="12.5" hidden="false" customHeight="false" outlineLevel="1" collapsed="false">
      <c r="B63" s="29" t="s">
        <v>128</v>
      </c>
      <c r="C63" s="33" t="s">
        <v>129</v>
      </c>
      <c r="D63" s="29" t="s">
        <v>122</v>
      </c>
      <c r="E63" s="19" t="n">
        <v>42416</v>
      </c>
      <c r="F63" s="21" t="n">
        <v>166</v>
      </c>
      <c r="G63" s="30" t="n">
        <v>2407</v>
      </c>
      <c r="I63" s="2" t="s">
        <v>128</v>
      </c>
    </row>
    <row r="64" customFormat="false" ht="12.5" hidden="false" customHeight="false" outlineLevel="1" collapsed="false">
      <c r="B64" s="29" t="s">
        <v>131</v>
      </c>
      <c r="C64" s="33" t="s">
        <v>129</v>
      </c>
      <c r="D64" s="29" t="s">
        <v>113</v>
      </c>
      <c r="E64" s="19" t="n">
        <v>42504</v>
      </c>
      <c r="F64" s="21" t="n">
        <v>157</v>
      </c>
      <c r="G64" s="30" t="n">
        <v>2276.5</v>
      </c>
      <c r="I64" s="2" t="s">
        <v>131</v>
      </c>
    </row>
    <row r="65" customFormat="false" ht="12.5" hidden="false" customHeight="false" outlineLevel="1" collapsed="false">
      <c r="B65" s="29" t="s">
        <v>134</v>
      </c>
      <c r="C65" s="33" t="s">
        <v>137</v>
      </c>
      <c r="D65" s="29" t="s">
        <v>113</v>
      </c>
      <c r="E65" s="19" t="n">
        <v>42545</v>
      </c>
      <c r="F65" s="21" t="n">
        <v>142</v>
      </c>
      <c r="G65" s="30" t="n">
        <v>2059</v>
      </c>
      <c r="I65" s="2" t="s">
        <v>134</v>
      </c>
    </row>
    <row r="66" customFormat="false" ht="12.5" hidden="false" customHeight="false" outlineLevel="1" collapsed="false">
      <c r="B66" s="31" t="s">
        <v>136</v>
      </c>
      <c r="C66" s="31" t="s">
        <v>137</v>
      </c>
      <c r="D66" s="29" t="s">
        <v>122</v>
      </c>
      <c r="E66" s="19" t="n">
        <v>42535</v>
      </c>
      <c r="F66" s="21" t="n">
        <v>193</v>
      </c>
      <c r="G66" s="30" t="n">
        <v>1692</v>
      </c>
      <c r="I66" s="2" t="s">
        <v>136</v>
      </c>
    </row>
  </sheetData>
  <conditionalFormatting sqref="B30:F36 B44:G51">
    <cfRule type="expression" priority="2" aboveAverage="0" equalAverage="0" bottom="0" percent="0" rank="0" text="" dxfId="0">
      <formula>MOD(ROW(B30),2)</formula>
    </cfRule>
  </conditionalFormatting>
  <conditionalFormatting sqref="B13:F23">
    <cfRule type="expression" priority="3" aboveAverage="0" equalAverage="0" bottom="0" percent="0" rank="0" text="" dxfId="1">
      <formula>MOD(ROW(B13),2)</formula>
    </cfRule>
  </conditionalFormatting>
  <conditionalFormatting sqref="B59:G66">
    <cfRule type="expression" priority="4" aboveAverage="0" equalAverage="0" bottom="0" percent="0" rank="0" text="" dxfId="2">
      <formula>MOD(ROW(B59),2)</formula>
    </cfRule>
  </conditionalFormatting>
  <dataValidations count="12">
    <dataValidation allowBlank="true" operator="greaterThan" showDropDown="false" showErrorMessage="true" showInputMessage="true" sqref="E59:E66" type="date">
      <formula1>1</formula1>
      <formula2>0</formula2>
    </dataValidation>
    <dataValidation allowBlank="true" operator="between" showDropDown="false" showErrorMessage="true" showInputMessage="true" sqref="C30:C36" type="whole">
      <formula1>0</formula1>
      <formula2>12</formula2>
    </dataValidation>
    <dataValidation allowBlank="true" operator="greaterThan" showDropDown="false" showErrorMessage="true" showInputMessage="true" sqref="D36 F59:F66" type="whole">
      <formula1>0</formula1>
      <formula2>0</formula2>
    </dataValidation>
    <dataValidation allowBlank="true" operator="greaterThan" showDropDown="false" showErrorMessage="true" showInputMessage="true" sqref="E31:F36" type="decimal">
      <formula1>0</formula1>
      <formula2>0</formula2>
    </dataValidation>
    <dataValidation allowBlank="true" operator="between" showDropDown="false" showErrorMessage="true" showInputMessage="true" sqref="B59:B66" type="list">
      <formula1>salesmen</formula1>
      <formula2>0</formula2>
    </dataValidation>
    <dataValidation allowBlank="true" operator="between" showDropDown="false" showErrorMessage="true" showInputMessage="true" sqref="C59:C66" type="list">
      <formula1>products</formula1>
      <formula2>0</formula2>
    </dataValidation>
    <dataValidation allowBlank="true" operator="between" showDropDown="false" showErrorMessage="true" showInputMessage="true" sqref="D59:D66" type="list">
      <formula1>saleschannel</formula1>
      <formula2>0</formula2>
    </dataValidation>
    <dataValidation allowBlank="true" operator="between" showDropDown="false" showErrorMessage="true" showInputMessage="true" sqref="B36" type="date">
      <formula1>B22</formula1>
      <formula2>B19</formula2>
    </dataValidation>
    <dataValidation allowBlank="true" operator="between" showDropDown="false" showErrorMessage="true" showInputMessage="true" sqref="B30:B35" type="date">
      <formula1>B16</formula1>
      <formula2>B14</formula2>
    </dataValidation>
    <dataValidation allowBlank="true" operator="greaterThan" showDropDown="false" showErrorMessage="true" showInputMessage="true" sqref="D30:D35" type="whole">
      <formula1>100</formula1>
      <formula2>0</formula2>
    </dataValidation>
    <dataValidation allowBlank="true" operator="greaterThan" showDropDown="false" showErrorMessage="true" showInputMessage="true" sqref="E30" type="list">
      <formula1>$E$13:$E$23</formula1>
      <formula2>0</formula2>
    </dataValidation>
    <dataValidation allowBlank="true" operator="greaterThan" showDropDown="false" showErrorMessage="true" showInputMessage="true" sqref="F30" type="decimal">
      <formula1>1000</formula1>
      <formula2>0</formula2>
    </dataValidation>
  </dataValidations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LibreOffice/6.0.7.3$Linux_X86_64 LibreOffice_project/00m0$Build-3</Application>
  <Company>PricewaterhouseCoopers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2016-06-22T22:01:00Z</dcterms:created>
  <dc:creator>Matthew Jacobs</dc:creator>
  <dc:description/>
  <dc:language>en-US</dc:language>
  <cp:lastModifiedBy/>
  <dcterms:modified xsi:type="dcterms:W3CDTF">2020-07-06T17:15:53Z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BrandFormat">
    <vt:lpwstr>1.0</vt:lpwstr>
  </property>
  <property fmtid="{D5CDD505-2E9C-101B-9397-08002B2CF9AE}" pid="4" name="Company">
    <vt:lpwstr>PricewaterhouseCoopers</vt:lpwstr>
  </property>
  <property fmtid="{D5CDD505-2E9C-101B-9397-08002B2CF9AE}" pid="5" name="DocSecurity">
    <vt:i4>0</vt:i4>
  </property>
  <property fmtid="{D5CDD505-2E9C-101B-9397-08002B2CF9AE}" pid="6" name="HyperlinksChanged">
    <vt:bool>0</vt:bool>
  </property>
  <property fmtid="{D5CDD505-2E9C-101B-9397-08002B2CF9AE}" pid="7" name="LinksUpToDate">
    <vt:bool>0</vt:bool>
  </property>
  <property fmtid="{D5CDD505-2E9C-101B-9397-08002B2CF9AE}" pid="8" name="ScaleCrop">
    <vt:bool>0</vt:bool>
  </property>
  <property fmtid="{D5CDD505-2E9C-101B-9397-08002B2CF9AE}" pid="9" name="ShareDoc">
    <vt:bool>0</vt:bool>
  </property>
  <property fmtid="{D5CDD505-2E9C-101B-9397-08002B2CF9AE}" pid="10" name="Smrt_NotesFontSize">
    <vt:lpwstr>8</vt:lpwstr>
  </property>
  <property fmtid="{D5CDD505-2E9C-101B-9397-08002B2CF9AE}" pid="11" name="Smrt_WorkbookNumberDisplay">
    <vt:lpwstr>0</vt:lpwstr>
  </property>
  <property fmtid="{D5CDD505-2E9C-101B-9397-08002B2CF9AE}" pid="12" name="Smrt_WorkbookPercentageDisplay">
    <vt:lpwstr>0</vt:lpwstr>
  </property>
  <property fmtid="{D5CDD505-2E9C-101B-9397-08002B2CF9AE}" pid="13" name="Smrt_WorkbookThemeColor">
    <vt:lpwstr>PwC Maroon</vt:lpwstr>
  </property>
</Properties>
</file>