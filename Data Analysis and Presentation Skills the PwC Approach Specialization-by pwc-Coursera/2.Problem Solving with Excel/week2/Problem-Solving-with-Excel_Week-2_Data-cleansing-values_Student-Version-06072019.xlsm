
<file path=[Content_Types].xml><?xml version="1.0" encoding="utf-8"?>
<Types xmlns="http://schemas.openxmlformats.org/package/2006/content-types">
  <Override PartName="/xl/_rels/workbook.xml.rels" ContentType="application/vnd.openxmlformats-package.relationships+xml"/>
  <Override PartName="/xl/vbaProject.bin" ContentType="application/vnd.ms-office.vbaProject"/>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14.xml.rels" ContentType="application/vnd.openxmlformats-package.relationships+xml"/>
  <Override PartName="/xl/worksheets/_rels/sheet13.xml.rels" ContentType="application/vnd.openxmlformats-package.relationships+xml"/>
  <Override PartName="/xl/worksheets/_rels/sheet12.xml.rels" ContentType="application/vnd.openxmlformats-package.relationships+xml"/>
  <Override PartName="/xl/worksheets/_rels/sheet11.xml.rels" ContentType="application/vnd.openxmlformats-package.relationships+xml"/>
  <Override PartName="/xl/worksheets/_rels/sheet10.xml.rels" ContentType="application/vnd.openxmlformats-package.relationships+xml"/>
  <Override PartName="/xl/worksheets/_rels/sheet9.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13.xml" ContentType="application/vnd.openxmlformats-officedocument.spreadsheetml.worksheet+xml"/>
  <Override PartName="/xl/worksheets/sheet3.xml" ContentType="application/vnd.openxmlformats-officedocument.spreadsheetml.worksheet+xml"/>
  <Override PartName="/xl/worksheets/sheet14.xml" ContentType="application/vnd.openxmlformats-officedocument.spreadsheetml.worksheet+xml"/>
  <Override PartName="/xl/worksheets/sheet4.xml" ContentType="application/vnd.openxmlformats-officedocument.spreadsheetml.worksheet+xml"/>
  <Override PartName="/xl/worksheets/sheet15.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externalLinks/_rels/externalLink1.xml.rels" ContentType="application/vnd.openxmlformats-package.relationships+xml"/>
  <Override PartName="/xl/externalLinks/externalLink1.xml" ContentType="application/vnd.openxmlformats-officedocument.spreadsheetml.externalLink+xml"/>
  <Override PartName="/xl/drawings/drawing9.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7.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0"/>
  </bookViews>
  <sheets>
    <sheet name="Introduction" sheetId="1" state="visible" r:id="rId3"/>
    <sheet name="Table of contents" sheetId="2" state="visible" r:id="rId4"/>
    <sheet name="Section 1 - Clean" sheetId="3" state="visible" r:id="rId5"/>
    <sheet name="Section 1 - Clean (ANS)" sheetId="4" state="hidden" r:id="rId6"/>
    <sheet name="Section 2 - Trim" sheetId="5" state="visible" r:id="rId7"/>
    <sheet name="Section 2 - Trim (ANS)" sheetId="6" state="hidden" r:id="rId8"/>
    <sheet name="Section 3 - Substitute" sheetId="7" state="visible" r:id="rId9"/>
    <sheet name="Section 3 - Substitute (ANS)" sheetId="8" state="hidden" r:id="rId10"/>
    <sheet name="Section 4 - Stored as Text" sheetId="9" state="visible" r:id="rId11"/>
    <sheet name="Section 4 -Stored as Text (ANS)" sheetId="10" state="hidden" r:id="rId12"/>
    <sheet name="Section 5 - De-Duplicating" sheetId="11" state="visible" r:id="rId13"/>
    <sheet name="Section 5 -De-Duplicating (ANS)" sheetId="12" state="hidden" r:id="rId14"/>
    <sheet name="Student Exercises" sheetId="13" state="visible" r:id="rId15"/>
    <sheet name="Student Exercise Answers" sheetId="14" state="hidden" r:id="rId16"/>
    <sheet name="Data Set" sheetId="15" state="hidden" r:id="rId17"/>
  </sheets>
  <externalReferences>
    <externalReference r:id="rId18"/>
  </externalReferences>
  <definedNames>
    <definedName function="false" hidden="true" localSheetId="2" name="_xlnm._FilterDatabase" vbProcedure="false">'Section 1 - Clean'!$B$12:$B$19</definedName>
    <definedName function="false" hidden="true" localSheetId="10" name="_xlnm._FilterDatabase" vbProcedure="false">'Section 5 - De-Duplicating'!$B$48:$D$69</definedName>
    <definedName function="false" hidden="false" name="D2_Product_Lookup_Table" vbProcedure="false">'[1]2b. Product ID'!$C$12:$D$22</definedName>
    <definedName function="false" hidden="false" name="dg" vbProcedure="false">#REF!</definedName>
    <definedName function="false" hidden="false" name="SalesQuantity" vbProcedure="false">#REF!</definedName>
    <definedName function="false" hidden="false" name="SalesRevenue" vbProcedure="false">#REF!</definedName>
    <definedName function="false" hidden="false" localSheetId="3" name="SalesQuantity" vbProcedure="false">#REF!</definedName>
    <definedName function="false" hidden="false" localSheetId="3" name="SalesRevenue" vbProcedure="false">#REF!</definedName>
    <definedName function="false" hidden="false" localSheetId="5" name="SalesQuantity" vbProcedure="false">#REF!</definedName>
    <definedName function="false" hidden="false" localSheetId="5" name="SalesRevenue" vbProcedure="false">#REF!</definedName>
    <definedName function="false" hidden="false" localSheetId="7" name="SalesQuantity" vbProcedure="false">#REF!</definedName>
    <definedName function="false" hidden="false" localSheetId="7" name="SalesRevenue" vbProcedure="false">#REF!</definedName>
    <definedName function="false" hidden="false" localSheetId="8" name="SalesQuantity" vbProcedure="false">#REF!</definedName>
    <definedName function="false" hidden="false" localSheetId="8" name="SalesRevenue" vbProcedure="false">#REF!</definedName>
    <definedName function="false" hidden="false" localSheetId="9" name="SalesQuantity" vbProcedure="false">#REF!</definedName>
    <definedName function="false" hidden="false" localSheetId="9" name="SalesRevenue" vbProcedure="false">#REF!</definedName>
    <definedName function="false" hidden="false" localSheetId="10" name="dg" vbProcedure="false">#REF!</definedName>
    <definedName function="false" hidden="false" localSheetId="10" name="SalesQuantity" vbProcedure="false">#REF!</definedName>
    <definedName function="false" hidden="false" localSheetId="10" name="SalesRevenue" vbProcedure="false">#REF!</definedName>
    <definedName function="false" hidden="false" localSheetId="11" name="dg" vbProcedure="false">#REF!</definedName>
    <definedName function="false" hidden="false" localSheetId="11" name="SalesQuantity" vbProcedure="false">#REF!</definedName>
    <definedName function="false" hidden="false" localSheetId="11" name="SalesRevenue" vbProcedure="false">#REF!</definedName>
    <definedName function="true" hidden="false" name="ThisWorkbook.Import_Send_To_1A" vbProcedure="true"/>
    <definedName function="true" hidden="false" name="ThisWorkbook.Import_Send_To_1B" vbProcedure="true"/>
    <definedName function="true" hidden="false" name="ThisWorkbook.Import_Instruction_Send_To_1A" vbProcedure="true"/>
    <definedName function="true" hidden="false" name="ThisWorkbook.Import_Instruction_Send_To_1B" vbProcedure="true"/>
    <definedName function="true" hidden="false" name="ThisWorkbook.Trim_Send_To_2A" vbProcedure="true"/>
    <definedName function="true" hidden="false" name="ThisWorkbook.Trim_Instruction_Send_To_2A" vbProcedure="true"/>
    <definedName function="true" hidden="false" name="ThisWorkbook.Substitute_Send_To_3A" vbProcedure="true"/>
    <definedName function="true" hidden="false" name="ThisWorkbook.Substitute_Send_To_3B" vbProcedure="true"/>
    <definedName function="true" hidden="false" name="ThisWorkbook.Substitute_Instruction_Send_To_3A" vbProcedure="true"/>
    <definedName function="true" hidden="false" name="ThisWorkbook.Substitute_Instruction_Send_To_3B" vbProcedure="true"/>
    <definedName function="true" hidden="false" name="ThisWorkbook.Value_Send_To_4A" vbProcedure="true"/>
    <definedName function="true" hidden="false" name="ThisWorkbook.Value_Instruction_Send_To_4A" vbProcedure="true"/>
    <definedName function="true" hidden="false" name="ThisWorkbook.Duplicates_Instruction_Send_To_5A" vbProcedure="true"/>
    <definedName function="true" hidden="false" name="Module1.Return5A" vbProcedure="true"/>
    <definedName function="true" hidden="false" name="ThisWorkbook.Student_Send_To_1" vbProcedure="true"/>
    <definedName function="true" hidden="false" name="ThisWorkbook.Student_Send_To_2" vbProcedure="true"/>
    <definedName function="true" hidden="false" name="ThisWorkbook.Student_Instruction_Send_To_1" vbProcedure="true"/>
    <definedName function="true" hidden="false" name="ThisWorkbook.Student_Instruction_Send_To_2" vbProcedure="true"/>
  </definedNames>
  <calcPr iterateCount="100" refMode="A1" iterate="tru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<sst xmlns="http://schemas.openxmlformats.org/spreadsheetml/2006/main" count="478" uniqueCount="147">
  <si>
    <t xml:space="preserve">Problem Solving with Excel</t>
  </si>
  <si>
    <t xml:space="preserve">Week 2</t>
  </si>
  <si>
    <t xml:space="preserve">Data Cleansing - Values</t>
  </si>
  <si>
    <t xml:space="preserve">Summary</t>
  </si>
  <si>
    <t xml:space="preserve">Section</t>
  </si>
  <si>
    <t xml:space="preserve">Description</t>
  </si>
  <si>
    <t xml:space="preserve">Contained in Workbook</t>
  </si>
  <si>
    <t xml:space="preserve">Name of External Referenced File</t>
  </si>
  <si>
    <t xml:space="preserve">Clean</t>
  </si>
  <si>
    <t xml:space="preserve">Y</t>
  </si>
  <si>
    <t xml:space="preserve">Excel 101</t>
  </si>
  <si>
    <t xml:space="preserve">Trim</t>
  </si>
  <si>
    <t xml:space="preserve">Substitue</t>
  </si>
  <si>
    <t xml:space="preserve">Stored as Text</t>
  </si>
  <si>
    <t xml:space="preserve">De-Duplicating</t>
  </si>
  <si>
    <t xml:space="preserve">Student Exercises</t>
  </si>
  <si>
    <t xml:space="preserve">Problem 1a - Instructor Lead</t>
  </si>
  <si>
    <t xml:space="preserve">Your manager has given you a table of raw data to perform analysis on. The data has been pulled from multiple sources and needs to be standardized prior to analysis.  </t>
  </si>
  <si>
    <t xml:space="preserve">Product</t>
  </si>
  <si>
    <t xml:space="preserve">_x005F_x0014_PROGRAF</t>
  </si>
  <si>
    <t xml:space="preserve">_x005F_x0014_PARIET</t>
  </si>
  <si>
    <t xml:space="preserve">_x005F_x0014_CONCERTA</t>
  </si>
  <si>
    <t xml:space="preserve">_x005F_x0014_LEUSTATIN</t>
  </si>
  <si>
    <t xml:space="preserve">_x005F_x0014_VELCADE</t>
  </si>
  <si>
    <t xml:space="preserve">Problem 1b - Instructor Lead</t>
  </si>
  <si>
    <t xml:space="preserve">Your manager has given you raw contact info that needs to be separated by First Name, Last Name, Email Address and Employee Level. Using the text to columns function, separate this data in the table below.</t>
  </si>
  <si>
    <t xml:space="preserve">Staffing Data</t>
  </si>
  <si>
    <t xml:space="preserve">Eric</t>
  </si>
  <si>
    <t xml:space="preserve">Johnson</t>
  </si>
  <si>
    <t xml:space="preserve">johnson.eric@company.com</t>
  </si>
  <si>
    <t xml:space="preserve">Manager</t>
  </si>
  <si>
    <t xml:space="preserve">John</t>
  </si>
  <si>
    <t xml:space="preserve">Smith</t>
  </si>
  <si>
    <t xml:space="preserve">john.smith@company.com</t>
  </si>
  <si>
    <t xml:space="preserve">Director</t>
  </si>
  <si>
    <t xml:space="preserve">Beth</t>
  </si>
  <si>
    <t xml:space="preserve">Summers</t>
  </si>
  <si>
    <t xml:space="preserve">beth.summers@company.com</t>
  </si>
  <si>
    <t xml:space="preserve">associate</t>
  </si>
  <si>
    <t xml:space="preserve">Miles</t>
  </si>
  <si>
    <t xml:space="preserve">Peterson</t>
  </si>
  <si>
    <t xml:space="preserve">Miles.peterson@company.com</t>
  </si>
  <si>
    <t xml:space="preserve">Partner</t>
  </si>
  <si>
    <t xml:space="preserve">Jenna</t>
  </si>
  <si>
    <t xml:space="preserve">Stone</t>
  </si>
  <si>
    <t xml:space="preserve">Jenne.Stone@company.com</t>
  </si>
  <si>
    <t xml:space="preserve">Quinn</t>
  </si>
  <si>
    <t xml:space="preserve">Cook</t>
  </si>
  <si>
    <t xml:space="preserve">Quinn.Cook@company.com</t>
  </si>
  <si>
    <t xml:space="preserve">First Name</t>
  </si>
  <si>
    <t xml:space="preserve">Last Name</t>
  </si>
  <si>
    <t xml:space="preserve">Email Address</t>
  </si>
  <si>
    <t xml:space="preserve">Employee Level</t>
  </si>
  <si>
    <t xml:space="preserve">Your manager has given you a table of raw data to perform analysis on. The data has been pulled from multiple sources and needs to be standardized prior to analysis. </t>
  </si>
  <si>
    <t xml:space="preserve">Your manager has given you raw contact info that needs to be separated by First Name, Last Name, Email Address and Phone Number. Using the text to columns function, separate this data in the table below.</t>
  </si>
  <si>
    <t xml:space="preserve">Eric_Johnson_johnson.eric@Company.com_Manager</t>
  </si>
  <si>
    <t xml:space="preserve">John_Smith_john.smith@Company.com_Director</t>
  </si>
  <si>
    <t xml:space="preserve">Beth_Summers_beth.summers@Company.com_associate</t>
  </si>
  <si>
    <t xml:space="preserve">Miles_Peterson_Miles.peterson@Company.com_Partner</t>
  </si>
  <si>
    <t xml:space="preserve">Jenna_Stone_Jenne.Stone@Company.com_Manager</t>
  </si>
  <si>
    <t xml:space="preserve">Quinn_Cook_Quinn.Cook@Company.com_Manager</t>
  </si>
  <si>
    <t xml:space="preserve">Problem 2a - Instructor Lead</t>
  </si>
  <si>
    <t xml:space="preserve">Product Detail</t>
  </si>
  <si>
    <t xml:space="preserve">PROGRAF 5MG 50CAPSULAS PROIBID</t>
  </si>
  <si>
    <t xml:space="preserve">PARIET     20 MG 28 CP OR</t>
  </si>
  <si>
    <t xml:space="preserve">CONCERTA 54MG FR         30CP OR</t>
  </si>
  <si>
    <t xml:space="preserve">LEUSTATIN        INJ CT C/ 1 FR          AMP</t>
  </si>
  <si>
    <t xml:space="preserve">VELCADE 3,5 MG OR</t>
  </si>
  <si>
    <t xml:space="preserve">LEUSTATIN INJ CT C/ 1       FR AMP</t>
  </si>
  <si>
    <t xml:space="preserve">    VELCADE 3,5 MG OR</t>
  </si>
  <si>
    <t xml:space="preserve">Problem 3a - Instructor Lead</t>
  </si>
  <si>
    <t xml:space="preserve">Problem 3b - Student Lead</t>
  </si>
  <si>
    <t xml:space="preserve">You have been tasked to create a table for 2015 and 2016 cost data. You have already created the same list for sales data in the previous two years. Using the data on the left and the substitute formula, create a new list in the right hand column.</t>
  </si>
  <si>
    <t xml:space="preserve">Substitute</t>
  </si>
  <si>
    <t xml:space="preserve">Sales Data</t>
  </si>
  <si>
    <t xml:space="preserve">Quarter 1, 2013</t>
  </si>
  <si>
    <t xml:space="preserve">Quarter 2, 2013</t>
  </si>
  <si>
    <t xml:space="preserve">Quarter 3, 2013</t>
  </si>
  <si>
    <t xml:space="preserve">Quarter 4, 2013</t>
  </si>
  <si>
    <t xml:space="preserve">Quarter 1, 2014</t>
  </si>
  <si>
    <t xml:space="preserve">Quarter 2, 2014</t>
  </si>
  <si>
    <t xml:space="preserve">Quarter 3, 2014</t>
  </si>
  <si>
    <t xml:space="preserve">Quarter 4, 2014</t>
  </si>
  <si>
    <t xml:space="preserve">Problem 4a - Instructor Lead</t>
  </si>
  <si>
    <t xml:space="preserve">Reported Quantity</t>
  </si>
  <si>
    <t xml:space="preserve">2</t>
  </si>
  <si>
    <t xml:space="preserve">3</t>
  </si>
  <si>
    <t xml:space="preserve">5</t>
  </si>
  <si>
    <t xml:space="preserve">10</t>
  </si>
  <si>
    <t xml:space="preserve">Using =Value</t>
  </si>
  <si>
    <t xml:space="preserve">Using Text To Columns</t>
  </si>
  <si>
    <t xml:space="preserve">Problem 5a - Instructor Lead</t>
  </si>
  <si>
    <t xml:space="preserve">Your manager provided you with the following data, noting that there may be identical duplicate entries.  You need to update the table to only display the unique rows. </t>
  </si>
  <si>
    <t xml:space="preserve">RAW DATA</t>
  </si>
  <si>
    <t xml:space="preserve">Distributor ID</t>
  </si>
  <si>
    <t xml:space="preserve">Distributor Name</t>
  </si>
  <si>
    <t xml:space="preserve">Country</t>
  </si>
  <si>
    <t xml:space="preserve">Devin Abbott</t>
  </si>
  <si>
    <t xml:space="preserve">France</t>
  </si>
  <si>
    <t xml:space="preserve">Aphrodite Brennan</t>
  </si>
  <si>
    <t xml:space="preserve">Malawi</t>
  </si>
  <si>
    <t xml:space="preserve">Guinevere Key</t>
  </si>
  <si>
    <t xml:space="preserve">Colombia</t>
  </si>
  <si>
    <t xml:space="preserve">Zahir Fields</t>
  </si>
  <si>
    <t xml:space="preserve">Canada</t>
  </si>
  <si>
    <t xml:space="preserve">Deacon Craig</t>
  </si>
  <si>
    <t xml:space="preserve">Mongolia</t>
  </si>
  <si>
    <t xml:space="preserve">Brynne Mcgowan</t>
  </si>
  <si>
    <t xml:space="preserve">Finland</t>
  </si>
  <si>
    <t xml:space="preserve">Lani Sweet</t>
  </si>
  <si>
    <t xml:space="preserve">Vanuatu</t>
  </si>
  <si>
    <t xml:space="preserve">Noble Warner</t>
  </si>
  <si>
    <t xml:space="preserve">Burkina Faso</t>
  </si>
  <si>
    <t xml:space="preserve">Levi Douglas</t>
  </si>
  <si>
    <t xml:space="preserve">Tanzania, United Republic of</t>
  </si>
  <si>
    <t xml:space="preserve">Jelani Odonnell</t>
  </si>
  <si>
    <t xml:space="preserve">Albania</t>
  </si>
  <si>
    <t xml:space="preserve">Jared Sandoval</t>
  </si>
  <si>
    <t xml:space="preserve">Botswana</t>
  </si>
  <si>
    <t xml:space="preserve">Hiroko Acevedo</t>
  </si>
  <si>
    <t xml:space="preserve">Burundi</t>
  </si>
  <si>
    <t xml:space="preserve">Rhona Clarke</t>
  </si>
  <si>
    <t xml:space="preserve">Zimbabwe</t>
  </si>
  <si>
    <t xml:space="preserve">Tad Mack</t>
  </si>
  <si>
    <t xml:space="preserve">Iceland</t>
  </si>
  <si>
    <t xml:space="preserve">Rama Goodwin</t>
  </si>
  <si>
    <t xml:space="preserve">Tunisia</t>
  </si>
  <si>
    <t xml:space="preserve">Keaton Wolfe</t>
  </si>
  <si>
    <t xml:space="preserve">French Southern Territories</t>
  </si>
  <si>
    <t xml:space="preserve">Samuel Ayala</t>
  </si>
  <si>
    <t xml:space="preserve">Brazil</t>
  </si>
  <si>
    <t xml:space="preserve">EDITED DATA</t>
  </si>
  <si>
    <t xml:space="preserve">Problem 1 - Student Lead</t>
  </si>
  <si>
    <t xml:space="preserve">Your manager has given you a table of raw data to perform analysis on. The data has been pulled from multiple sources and needs to be standardized prior to analysis and duplicates need to be removed.</t>
  </si>
  <si>
    <t xml:space="preserve">Remove Character Using Clean</t>
  </si>
  <si>
    <t xml:space="preserve">Remove Spaces and Convert Commas to Periods Using Trim &amp; Substitute</t>
  </si>
  <si>
    <t xml:space="preserve">Return Text as Value</t>
  </si>
  <si>
    <t xml:space="preserve">Trim &amp; Substitute</t>
  </si>
  <si>
    <t xml:space="preserve">Value</t>
  </si>
  <si>
    <t xml:space="preserve">Problem 2 - Student Lead</t>
  </si>
  <si>
    <t xml:space="preserve">Problem 2</t>
  </si>
  <si>
    <t xml:space="preserve">johnson.eric@Company.com</t>
  </si>
  <si>
    <t xml:space="preserve">john.smith@Company.com</t>
  </si>
  <si>
    <t xml:space="preserve">beth.summers@Company.com</t>
  </si>
  <si>
    <t xml:space="preserve">Miles.peterson@Company.com</t>
  </si>
  <si>
    <t xml:space="preserve">Jenne.Stone@Company.com</t>
  </si>
  <si>
    <t xml:space="preserve">Data Set</t>
  </si>
</sst>
</file>

<file path=xl/styles.xml><?xml version="1.0" encoding="utf-8"?>
<styleSheet xmlns="http://schemas.openxmlformats.org/spreadsheetml/2006/main">
  <numFmts count="5">
    <numFmt numFmtId="164" formatCode="_(* #,##0_);_(* \(#,##0\);_(* \-_);@_)"/>
    <numFmt numFmtId="165" formatCode="_(\$* #,##0.00_);_(\$* \(#,##0.00\);_(\$* \-??_);_(@_)"/>
    <numFmt numFmtId="166" formatCode="General"/>
    <numFmt numFmtId="167" formatCode="0%_);\(0%\)"/>
    <numFmt numFmtId="168" formatCode="@"/>
  </numFmts>
  <fonts count="21">
    <font>
      <sz val="9"/>
      <color rgb="FF000000"/>
      <name val="Calibri"/>
      <family val="2"/>
      <charset val="1"/>
    </font>
    <font>
      <sz val="10"/>
      <name val="Arial"/>
      <family val="0"/>
    </font>
    <font>
      <sz val="10"/>
      <name val="Arial"/>
      <family val="0"/>
    </font>
    <font>
      <sz val="10"/>
      <name val="Arial"/>
      <family val="0"/>
    </font>
    <font>
      <sz val="10"/>
      <name val="Arial"/>
      <family val="2"/>
      <charset val="1"/>
    </font>
    <font>
      <sz val="11"/>
      <color rgb="FF000000"/>
      <name val="Calibri"/>
      <family val="2"/>
      <charset val="1"/>
    </font>
    <font>
      <b val="true"/>
      <sz val="9"/>
      <color rgb="FF602320"/>
      <name val="Calibri"/>
      <family val="2"/>
      <charset val="1"/>
    </font>
    <font>
      <sz val="8"/>
      <color rgb="FF000000"/>
      <name val="Calibri"/>
      <family val="2"/>
      <charset val="1"/>
    </font>
    <font>
      <b val="true"/>
      <sz val="9"/>
      <color rgb="FF000000"/>
      <name val="Calibri"/>
      <family val="2"/>
      <charset val="1"/>
    </font>
    <font>
      <b val="true"/>
      <sz val="11"/>
      <color rgb="FF602320"/>
      <name val="Calibri"/>
      <family val="2"/>
      <charset val="1"/>
    </font>
    <font>
      <b val="true"/>
      <sz val="14"/>
      <color rgb="FF7A1818"/>
      <name val="Calibri"/>
      <family val="2"/>
      <charset val="1"/>
    </font>
    <font>
      <b val="true"/>
      <sz val="10"/>
      <color rgb="FF7A1818"/>
      <name val="Arial"/>
      <family val="2"/>
      <charset val="1"/>
    </font>
    <font>
      <b val="true"/>
      <u val="single"/>
      <sz val="14"/>
      <color rgb="FF602320"/>
      <name val="Calibri"/>
      <family val="2"/>
      <charset val="1"/>
    </font>
    <font>
      <b val="true"/>
      <sz val="10"/>
      <name val="Arial"/>
      <family val="2"/>
      <charset val="1"/>
    </font>
    <font>
      <b val="true"/>
      <sz val="10"/>
      <color rgb="FFFFFFFF"/>
      <name val="Arial"/>
      <family val="2"/>
      <charset val="1"/>
    </font>
    <font>
      <b val="true"/>
      <u val="single"/>
      <sz val="10"/>
      <name val="Arial"/>
      <family val="2"/>
      <charset val="1"/>
    </font>
    <font>
      <b val="true"/>
      <sz val="12"/>
      <color rgb="FF000000"/>
      <name val="Calibri"/>
      <family val="0"/>
      <charset val="1"/>
    </font>
    <font>
      <sz val="10"/>
      <color rgb="FF0000FF"/>
      <name val="Arial"/>
      <family val="2"/>
      <charset val="1"/>
    </font>
    <font>
      <b val="true"/>
      <sz val="10"/>
      <color rgb="FF000000"/>
      <name val="Arial"/>
      <family val="2"/>
      <charset val="1"/>
    </font>
    <font>
      <sz val="10"/>
      <color rgb="FF602320"/>
      <name val="Arial"/>
      <family val="2"/>
      <charset val="1"/>
    </font>
    <font>
      <b val="true"/>
      <sz val="10"/>
      <color rgb="FF602320"/>
      <name val="Calibri"/>
      <family val="2"/>
      <charset val="1"/>
    </font>
  </fonts>
  <fills count="8">
    <fill>
      <patternFill patternType="none"/>
    </fill>
    <fill>
      <patternFill patternType="gray125"/>
    </fill>
    <fill>
      <patternFill patternType="solid">
        <fgColor rgb="FFFCD4B6"/>
        <bgColor rgb="FFECC7C6"/>
      </patternFill>
    </fill>
    <fill>
      <patternFill patternType="solid">
        <fgColor rgb="FFE8E6DF"/>
        <bgColor rgb="FFFCD4B6"/>
      </patternFill>
    </fill>
    <fill>
      <patternFill patternType="solid">
        <fgColor rgb="FFE06161"/>
        <bgColor rgb="FFFF6600"/>
      </patternFill>
    </fill>
    <fill>
      <patternFill patternType="solid">
        <fgColor rgb="FFFFE299"/>
        <bgColor rgb="FFFCD4B6"/>
      </patternFill>
    </fill>
    <fill>
      <patternFill patternType="solid">
        <fgColor rgb="FF602320"/>
        <bgColor rgb="FF7A1818"/>
      </patternFill>
    </fill>
    <fill>
      <patternFill patternType="solid">
        <fgColor rgb="FFFFFFFF"/>
        <bgColor rgb="FFE8E6DF"/>
      </patternFill>
    </fill>
  </fills>
  <borders count="10">
    <border diagonalUp="false" diagonalDown="false">
      <left/>
      <right/>
      <top/>
      <bottom/>
      <diagonal/>
    </border>
    <border diagonalUp="false" diagonalDown="false">
      <left/>
      <right/>
      <top/>
      <bottom style="medium">
        <color rgb="FF602320"/>
      </bottom>
      <diagonal/>
    </border>
    <border diagonalUp="false" diagonalDown="false">
      <left/>
      <right/>
      <top style="medium">
        <color rgb="FF602320"/>
      </top>
      <bottom/>
      <diagonal/>
    </border>
    <border diagonalUp="false" diagonalDown="false">
      <left/>
      <right/>
      <top style="thin">
        <color rgb="FF602320"/>
      </top>
      <bottom/>
      <diagonal/>
    </border>
    <border diagonalUp="false" diagonalDown="false">
      <left/>
      <right/>
      <top style="thin">
        <color rgb="FF602320"/>
      </top>
      <bottom style="medium">
        <color rgb="FF602320"/>
      </bottom>
      <diagonal/>
    </border>
    <border diagonalUp="false" diagonalDown="false">
      <left/>
      <right/>
      <top/>
      <bottom style="thin"/>
      <diagonal/>
    </border>
    <border diagonalUp="false" diagonalDown="false">
      <left/>
      <right/>
      <top style="thin"/>
      <bottom style="thin"/>
      <diagonal/>
    </border>
    <border diagonalUp="false" diagonalDown="false">
      <left/>
      <right style="thin"/>
      <top/>
      <bottom/>
      <diagonal/>
    </border>
    <border diagonalUp="false" diagonalDown="false">
      <left/>
      <right/>
      <top style="thin">
        <color rgb="FF602320"/>
      </top>
      <bottom style="thin">
        <color rgb="FF602320"/>
      </bottom>
      <diagonal/>
    </border>
    <border diagonalUp="false" diagonalDown="false">
      <left/>
      <right/>
      <top/>
      <bottom style="thin">
        <color rgb="FF602320"/>
      </botto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166"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6"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4" fontId="7" fillId="0" borderId="0" applyFont="true" applyBorder="true" applyAlignment="true" applyProtection="false">
      <alignment horizontal="general" vertical="bottom" textRotation="0" wrapText="false" indent="0" shrinkToFit="false"/>
    </xf>
    <xf numFmtId="166" fontId="6" fillId="0" borderId="1" applyFont="true" applyBorder="true" applyAlignment="true" applyProtection="false">
      <alignment horizontal="right" vertical="bottom" textRotation="0" wrapText="true" indent="0" shrinkToFit="false"/>
    </xf>
    <xf numFmtId="166" fontId="6" fillId="0" borderId="0" applyFont="true" applyBorder="true" applyAlignment="true" applyProtection="false">
      <alignment horizontal="general" vertical="bottom" textRotation="0" wrapText="true" indent="0" shrinkToFit="false"/>
    </xf>
    <xf numFmtId="166" fontId="6" fillId="0" borderId="2" applyFont="true" applyBorder="true" applyAlignment="true" applyProtection="false">
      <alignment horizontal="general" vertical="bottom" textRotation="0" wrapText="true" indent="0" shrinkToFit="false"/>
    </xf>
    <xf numFmtId="164" fontId="8" fillId="0" borderId="3" applyFont="true" applyBorder="true" applyAlignment="true" applyProtection="false">
      <alignment horizontal="general" vertical="bottom" textRotation="0" wrapText="false" indent="0" shrinkToFit="false"/>
    </xf>
    <xf numFmtId="166" fontId="9" fillId="0" borderId="0" applyFont="true" applyBorder="true" applyAlignment="true" applyProtection="false">
      <alignment horizontal="general" vertical="bottom" textRotation="0" wrapText="false" indent="0" shrinkToFit="false"/>
    </xf>
    <xf numFmtId="164" fontId="8" fillId="0" borderId="4" applyFont="true" applyBorder="true" applyAlignment="true" applyProtection="false">
      <alignment horizontal="general" vertical="bottom" textRotation="0" wrapText="false" indent="0" shrinkToFit="false"/>
    </xf>
  </cellStyleXfs>
  <cellXfs count="37">
    <xf numFmtId="164" fontId="0" fillId="0" borderId="0" xfId="0" applyFont="fals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6" fontId="4" fillId="0" borderId="0" xfId="21" applyFont="false" applyBorder="false" applyAlignment="false" applyProtection="false">
      <alignment horizontal="general" vertical="bottom" textRotation="0" wrapText="false" indent="0" shrinkToFit="false"/>
      <protection locked="true" hidden="false"/>
    </xf>
    <xf numFmtId="166" fontId="11" fillId="0" borderId="0" xfId="21" applyFont="true" applyBorder="false" applyAlignment="false" applyProtection="false">
      <alignment horizontal="general" vertical="bottom" textRotation="0" wrapText="false" indent="0" shrinkToFit="false"/>
      <protection locked="true" hidden="false"/>
    </xf>
    <xf numFmtId="166" fontId="6" fillId="0" borderId="1" xfId="30" applyFont="true" applyBorder="false" applyAlignment="true" applyProtection="true">
      <alignment horizontal="left" vertical="bottom" textRotation="0" wrapText="true" indent="0" shrinkToFit="false"/>
      <protection locked="true" hidden="false"/>
    </xf>
    <xf numFmtId="166" fontId="4" fillId="0" borderId="0" xfId="21" applyFont="false" applyBorder="true" applyAlignment="false" applyProtection="false">
      <alignment horizontal="general" vertical="bottom" textRotation="0" wrapText="false" indent="0" shrinkToFit="false"/>
      <protection locked="true" hidden="false"/>
    </xf>
    <xf numFmtId="166" fontId="12" fillId="0" borderId="0" xfId="34" applyFont="true" applyBorder="false" applyAlignment="true" applyProtection="true">
      <alignment horizontal="general" vertical="bottom" textRotation="0" wrapText="false" indent="0" shrinkToFit="false"/>
      <protection locked="true" hidden="false"/>
    </xf>
    <xf numFmtId="166" fontId="13" fillId="0" borderId="0" xfId="21" applyFont="true" applyBorder="true" applyAlignment="true" applyProtection="false">
      <alignment horizontal="left" vertical="bottom" textRotation="0" wrapText="true" indent="0" shrinkToFit="false"/>
      <protection locked="true" hidden="false"/>
    </xf>
    <xf numFmtId="166" fontId="14" fillId="4" borderId="5" xfId="21" applyFont="true" applyBorder="true" applyAlignment="true" applyProtection="false">
      <alignment horizontal="left" vertical="bottom" textRotation="0" wrapText="false" indent="0" shrinkToFit="false"/>
      <protection locked="true" hidden="false"/>
    </xf>
    <xf numFmtId="166" fontId="4" fillId="5" borderId="6" xfId="21" applyFont="true" applyBorder="true" applyAlignment="false" applyProtection="false">
      <alignment horizontal="general" vertical="bottom" textRotation="0" wrapText="false" indent="0" shrinkToFit="false"/>
      <protection locked="true" hidden="false"/>
    </xf>
    <xf numFmtId="166" fontId="4" fillId="0" borderId="0" xfId="21" applyFont="true" applyBorder="false" applyAlignment="false" applyProtection="false">
      <alignment horizontal="general" vertical="bottom" textRotation="0" wrapText="false" indent="0" shrinkToFit="false"/>
      <protection locked="true" hidden="false"/>
    </xf>
    <xf numFmtId="166" fontId="4" fillId="0" borderId="0" xfId="21" applyFont="true" applyBorder="true" applyAlignment="false" applyProtection="false">
      <alignment horizontal="general" vertical="bottom" textRotation="0" wrapText="false" indent="0" shrinkToFit="false"/>
      <protection locked="true" hidden="false"/>
    </xf>
    <xf numFmtId="166" fontId="15" fillId="0" borderId="0" xfId="21"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6" fontId="17" fillId="0" borderId="0" xfId="21" applyFont="true" applyBorder="false" applyAlignment="false" applyProtection="false">
      <alignment horizontal="general" vertical="bottom" textRotation="0" wrapText="false" indent="0" shrinkToFit="false"/>
      <protection locked="true" hidden="false"/>
    </xf>
    <xf numFmtId="166" fontId="14" fillId="4" borderId="5" xfId="21" applyFont="true" applyBorder="true" applyAlignment="true" applyProtection="false">
      <alignment horizontal="center" vertical="bottom" textRotation="0" wrapText="false" indent="0" shrinkToFit="false"/>
      <protection locked="true" hidden="false"/>
    </xf>
    <xf numFmtId="164" fontId="8" fillId="0" borderId="0"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6" fontId="13" fillId="0" borderId="0" xfId="21" applyFont="true" applyBorder="false" applyAlignment="false" applyProtection="false">
      <alignment horizontal="general" vertical="bottom" textRotation="0" wrapText="false" indent="0" shrinkToFit="false"/>
      <protection locked="true" hidden="false"/>
    </xf>
    <xf numFmtId="166" fontId="14" fillId="6" borderId="8" xfId="23" applyFont="true" applyBorder="true" applyAlignment="true" applyProtection="false">
      <alignment horizontal="left" vertical="bottom" textRotation="0" wrapText="true" indent="0" shrinkToFit="false"/>
      <protection locked="true" hidden="false"/>
    </xf>
    <xf numFmtId="166" fontId="19" fillId="0" borderId="8" xfId="23" applyFont="true" applyBorder="true" applyAlignment="true" applyProtection="false">
      <alignment horizontal="left" vertical="bottom" textRotation="0" wrapText="false" indent="0" shrinkToFit="false"/>
      <protection locked="true" hidden="false"/>
    </xf>
    <xf numFmtId="166" fontId="19" fillId="0" borderId="8" xfId="23" applyFont="true" applyBorder="true" applyAlignment="true" applyProtection="false">
      <alignment horizontal="left" vertical="bottom" textRotation="0" wrapText="false" indent="0" shrinkToFit="false"/>
      <protection locked="true" hidden="false"/>
    </xf>
    <xf numFmtId="166" fontId="19" fillId="0" borderId="9" xfId="23" applyFont="true" applyBorder="true" applyAlignment="true" applyProtection="false">
      <alignment horizontal="left" vertical="bottom" textRotation="0" wrapText="false" indent="0" shrinkToFit="false"/>
      <protection locked="true" hidden="false"/>
    </xf>
    <xf numFmtId="166" fontId="19" fillId="0" borderId="9" xfId="23" applyFont="true" applyBorder="true" applyAlignment="true" applyProtection="false">
      <alignment horizontal="left" vertical="bottom" textRotation="0" wrapText="false" indent="0" shrinkToFit="false"/>
      <protection locked="true" hidden="false"/>
    </xf>
    <xf numFmtId="166" fontId="19" fillId="7" borderId="8" xfId="23" applyFont="true" applyBorder="true" applyAlignment="true" applyProtection="false">
      <alignment horizontal="left" vertical="bottom" textRotation="0" wrapText="false" indent="0" shrinkToFit="false"/>
      <protection locked="true" hidden="false"/>
    </xf>
    <xf numFmtId="166" fontId="4" fillId="0" borderId="6" xfId="21" applyFont="true" applyBorder="true" applyAlignment="false" applyProtection="false">
      <alignment horizontal="general" vertical="bottom" textRotation="0" wrapText="false" indent="0" shrinkToFit="false"/>
      <protection locked="true" hidden="false"/>
    </xf>
    <xf numFmtId="166" fontId="20" fillId="0" borderId="0" xfId="21" applyFont="true" applyBorder="true" applyAlignment="true" applyProtection="false">
      <alignment horizontal="center" vertical="center" textRotation="0" wrapText="true" indent="0" shrinkToFit="false"/>
      <protection locked="true" hidden="false"/>
    </xf>
    <xf numFmtId="166" fontId="14" fillId="0" borderId="0" xfId="21" applyFont="true" applyBorder="true" applyAlignment="true" applyProtection="false">
      <alignment horizontal="left" vertical="bottom" textRotation="0" wrapText="false" indent="0" shrinkToFit="false"/>
      <protection locked="true" hidden="false"/>
    </xf>
    <xf numFmtId="168" fontId="4" fillId="5" borderId="6" xfId="21" applyFont="false" applyBorder="true" applyAlignment="false" applyProtection="false">
      <alignment horizontal="general" vertical="bottom" textRotation="0" wrapText="false" indent="0" shrinkToFit="false"/>
      <protection locked="true" hidden="false"/>
    </xf>
    <xf numFmtId="166" fontId="4" fillId="0" borderId="0" xfId="21" applyFont="false" applyBorder="true" applyAlignment="false" applyProtection="false">
      <alignment horizontal="general" vertical="bottom" textRotation="0" wrapText="false" indent="0" shrinkToFit="false"/>
      <protection locked="true" hidden="false"/>
    </xf>
    <xf numFmtId="168" fontId="4" fillId="0" borderId="0" xfId="21"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6" fontId="14" fillId="0" borderId="0" xfId="21" applyFont="true" applyBorder="true" applyAlignment="true" applyProtection="false">
      <alignment horizontal="center" vertical="bottom" textRotation="0" wrapText="false" indent="0" shrinkToFit="false"/>
      <protection locked="true" hidden="false"/>
    </xf>
    <xf numFmtId="166" fontId="4" fillId="5" borderId="6" xfId="21" applyFont="false" applyBorder="true" applyAlignment="true" applyProtection="false">
      <alignment horizontal="left" vertical="bottom" textRotation="0" wrapText="false" indent="0" shrinkToFit="false"/>
      <protection locked="true" hidden="false"/>
    </xf>
    <xf numFmtId="166" fontId="4" fillId="0" borderId="0" xfId="21" applyFont="false" applyBorder="false" applyAlignment="true" applyProtection="false">
      <alignment horizontal="lef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Currency 2" xfId="20" builtinId="53" customBuiltin="true"/>
    <cellStyle name="Normal 2" xfId="21" builtinId="53" customBuiltin="true"/>
    <cellStyle name="Normal 3" xfId="22" builtinId="53" customBuiltin="true"/>
    <cellStyle name="Normal 4" xfId="23" builtinId="53" customBuiltin="true"/>
    <cellStyle name="Smart Bold" xfId="24" builtinId="53" customBuiltin="true"/>
    <cellStyle name="Smart Forecast" xfId="25" builtinId="53" customBuiltin="true"/>
    <cellStyle name="Smart General" xfId="26" builtinId="53" customBuiltin="true"/>
    <cellStyle name="Smart Highlight" xfId="27" builtinId="53" customBuiltin="true"/>
    <cellStyle name="Smart Percent" xfId="28" builtinId="53" customBuiltin="true"/>
    <cellStyle name="Smart Source" xfId="29" builtinId="53" customBuiltin="true"/>
    <cellStyle name="Smart Subtitle 1" xfId="30" builtinId="53" customBuiltin="true"/>
    <cellStyle name="Smart Subtitle 2" xfId="31" builtinId="53" customBuiltin="true"/>
    <cellStyle name="Smart Subtitle 3" xfId="32" builtinId="53" customBuiltin="true"/>
    <cellStyle name="Smart Subtotal" xfId="33" builtinId="53" customBuiltin="true"/>
    <cellStyle name="Smart Title" xfId="34" builtinId="53" customBuiltin="true"/>
    <cellStyle name="Smart Total" xfId="35" builtinId="53" customBuiltin="true"/>
  </cellStyles>
  <dxfs count="6">
    <dxf>
      <fill>
        <patternFill>
          <bgColor rgb="FFECC7C6"/>
        </patternFill>
      </fill>
    </dxf>
    <dxf>
      <fill>
        <patternFill>
          <bgColor rgb="FFECC7C6"/>
        </patternFill>
      </fill>
    </dxf>
    <dxf>
      <fill>
        <patternFill>
          <bgColor rgb="FFECC7C6"/>
        </patternFill>
      </fill>
    </dxf>
    <dxf>
      <fill>
        <patternFill>
          <bgColor rgb="FFECC7C6"/>
        </patternFill>
      </fill>
    </dxf>
    <dxf>
      <fill>
        <patternFill>
          <bgColor rgb="FFECC7C6"/>
        </patternFill>
      </fill>
    </dxf>
    <dxf>
      <fill>
        <patternFill>
          <bgColor rgb="FFECC7C6"/>
        </patternFill>
      </fill>
    </dxf>
  </dxfs>
  <colors>
    <indexedColors>
      <rgbColor rgb="FF000000"/>
      <rgbColor rgb="FFFFFFFF"/>
      <rgbColor rgb="FFFF0000"/>
      <rgbColor rgb="FF00FF00"/>
      <rgbColor rgb="FF0000FF"/>
      <rgbColor rgb="FFFFFF00"/>
      <rgbColor rgb="FFFF00FF"/>
      <rgbColor rgb="FF00FFFF"/>
      <rgbColor rgb="FF7A1818"/>
      <rgbColor rgb="FF008000"/>
      <rgbColor rgb="FF000080"/>
      <rgbColor rgb="FF808000"/>
      <rgbColor rgb="FF800080"/>
      <rgbColor rgb="FF008080"/>
      <rgbColor rgb="FFECC7C6"/>
      <rgbColor rgb="FF808080"/>
      <rgbColor rgb="FF9999FF"/>
      <rgbColor rgb="FF993366"/>
      <rgbColor rgb="FFE8E6DF"/>
      <rgbColor rgb="FFCCFFFF"/>
      <rgbColor rgb="FF660066"/>
      <rgbColor rgb="FFE06161"/>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E299"/>
      <rgbColor rgb="FF99CCFF"/>
      <rgbColor rgb="FFE998A6"/>
      <rgbColor rgb="FFCC99FF"/>
      <rgbColor rgb="FFFCD4B6"/>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60232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externalLink" Target="externalLinks/externalLink1.xml"/><Relationship Id="rId1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smb://uszu2naseplv001/ushzncfs01/Users/cdaniele006/Excel%20Gurus/Foundational%20Course/Excel%20Gurus%20-%20Foundational%20and%20Intermediate%20Course%205.31.16.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mailto:Beth_Summers_beth.summers@pwc.com_associate" TargetMode="External"/><Relationship Id="rId2" Type="http://schemas.openxmlformats.org/officeDocument/2006/relationships/hyperlink" Target="mailto:Jenna_Stone_Jenne.Stone@pwc.com_Manager" TargetMode="External"/><Relationship Id="rId3" Type="http://schemas.openxmlformats.org/officeDocument/2006/relationships/hyperlink" Target="mailto:Quinn_Cook_Quinn.Cook@pwc.com_Manager" TargetMode="External"/><Relationship Id="rId4"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6.xml.rels><?xml version="1.0" encoding="UTF-8"?>
<Relationships xmlns="http://schemas.openxmlformats.org/package/2006/relationships"><Relationship Id="rId1" Type="http://schemas.openxmlformats.org/officeDocument/2006/relationships/drawing" Target="../drawings/drawing4.xml"/>
</Relationships>
</file>

<file path=xl/worksheets/_rels/sheet7.xml.rels><?xml version="1.0" encoding="UTF-8"?>
<Relationships xmlns="http://schemas.openxmlformats.org/package/2006/relationships"><Relationship Id="rId1" Type="http://schemas.openxmlformats.org/officeDocument/2006/relationships/drawing" Target="../drawings/drawing5.xml"/>
</Relationships>
</file>

<file path=xl/worksheets/_rels/sheet8.xml.rels><?xml version="1.0" encoding="UTF-8"?>
<Relationships xmlns="http://schemas.openxmlformats.org/package/2006/relationships"><Relationship Id="rId1" Type="http://schemas.openxmlformats.org/officeDocument/2006/relationships/drawing" Target="../drawings/drawing6.xml"/>
</Relationships>
</file>

<file path=xl/worksheets/_rels/sheet9.xml.rels><?xml version="1.0" encoding="UTF-8"?>
<Relationships xmlns="http://schemas.openxmlformats.org/package/2006/relationships"><Relationship Id="rId1" Type="http://schemas.openxmlformats.org/officeDocument/2006/relationships/drawing" Target="../drawings/drawing7.xml"/>
</Relationships>
</file>

<file path=xl/worksheets/_rels/sheet10.xml.rels><?xml version="1.0" encoding="UTF-8"?>
<Relationships xmlns="http://schemas.openxmlformats.org/package/2006/relationships"><Relationship Id="rId1" Type="http://schemas.openxmlformats.org/officeDocument/2006/relationships/drawing" Target="../drawings/drawing8.xml"/>
</Relationships>
</file>

<file path=xl/worksheets/_rels/sheet11.xml.rels><?xml version="1.0" encoding="UTF-8"?>
<Relationships xmlns="http://schemas.openxmlformats.org/package/2006/relationships"><Relationship Id="rId1" Type="http://schemas.openxmlformats.org/officeDocument/2006/relationships/drawing" Target="../drawings/drawing9.xml"/>
</Relationships>
</file>

<file path=xl/worksheets/_rels/sheet12.xml.rels><?xml version="1.0" encoding="UTF-8"?>
<Relationships xmlns="http://schemas.openxmlformats.org/package/2006/relationships"><Relationship Id="rId1" Type="http://schemas.openxmlformats.org/officeDocument/2006/relationships/drawing" Target="../drawings/drawing10.xml"/>
</Relationships>
</file>

<file path=xl/worksheets/_rels/sheet13.xml.rels><?xml version="1.0" encoding="UTF-8"?>
<Relationships xmlns="http://schemas.openxmlformats.org/package/2006/relationships"><Relationship Id="rId1" Type="http://schemas.openxmlformats.org/officeDocument/2006/relationships/hyperlink" Target="mailto:Beth_Summers_beth.summers@pwc.com_associate" TargetMode="External"/><Relationship Id="rId2" Type="http://schemas.openxmlformats.org/officeDocument/2006/relationships/hyperlink" Target="mailto:Jenna_Stone_Jenne.Stone@pwc.com_Manager" TargetMode="External"/><Relationship Id="rId3" Type="http://schemas.openxmlformats.org/officeDocument/2006/relationships/drawing" Target="../drawings/drawing11.xml"/>
</Relationships>
</file>

<file path=xl/worksheets/_rels/sheet14.xml.rels><?xml version="1.0" encoding="UTF-8"?>
<Relationships xmlns="http://schemas.openxmlformats.org/package/2006/relationships"><Relationship Id="rId1" Type="http://schemas.openxmlformats.org/officeDocument/2006/relationships/hyperlink" Target="mailto:Beth_Summers_beth.summers@pwc.com_associate" TargetMode="External"/><Relationship Id="rId2" Type="http://schemas.openxmlformats.org/officeDocument/2006/relationships/hyperlink" Target="mailto:Jenna_Stone_Jenne.Stone@pwc.com_Manager" TargetMode="External"/><Relationship Id="rId3" Type="http://schemas.openxmlformats.org/officeDocument/2006/relationships/drawing" Target="../drawings/drawing1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G1" activeCellId="1" sqref="B48:D69 G1"/>
    </sheetView>
  </sheetViews>
  <sheetFormatPr defaultRowHeight="12" zeroHeight="false" outlineLevelRow="0" outlineLevelCol="0"/>
  <cols>
    <col collapsed="false" customWidth="true" hidden="false" outlineLevel="0" max="1025" min="1" style="0" width="9"/>
  </cols>
  <sheetData>
    <row r="1" customFormat="false" ht="18.5" hidden="false" customHeight="false" outlineLevel="0" collapsed="false">
      <c r="A1" s="1" t="s">
        <v>0</v>
      </c>
    </row>
    <row r="2" customFormat="false" ht="18.5" hidden="false" customHeight="false" outlineLevel="0" collapsed="false">
      <c r="A2" s="1" t="s">
        <v>1</v>
      </c>
    </row>
    <row r="3" customFormat="false" ht="18.5" hidden="false" customHeight="false" outlineLevel="0" collapsed="false">
      <c r="A3" s="1" t="s">
        <v>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3"/>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D2" activeCellId="1" sqref="B48:D69 D2"/>
    </sheetView>
  </sheetViews>
  <sheetFormatPr defaultRowHeight="12.5" zeroHeight="false" outlineLevelRow="0" outlineLevelCol="0"/>
  <cols>
    <col collapsed="false" customWidth="true" hidden="false" outlineLevel="0" max="1" min="1" style="2" width="9.34"/>
    <col collapsed="false" customWidth="true" hidden="false" outlineLevel="0" max="2" min="2" style="2" width="10.78"/>
    <col collapsed="false" customWidth="true" hidden="false" outlineLevel="0" max="3" min="3" style="2" width="34.33"/>
    <col collapsed="false" customWidth="true" hidden="false" outlineLevel="0" max="4" min="4" style="2" width="29"/>
    <col collapsed="false" customWidth="true" hidden="false" outlineLevel="0" max="5" min="5" style="2" width="40.67"/>
    <col collapsed="false" customWidth="true" hidden="false" outlineLevel="0" max="1025" min="6"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
        <v>3</v>
      </c>
    </row>
    <row r="7" customFormat="false" ht="13.5" hidden="false" customHeight="false" outlineLevel="0" collapsed="false">
      <c r="B7" s="4" t="s">
        <v>4</v>
      </c>
      <c r="C7" s="4" t="s">
        <v>5</v>
      </c>
      <c r="D7" s="4" t="s">
        <v>6</v>
      </c>
      <c r="E7" s="4" t="s">
        <v>7</v>
      </c>
    </row>
    <row r="8" customFormat="false" ht="12.5" hidden="false" customHeight="false" outlineLevel="0" collapsed="false">
      <c r="B8" s="2" t="n">
        <v>1</v>
      </c>
      <c r="C8" s="2" t="s">
        <v>8</v>
      </c>
      <c r="D8" s="2" t="s">
        <v>9</v>
      </c>
      <c r="E8" s="2" t="s">
        <v>10</v>
      </c>
    </row>
    <row r="9" customFormat="false" ht="12.5" hidden="false" customHeight="false" outlineLevel="0" collapsed="false">
      <c r="B9" s="2" t="n">
        <v>2</v>
      </c>
      <c r="C9" s="2" t="s">
        <v>11</v>
      </c>
      <c r="D9" s="2" t="s">
        <v>9</v>
      </c>
      <c r="E9" s="2" t="s">
        <v>10</v>
      </c>
    </row>
    <row r="10" customFormat="false" ht="12.5" hidden="false" customHeight="false" outlineLevel="0" collapsed="false">
      <c r="B10" s="2" t="n">
        <v>3</v>
      </c>
      <c r="C10" s="2" t="s">
        <v>12</v>
      </c>
      <c r="D10" s="2" t="s">
        <v>9</v>
      </c>
      <c r="E10" s="2" t="s">
        <v>10</v>
      </c>
    </row>
    <row r="11" customFormat="false" ht="12.5" hidden="false" customHeight="false" outlineLevel="0" collapsed="false">
      <c r="B11" s="2" t="n">
        <v>4</v>
      </c>
      <c r="C11" s="2" t="s">
        <v>13</v>
      </c>
      <c r="D11" s="2" t="s">
        <v>9</v>
      </c>
      <c r="E11" s="2" t="s">
        <v>10</v>
      </c>
    </row>
    <row r="12" customFormat="false" ht="12.5" hidden="false" customHeight="false" outlineLevel="0" collapsed="false">
      <c r="B12" s="2" t="n">
        <v>5</v>
      </c>
      <c r="C12" s="2" t="s">
        <v>14</v>
      </c>
      <c r="D12" s="2" t="s">
        <v>9</v>
      </c>
      <c r="E12" s="2" t="s">
        <v>10</v>
      </c>
    </row>
    <row r="13" customFormat="false" ht="12.5" hidden="false" customHeight="false" outlineLevel="0" collapsed="false">
      <c r="B13" s="2" t="n">
        <v>6</v>
      </c>
      <c r="C13" s="2" t="s">
        <v>15</v>
      </c>
      <c r="D13" s="2" t="s">
        <v>9</v>
      </c>
      <c r="E13" s="2" t="s">
        <v>10</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P58"/>
  <sheetViews>
    <sheetView showFormulas="false" showGridLines="false" showRowColHeaders="true" showZeros="true" rightToLeft="false" tabSelected="false" showOutlineSymbols="true" defaultGridColor="true" view="normal" topLeftCell="A40" colorId="64" zoomScale="80" zoomScaleNormal="80" zoomScalePageLayoutView="100" workbookViewId="0">
      <selection pane="topLeft" activeCell="C44" activeCellId="1" sqref="B48:D69 C44"/>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24.66"/>
    <col collapsed="false" customWidth="true" hidden="false" outlineLevel="0" max="3" min="3" style="2" width="52.66"/>
    <col collapsed="false" customWidth="true" hidden="false" outlineLevel="0" max="4" min="4" style="2" width="32.33"/>
    <col collapsed="false" customWidth="true" hidden="false" outlineLevel="0" max="5" min="5" style="2" width="25.33"/>
    <col collapsed="false" customWidth="true" hidden="false" outlineLevel="0" max="6" min="6" style="2" width="18.33"/>
    <col collapsed="false" customWidth="true" hidden="false" outlineLevel="0" max="8" min="7" style="2" width="15.33"/>
    <col collapsed="false" customWidth="true" hidden="false" outlineLevel="0" max="9" min="9" style="2" width="14.33"/>
    <col collapsed="false" customWidth="true" hidden="false" outlineLevel="0" max="10" min="10" style="2" width="15.78"/>
    <col collapsed="false" customWidth="true" hidden="false" outlineLevel="0" max="11" min="11" style="2" width="14.33"/>
    <col collapsed="false" customWidth="true" hidden="false" outlineLevel="0" max="1025" min="12"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MID(CELL("Filename",I7),SEARCH("]",CELL("Filename",I7),1)+1,100)</f>
        <v>Section 1 - Clean</v>
      </c>
    </row>
    <row r="5" customFormat="false" ht="12.5" hidden="false" customHeight="false" outlineLevel="0" collapsed="false">
      <c r="P5" s="5"/>
    </row>
    <row r="7" customFormat="false" ht="18.5" hidden="false" customHeight="false" outlineLevel="0" collapsed="false">
      <c r="B7" s="6" t="s">
        <v>16</v>
      </c>
    </row>
    <row r="8" customFormat="false" ht="13" hidden="false" customHeight="false" outlineLevel="1" collapsed="false"/>
    <row r="9" customFormat="false" ht="13" hidden="false" customHeight="true" outlineLevel="1" collapsed="false">
      <c r="B9" s="7" t="s">
        <v>17</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18</v>
      </c>
    </row>
    <row r="13" customFormat="false" ht="12.8" hidden="false" customHeight="false" outlineLevel="1" collapsed="false">
      <c r="B13" s="9" t="s">
        <v>19</v>
      </c>
    </row>
    <row r="14" customFormat="false" ht="12.8" hidden="false" customHeight="false" outlineLevel="1" collapsed="false">
      <c r="B14" s="10" t="s">
        <v>20</v>
      </c>
    </row>
    <row r="15" customFormat="false" ht="12.8" hidden="false" customHeight="false" outlineLevel="1" collapsed="false">
      <c r="B15" s="9" t="s">
        <v>21</v>
      </c>
    </row>
    <row r="16" customFormat="false" ht="12.8" hidden="false" customHeight="false" outlineLevel="1" collapsed="false">
      <c r="B16" s="10" t="s">
        <v>22</v>
      </c>
    </row>
    <row r="17" customFormat="false" ht="12.8" hidden="false" customHeight="false" outlineLevel="1" collapsed="false">
      <c r="B17" s="9" t="s">
        <v>23</v>
      </c>
    </row>
    <row r="18" customFormat="false" ht="12.8" hidden="false" customHeight="false" outlineLevel="1" collapsed="false">
      <c r="B18" s="11" t="s">
        <v>22</v>
      </c>
    </row>
    <row r="19" customFormat="false" ht="12.8" hidden="false" customHeight="false" outlineLevel="1" collapsed="false">
      <c r="B19" s="9" t="s">
        <v>23</v>
      </c>
    </row>
    <row r="20" customFormat="false" ht="13" hidden="false" customHeight="false" outlineLevel="1" collapsed="false"/>
    <row r="21" customFormat="false" ht="13" hidden="false" customHeight="false" outlineLevel="1" collapsed="false"/>
    <row r="22" customFormat="false" ht="13" hidden="false" customHeight="false" outlineLevel="1" collapsed="false"/>
    <row r="23" customFormat="false" ht="13" hidden="false" customHeight="false" outlineLevel="1" collapsed="false"/>
    <row r="24" customFormat="false" ht="13" hidden="false" customHeight="false" outlineLevel="1" collapsed="false"/>
    <row r="25" customFormat="false" ht="13" hidden="false" customHeight="false" outlineLevel="1" collapsed="false"/>
    <row r="26" customFormat="false" ht="13" hidden="false" customHeight="false" outlineLevel="1" collapsed="false">
      <c r="B26" s="8" t="s">
        <v>18</v>
      </c>
    </row>
    <row r="27" customFormat="false" ht="12.8" hidden="false" customHeight="false" outlineLevel="1" collapsed="false">
      <c r="B27" s="9" t="str">
        <f aca="false">CLEAN(B13)</f>
        <v>_x005F_x0014_PROGRAF</v>
      </c>
    </row>
    <row r="28" customFormat="false" ht="12.8" hidden="false" customHeight="false" outlineLevel="1" collapsed="false">
      <c r="B28" s="9" t="str">
        <f aca="false">CLEAN(B14)</f>
        <v>_x005F_x0014_PARIET</v>
      </c>
    </row>
    <row r="29" customFormat="false" ht="12.8" hidden="false" customHeight="false" outlineLevel="1" collapsed="false">
      <c r="B29" s="9" t="str">
        <f aca="false">CLEAN(B15)</f>
        <v>_x005F_x0014_CONCERTA</v>
      </c>
    </row>
    <row r="30" customFormat="false" ht="12.8" hidden="false" customHeight="false" outlineLevel="1" collapsed="false">
      <c r="B30" s="9" t="str">
        <f aca="false">CLEAN(B16)</f>
        <v>_x005F_x0014_LEUSTATIN</v>
      </c>
    </row>
    <row r="31" customFormat="false" ht="12.8" hidden="false" customHeight="false" outlineLevel="1" collapsed="false">
      <c r="B31" s="9" t="str">
        <f aca="false">CLEAN(B17)</f>
        <v>_x005F_x0014_VELCADE</v>
      </c>
    </row>
    <row r="32" customFormat="false" ht="12.8" hidden="false" customHeight="false" outlineLevel="1" collapsed="false">
      <c r="B32" s="9" t="str">
        <f aca="false">CLEAN(B18)</f>
        <v>_x005F_x0014_LEUSTATIN</v>
      </c>
    </row>
    <row r="33" customFormat="false" ht="12.8" hidden="false" customHeight="false" outlineLevel="1" collapsed="false">
      <c r="B33" s="9" t="str">
        <f aca="false">CLEAN(B19)</f>
        <v>_x005F_x0014_VELCADE</v>
      </c>
    </row>
    <row r="34" customFormat="false" ht="12.5" hidden="false" customHeight="false" outlineLevel="1" collapsed="false"/>
    <row r="35" customFormat="false" ht="18.5" hidden="false" customHeight="false" outlineLevel="0" collapsed="false">
      <c r="B35" s="6" t="s">
        <v>24</v>
      </c>
    </row>
    <row r="36" customFormat="false" ht="16.4" hidden="false" customHeight="true" outlineLevel="1" collapsed="false">
      <c r="B36" s="6"/>
    </row>
    <row r="37" customFormat="false" ht="18" hidden="false" customHeight="true" outlineLevel="1" collapsed="false">
      <c r="B37" s="7" t="s">
        <v>25</v>
      </c>
      <c r="C37" s="7"/>
      <c r="D37" s="7"/>
      <c r="E37" s="7"/>
    </row>
    <row r="38" customFormat="false" ht="13.4" hidden="false" customHeight="true" outlineLevel="1" collapsed="false">
      <c r="B38" s="7"/>
      <c r="C38" s="7"/>
      <c r="D38" s="7"/>
      <c r="E38" s="7"/>
    </row>
    <row r="39" customFormat="false" ht="13" hidden="false" customHeight="false" outlineLevel="1" collapsed="false"/>
    <row r="40" customFormat="false" ht="13" hidden="false" customHeight="false" outlineLevel="1" collapsed="false">
      <c r="B40" s="12" t="s">
        <v>26</v>
      </c>
    </row>
    <row r="41" customFormat="false" ht="13" hidden="false" customHeight="false" outlineLevel="1" collapsed="false">
      <c r="B41" s="10" t="s">
        <v>27</v>
      </c>
      <c r="C41" s="2" t="s">
        <v>28</v>
      </c>
      <c r="D41" s="2" t="s">
        <v>29</v>
      </c>
      <c r="E41" s="2" t="s">
        <v>30</v>
      </c>
    </row>
    <row r="42" customFormat="false" ht="13" hidden="false" customHeight="false" outlineLevel="1" collapsed="false">
      <c r="B42" s="10" t="s">
        <v>31</v>
      </c>
      <c r="C42" s="2" t="s">
        <v>32</v>
      </c>
      <c r="D42" s="2" t="s">
        <v>33</v>
      </c>
      <c r="E42" s="2" t="s">
        <v>34</v>
      </c>
    </row>
    <row r="43" customFormat="false" ht="13" hidden="false" customHeight="false" outlineLevel="1" collapsed="false">
      <c r="B43" s="10" t="s">
        <v>35</v>
      </c>
      <c r="C43" s="2" t="s">
        <v>36</v>
      </c>
      <c r="D43" s="2" t="s">
        <v>37</v>
      </c>
      <c r="E43" s="2" t="s">
        <v>38</v>
      </c>
    </row>
    <row r="44" customFormat="false" ht="13" hidden="false" customHeight="false" outlineLevel="1" collapsed="false">
      <c r="B44" s="10" t="s">
        <v>39</v>
      </c>
      <c r="C44" s="2" t="s">
        <v>40</v>
      </c>
      <c r="D44" s="2" t="s">
        <v>41</v>
      </c>
      <c r="E44" s="2" t="s">
        <v>42</v>
      </c>
    </row>
    <row r="45" customFormat="false" ht="13" hidden="false" customHeight="false" outlineLevel="1" collapsed="false">
      <c r="B45" s="10" t="s">
        <v>43</v>
      </c>
      <c r="C45" s="2" t="s">
        <v>44</v>
      </c>
      <c r="D45" s="2" t="s">
        <v>45</v>
      </c>
      <c r="E45" s="2" t="s">
        <v>30</v>
      </c>
    </row>
    <row r="46" customFormat="false" ht="13" hidden="false" customHeight="false" outlineLevel="1" collapsed="false">
      <c r="B46" s="10" t="s">
        <v>46</v>
      </c>
      <c r="C46" s="2" t="s">
        <v>47</v>
      </c>
      <c r="D46" s="2" t="s">
        <v>48</v>
      </c>
      <c r="E46" s="2" t="s">
        <v>30</v>
      </c>
    </row>
    <row r="47" customFormat="false" ht="13" hidden="false" customHeight="false" outlineLevel="1" collapsed="false"/>
    <row r="48" customFormat="false" ht="13" hidden="false" customHeight="false" outlineLevel="1" collapsed="false">
      <c r="B48" s="8" t="s">
        <v>49</v>
      </c>
      <c r="C48" s="8" t="s">
        <v>50</v>
      </c>
      <c r="D48" s="8" t="s">
        <v>51</v>
      </c>
      <c r="E48" s="8" t="s">
        <v>52</v>
      </c>
    </row>
    <row r="49" customFormat="false" ht="12.8" hidden="false" customHeight="false" outlineLevel="1" collapsed="false">
      <c r="B49" s="10" t="s">
        <v>27</v>
      </c>
      <c r="C49" s="2" t="s">
        <v>28</v>
      </c>
      <c r="D49" s="2" t="s">
        <v>29</v>
      </c>
      <c r="E49" s="2" t="s">
        <v>30</v>
      </c>
    </row>
    <row r="50" customFormat="false" ht="12.8" hidden="false" customHeight="false" outlineLevel="1" collapsed="false">
      <c r="B50" s="10" t="s">
        <v>31</v>
      </c>
      <c r="C50" s="2" t="s">
        <v>32</v>
      </c>
      <c r="D50" s="2" t="s">
        <v>33</v>
      </c>
      <c r="E50" s="2" t="s">
        <v>34</v>
      </c>
    </row>
    <row r="51" customFormat="false" ht="12.8" hidden="false" customHeight="false" outlineLevel="1" collapsed="false">
      <c r="B51" s="10" t="s">
        <v>35</v>
      </c>
      <c r="C51" s="2" t="s">
        <v>36</v>
      </c>
      <c r="D51" s="2" t="s">
        <v>37</v>
      </c>
      <c r="E51" s="2" t="s">
        <v>38</v>
      </c>
    </row>
    <row r="52" customFormat="false" ht="12.8" hidden="false" customHeight="false" outlineLevel="1" collapsed="false">
      <c r="B52" s="10" t="s">
        <v>39</v>
      </c>
      <c r="C52" s="2" t="s">
        <v>40</v>
      </c>
      <c r="D52" s="2" t="s">
        <v>41</v>
      </c>
      <c r="E52" s="2" t="s">
        <v>42</v>
      </c>
    </row>
    <row r="53" customFormat="false" ht="12.8" hidden="false" customHeight="false" outlineLevel="1" collapsed="false">
      <c r="B53" s="10" t="s">
        <v>43</v>
      </c>
      <c r="C53" s="2" t="s">
        <v>44</v>
      </c>
      <c r="D53" s="2" t="s">
        <v>45</v>
      </c>
      <c r="E53" s="2" t="s">
        <v>30</v>
      </c>
    </row>
    <row r="54" customFormat="false" ht="12.8" hidden="false" customHeight="false" outlineLevel="1" collapsed="false">
      <c r="B54" s="10" t="s">
        <v>46</v>
      </c>
      <c r="C54" s="2" t="s">
        <v>47</v>
      </c>
      <c r="D54" s="2" t="s">
        <v>48</v>
      </c>
      <c r="E54" s="2" t="s">
        <v>30</v>
      </c>
    </row>
    <row r="55" customFormat="false" ht="12.5" hidden="false" customHeight="false" outlineLevel="1" collapsed="false"/>
    <row r="56" customFormat="false" ht="12.5" hidden="false" customHeight="false" outlineLevel="1" collapsed="false"/>
    <row r="57" customFormat="false" ht="12.5" hidden="false" customHeight="false" outlineLevel="1" collapsed="false"/>
    <row r="58" customFormat="false" ht="12.8" hidden="false" customHeight="false" outlineLevel="0" collapsed="false"/>
    <row r="59" customFormat="false" ht="12.8" hidden="false" customHeight="false" outlineLevel="0" collapsed="false"/>
    <row r="60" customFormat="false" ht="12.8" hidden="false" customHeight="false" outlineLevel="0" collapsed="false"/>
    <row r="61" customFormat="false" ht="12.8" hidden="false" customHeight="false" outlineLevel="0" collapsed="false"/>
    <row r="62" customFormat="false" ht="12.8" hidden="false" customHeight="false" outlineLevel="0" collapsed="false"/>
    <row r="63" customFormat="false" ht="12.8" hidden="false" customHeight="false" outlineLevel="0" collapsed="false"/>
    <row r="64" customFormat="false" ht="12.8" hidden="false" customHeight="false" outlineLevel="0" collapsed="false"/>
  </sheetData>
  <autoFilter ref="B12:B19"/>
  <mergeCells count="2">
    <mergeCell ref="B9:D10"/>
    <mergeCell ref="B37:E38"/>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4.xml><?xml version="1.0" encoding="utf-8"?>
<worksheet xmlns="http://schemas.openxmlformats.org/spreadsheetml/2006/main" xmlns:r="http://schemas.openxmlformats.org/officeDocument/2006/relationships">
  <sheetPr filterMode="false">
    <tabColor rgb="FFE998A6"/>
    <pageSetUpPr fitToPage="false"/>
  </sheetPr>
  <dimension ref="A1:P57"/>
  <sheetViews>
    <sheetView showFormulas="false" showGridLines="false" showRowColHeaders="true" showZeros="true" rightToLeft="false" tabSelected="false" showOutlineSymbols="true" defaultGridColor="true" view="normal" topLeftCell="A16" colorId="64" zoomScale="80" zoomScaleNormal="80" zoomScalePageLayoutView="100" workbookViewId="0">
      <selection pane="topLeft" activeCell="D45" activeCellId="1" sqref="B48:D69 D45"/>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24.66"/>
    <col collapsed="false" customWidth="true" hidden="false" outlineLevel="0" max="3" min="3" style="2" width="52.66"/>
    <col collapsed="false" customWidth="true" hidden="false" outlineLevel="0" max="4" min="4" style="2" width="34.33"/>
    <col collapsed="false" customWidth="true" hidden="false" outlineLevel="0" max="5" min="5" style="2" width="25.33"/>
    <col collapsed="false" customWidth="true" hidden="false" outlineLevel="0" max="6" min="6" style="2" width="18.33"/>
    <col collapsed="false" customWidth="true" hidden="false" outlineLevel="0" max="8" min="7" style="2" width="15.33"/>
    <col collapsed="false" customWidth="true" hidden="false" outlineLevel="0" max="9" min="9" style="2" width="14.33"/>
    <col collapsed="false" customWidth="true" hidden="false" outlineLevel="0" max="10" min="10" style="2" width="15.78"/>
    <col collapsed="false" customWidth="true" hidden="false" outlineLevel="0" max="11" min="11" style="2" width="14.33"/>
    <col collapsed="false" customWidth="true" hidden="false" outlineLevel="0" max="1025" min="12"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MID(CELL("Filename",I7),SEARCH("]",CELL("Filename",I7),1)+1,100)</f>
        <v>Section 1 - Clean (ANS)</v>
      </c>
    </row>
    <row r="5" customFormat="false" ht="12.5" hidden="false" customHeight="false" outlineLevel="0" collapsed="false">
      <c r="P5" s="5"/>
    </row>
    <row r="7" customFormat="false" ht="18.5" hidden="false" customHeight="false" outlineLevel="0" collapsed="false">
      <c r="B7" s="6" t="s">
        <v>16</v>
      </c>
    </row>
    <row r="8" customFormat="false" ht="13" hidden="false" customHeight="false" outlineLevel="1" collapsed="false"/>
    <row r="9" customFormat="false" ht="13" hidden="false" customHeight="true" outlineLevel="1" collapsed="false">
      <c r="B9" s="7" t="s">
        <v>53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18</v>
      </c>
    </row>
    <row r="13" customFormat="false" ht="13" hidden="false" customHeight="false" outlineLevel="1" collapsed="false">
      <c r="B13" s="9" t="s">
        <v>19</v>
      </c>
      <c r="D13" s="13"/>
    </row>
    <row r="14" customFormat="false" ht="13" hidden="false" customHeight="false" outlineLevel="1" collapsed="false">
      <c r="B14" s="10" t="s">
        <v>20</v>
      </c>
    </row>
    <row r="15" customFormat="false" ht="13" hidden="false" customHeight="false" outlineLevel="1" collapsed="false">
      <c r="B15" s="9" t="s">
        <v>21</v>
      </c>
    </row>
    <row r="16" customFormat="false" ht="13" hidden="false" customHeight="false" outlineLevel="1" collapsed="false">
      <c r="B16" s="10" t="s">
        <v>22</v>
      </c>
    </row>
    <row r="17" customFormat="false" ht="13" hidden="false" customHeight="false" outlineLevel="1" collapsed="false">
      <c r="B17" s="9" t="s">
        <v>23</v>
      </c>
    </row>
    <row r="18" customFormat="false" ht="13" hidden="false" customHeight="false" outlineLevel="1" collapsed="false">
      <c r="B18" s="10" t="s">
        <v>22</v>
      </c>
    </row>
    <row r="19" customFormat="false" ht="13" hidden="false" customHeight="false" outlineLevel="1" collapsed="false">
      <c r="B19" s="9" t="s">
        <v>23</v>
      </c>
    </row>
    <row r="20" customFormat="false" ht="13" hidden="false" customHeight="false" outlineLevel="1" collapsed="false"/>
    <row r="21" customFormat="false" ht="13" hidden="false" customHeight="false" outlineLevel="1" collapsed="false"/>
    <row r="22" customFormat="false" ht="13" hidden="false" customHeight="false" outlineLevel="1" collapsed="false"/>
    <row r="23" customFormat="false" ht="13" hidden="false" customHeight="false" outlineLevel="1" collapsed="false"/>
    <row r="24" customFormat="false" ht="13" hidden="false" customHeight="false" outlineLevel="1" collapsed="false"/>
    <row r="25" customFormat="false" ht="13" hidden="false" customHeight="false" outlineLevel="1" collapsed="false"/>
    <row r="26" customFormat="false" ht="13" hidden="false" customHeight="false" outlineLevel="1" collapsed="false">
      <c r="B26" s="8"/>
    </row>
    <row r="27" customFormat="false" ht="13" hidden="false" customHeight="false" outlineLevel="1" collapsed="false">
      <c r="B27" s="9" t="str">
        <f aca="false">CLEAN(B13)</f>
        <v>PROGRAF</v>
      </c>
    </row>
    <row r="28" customFormat="false" ht="13" hidden="false" customHeight="false" outlineLevel="1" collapsed="false">
      <c r="B28" s="10" t="str">
        <f aca="false">CLEAN(B14)</f>
        <v>_x005F_x0014_PARIET</v>
      </c>
    </row>
    <row r="29" customFormat="false" ht="13" hidden="false" customHeight="false" outlineLevel="1" collapsed="false">
      <c r="B29" s="9" t="str">
        <f aca="false">CLEAN(B15)</f>
        <v>_x005F_x0014_CONCERTA</v>
      </c>
    </row>
    <row r="30" customFormat="false" ht="13" hidden="false" customHeight="false" outlineLevel="1" collapsed="false">
      <c r="B30" s="10" t="str">
        <f aca="false">CLEAN(B16)</f>
        <v>_x005F_x0014_LEUSTATIN</v>
      </c>
    </row>
    <row r="31" customFormat="false" ht="13" hidden="false" customHeight="false" outlineLevel="1" collapsed="false">
      <c r="B31" s="9" t="str">
        <f aca="false">CLEAN(B17)</f>
        <v>_x005F_x0014_VELCADE</v>
      </c>
    </row>
    <row r="32" customFormat="false" ht="13" hidden="false" customHeight="false" outlineLevel="1" collapsed="false">
      <c r="B32" s="10" t="str">
        <f aca="false">CLEAN(B18)</f>
        <v>_x005F_x0014_LEUSTATIN</v>
      </c>
    </row>
    <row r="33" customFormat="false" ht="13" hidden="false" customHeight="false" outlineLevel="1" collapsed="false">
      <c r="B33" s="9" t="str">
        <f aca="false">CLEAN(B19)</f>
        <v>_x005F_x0014_VELCADE</v>
      </c>
    </row>
    <row r="34" customFormat="false" ht="12.5" hidden="false" customHeight="false" outlineLevel="1" collapsed="false"/>
    <row r="35" customFormat="false" ht="18.5" hidden="false" customHeight="false" outlineLevel="0" collapsed="false">
      <c r="B35" s="6" t="s">
        <v>24</v>
      </c>
    </row>
    <row r="36" customFormat="false" ht="16.4" hidden="false" customHeight="true" outlineLevel="1" collapsed="false">
      <c r="B36" s="6"/>
    </row>
    <row r="37" customFormat="false" ht="18" hidden="false" customHeight="true" outlineLevel="1" collapsed="false">
      <c r="B37" s="7" t="s">
        <v>54</v>
      </c>
      <c r="C37" s="7"/>
      <c r="D37" s="7"/>
      <c r="E37" s="7"/>
    </row>
    <row r="38" customFormat="false" ht="13.4" hidden="false" customHeight="true" outlineLevel="1" collapsed="false">
      <c r="B38" s="7"/>
      <c r="C38" s="7"/>
      <c r="D38" s="7"/>
      <c r="E38" s="7"/>
    </row>
    <row r="39" customFormat="false" ht="13" hidden="false" customHeight="false" outlineLevel="1" collapsed="false"/>
    <row r="40" customFormat="false" ht="13" hidden="false" customHeight="false" outlineLevel="1" collapsed="false">
      <c r="B40" s="12" t="s">
        <v>26</v>
      </c>
    </row>
    <row r="41" customFormat="false" ht="13" hidden="false" customHeight="false" outlineLevel="1" collapsed="false">
      <c r="B41" s="10" t="s">
        <v>55</v>
      </c>
    </row>
    <row r="42" customFormat="false" ht="13" hidden="false" customHeight="false" outlineLevel="1" collapsed="false">
      <c r="B42" s="10" t="s">
        <v>56</v>
      </c>
    </row>
    <row r="43" customFormat="false" ht="13" hidden="false" customHeight="false" outlineLevel="1" collapsed="false">
      <c r="B43" s="14" t="s">
        <v>57</v>
      </c>
    </row>
    <row r="44" customFormat="false" ht="13" hidden="false" customHeight="false" outlineLevel="1" collapsed="false">
      <c r="B44" s="10" t="s">
        <v>58</v>
      </c>
    </row>
    <row r="45" customFormat="false" ht="13" hidden="false" customHeight="false" outlineLevel="1" collapsed="false">
      <c r="B45" s="14" t="s">
        <v>59</v>
      </c>
    </row>
    <row r="46" customFormat="false" ht="13" hidden="false" customHeight="false" outlineLevel="1" collapsed="false">
      <c r="B46" s="14" t="s">
        <v>60</v>
      </c>
    </row>
    <row r="47" customFormat="false" ht="13" hidden="false" customHeight="false" outlineLevel="1" collapsed="false"/>
    <row r="48" customFormat="false" ht="13" hidden="false" customHeight="false" outlineLevel="1" collapsed="false">
      <c r="B48" s="8" t="s">
        <v>49</v>
      </c>
      <c r="C48" s="8" t="s">
        <v>50</v>
      </c>
      <c r="D48" s="8" t="s">
        <v>51</v>
      </c>
      <c r="E48" s="8" t="s">
        <v>52</v>
      </c>
    </row>
    <row r="49" customFormat="false" ht="13" hidden="false" customHeight="false" outlineLevel="1" collapsed="false">
      <c r="B49" s="9" t="s">
        <v>27</v>
      </c>
      <c r="C49" s="9" t="s">
        <v>28</v>
      </c>
      <c r="D49" s="9" t="s">
        <v>29</v>
      </c>
      <c r="E49" s="9" t="s">
        <v>30</v>
      </c>
    </row>
    <row r="50" customFormat="false" ht="13" hidden="false" customHeight="false" outlineLevel="1" collapsed="false">
      <c r="B50" s="2" t="s">
        <v>31</v>
      </c>
      <c r="C50" s="2" t="s">
        <v>32</v>
      </c>
      <c r="D50" s="2" t="s">
        <v>33</v>
      </c>
      <c r="E50" s="2" t="s">
        <v>34</v>
      </c>
    </row>
    <row r="51" customFormat="false" ht="13" hidden="false" customHeight="false" outlineLevel="1" collapsed="false">
      <c r="B51" s="9" t="s">
        <v>35</v>
      </c>
      <c r="C51" s="9" t="s">
        <v>36</v>
      </c>
      <c r="D51" s="9" t="s">
        <v>37</v>
      </c>
      <c r="E51" s="9" t="s">
        <v>38</v>
      </c>
    </row>
    <row r="52" customFormat="false" ht="13" hidden="false" customHeight="false" outlineLevel="1" collapsed="false">
      <c r="B52" s="2" t="s">
        <v>39</v>
      </c>
      <c r="C52" s="2" t="s">
        <v>40</v>
      </c>
      <c r="D52" s="2" t="s">
        <v>41</v>
      </c>
      <c r="E52" s="2" t="s">
        <v>42</v>
      </c>
    </row>
    <row r="53" customFormat="false" ht="12.5" hidden="false" customHeight="false" outlineLevel="1" collapsed="false">
      <c r="B53" s="9" t="s">
        <v>43</v>
      </c>
      <c r="C53" s="9" t="s">
        <v>44</v>
      </c>
      <c r="D53" s="9" t="s">
        <v>45</v>
      </c>
      <c r="E53" s="9" t="s">
        <v>30</v>
      </c>
    </row>
    <row r="54" customFormat="false" ht="12.5" hidden="false" customHeight="false" outlineLevel="1" collapsed="false">
      <c r="B54" s="2" t="s">
        <v>46</v>
      </c>
      <c r="C54" s="2" t="s">
        <v>47</v>
      </c>
      <c r="D54" s="2" t="s">
        <v>48</v>
      </c>
      <c r="E54" s="2" t="s">
        <v>30</v>
      </c>
    </row>
    <row r="55" customFormat="false" ht="12.5" hidden="false" customHeight="false" outlineLevel="1" collapsed="false"/>
    <row r="56" customFormat="false" ht="12.5" hidden="false" customHeight="false" outlineLevel="1" collapsed="false"/>
    <row r="57" customFormat="false" ht="12.5" hidden="false" customHeight="false" outlineLevel="1" collapsed="false"/>
  </sheetData>
  <mergeCells count="2">
    <mergeCell ref="B9:D10"/>
    <mergeCell ref="B37:E38"/>
  </mergeCells>
  <hyperlinks>
    <hyperlink ref="B43" r:id="rId1" display="Beth_Summers_beth.summers@Company.com_associate"/>
    <hyperlink ref="B45" r:id="rId2" display="Jenna_Stone_Jenne.Stone@Company.com_Manager"/>
    <hyperlink ref="B46" r:id="rId3" display="Quinn_Cook_Quinn.Cook@Company.com_Manager"/>
  </hyperlink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4"/>
</worksheet>
</file>

<file path=xl/worksheets/sheet5.xml><?xml version="1.0" encoding="utf-8"?>
<worksheet xmlns="http://schemas.openxmlformats.org/spreadsheetml/2006/main" xmlns:r="http://schemas.openxmlformats.org/officeDocument/2006/relationships">
  <sheetPr filterMode="false">
    <pageSetUpPr fitToPage="false"/>
  </sheetPr>
  <dimension ref="A1:P35"/>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B25" activeCellId="1" sqref="B48:D69 B25"/>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58.78"/>
    <col collapsed="false" customWidth="true" hidden="false" outlineLevel="0" max="3" min="3" style="2" width="29.11"/>
    <col collapsed="false" customWidth="true" hidden="false" outlineLevel="0" max="4" min="4" style="2" width="9.34"/>
    <col collapsed="false" customWidth="true" hidden="false" outlineLevel="0" max="5" min="5" style="2" width="25.33"/>
    <col collapsed="false" customWidth="true" hidden="false" outlineLevel="0" max="6" min="6" style="2" width="18.33"/>
    <col collapsed="false" customWidth="true" hidden="false" outlineLevel="0" max="8" min="7" style="2" width="15.33"/>
    <col collapsed="false" customWidth="true" hidden="false" outlineLevel="0" max="9" min="9" style="2" width="14.33"/>
    <col collapsed="false" customWidth="true" hidden="false" outlineLevel="0" max="10" min="10" style="2" width="15.78"/>
    <col collapsed="false" customWidth="true" hidden="false" outlineLevel="0" max="11" min="11" style="2" width="14.33"/>
    <col collapsed="false" customWidth="true" hidden="false" outlineLevel="0" max="1025" min="12"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MID(CELL("Filename",I7),SEARCH("]",CELL("Filename",I7),1)+1,100)</f>
        <v>Section 2 - Trim</v>
      </c>
    </row>
    <row r="5" customFormat="false" ht="12.5" hidden="false" customHeight="false" outlineLevel="0" collapsed="false">
      <c r="P5" s="5"/>
    </row>
    <row r="7" customFormat="false" ht="18.5" hidden="false" customHeight="false" outlineLevel="0" collapsed="false">
      <c r="B7" s="6" t="s">
        <v>61</v>
      </c>
    </row>
    <row r="8" customFormat="false" ht="13" hidden="false" customHeight="false" outlineLevel="1" collapsed="false"/>
    <row r="9" customFormat="false" ht="13" hidden="false" customHeight="true" outlineLevel="1" collapsed="false">
      <c r="B9" s="7" t="s">
        <v>53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62</v>
      </c>
    </row>
    <row r="13" customFormat="false" ht="13" hidden="false" customHeight="false" outlineLevel="1" collapsed="false">
      <c r="B13" s="9" t="s">
        <v>63</v>
      </c>
    </row>
    <row r="14" customFormat="false" ht="13" hidden="false" customHeight="false" outlineLevel="1" collapsed="false">
      <c r="B14" s="2" t="s">
        <v>64</v>
      </c>
    </row>
    <row r="15" customFormat="false" ht="13" hidden="false" customHeight="false" outlineLevel="1" collapsed="false">
      <c r="B15" s="9" t="s">
        <v>65</v>
      </c>
    </row>
    <row r="16" customFormat="false" ht="13" hidden="false" customHeight="false" outlineLevel="1" collapsed="false">
      <c r="B16" s="2" t="s">
        <v>66</v>
      </c>
    </row>
    <row r="17" customFormat="false" ht="13" hidden="false" customHeight="false" outlineLevel="1" collapsed="false">
      <c r="B17" s="9" t="s">
        <v>67</v>
      </c>
    </row>
    <row r="18" customFormat="false" ht="13" hidden="false" customHeight="false" outlineLevel="1" collapsed="false">
      <c r="B18" s="2" t="s">
        <v>68</v>
      </c>
    </row>
    <row r="19" customFormat="false" ht="13" hidden="false" customHeight="false" outlineLevel="1" collapsed="false">
      <c r="B19" s="9" t="s">
        <v>69</v>
      </c>
    </row>
    <row r="20" customFormat="false" ht="13" hidden="false" customHeight="false" outlineLevel="1" collapsed="false"/>
    <row r="21" customFormat="false" ht="13" hidden="false" customHeight="false" outlineLevel="1" collapsed="false"/>
    <row r="22" customFormat="false" ht="13" hidden="false" customHeight="false" outlineLevel="1" collapsed="false"/>
    <row r="23" customFormat="false" ht="13" hidden="false" customHeight="false" outlineLevel="1" collapsed="false"/>
    <row r="24" customFormat="false" ht="13" hidden="false" customHeight="false" outlineLevel="1" collapsed="false">
      <c r="B24" s="8" t="s">
        <v>11</v>
      </c>
    </row>
    <row r="25" customFormat="false" ht="12.8" hidden="false" customHeight="false" outlineLevel="1" collapsed="false">
      <c r="B25" s="9" t="str">
        <f aca="false">TRIM(B13)</f>
        <v>PROGRAF 5MG 50CAPSULAS PROIBID</v>
      </c>
    </row>
    <row r="26" customFormat="false" ht="12.8" hidden="false" customHeight="false" outlineLevel="1" collapsed="false">
      <c r="B26" s="9" t="str">
        <f aca="false">TRIM(B14)</f>
        <v>PARIET 20 MG 28 CP OR</v>
      </c>
    </row>
    <row r="27" customFormat="false" ht="12.8" hidden="false" customHeight="false" outlineLevel="1" collapsed="false">
      <c r="B27" s="9" t="str">
        <f aca="false">TRIM(B15)</f>
        <v>CONCERTA 54MG FR 30CP OR</v>
      </c>
    </row>
    <row r="28" customFormat="false" ht="12.8" hidden="false" customHeight="false" outlineLevel="1" collapsed="false">
      <c r="B28" s="9" t="str">
        <f aca="false">TRIM(B16)</f>
        <v>LEUSTATIN INJ CT C/ 1 FR AMP</v>
      </c>
    </row>
    <row r="29" customFormat="false" ht="12.8" hidden="false" customHeight="false" outlineLevel="1" collapsed="false">
      <c r="B29" s="9" t="str">
        <f aca="false">TRIM(B17)</f>
        <v>VELCADE 3,5 MG OR</v>
      </c>
    </row>
    <row r="30" customFormat="false" ht="12.8" hidden="false" customHeight="false" outlineLevel="1" collapsed="false">
      <c r="B30" s="9" t="str">
        <f aca="false">TRIM(B18)</f>
        <v>LEUSTATIN INJ CT C/ 1 FR AMP</v>
      </c>
    </row>
    <row r="31" customFormat="false" ht="12.8" hidden="false" customHeight="false" outlineLevel="1" collapsed="false">
      <c r="B31" s="9" t="str">
        <f aca="false">TRIM(B19)</f>
        <v>VELCADE 3,5 MG OR</v>
      </c>
    </row>
    <row r="32" customFormat="false" ht="12.5" hidden="false" customHeight="false" outlineLevel="1" collapsed="false"/>
    <row r="33" customFormat="false" ht="12.5" hidden="false" customHeight="false" outlineLevel="1" collapsed="false"/>
    <row r="34" customFormat="false" ht="12.5" hidden="false" customHeight="false" outlineLevel="1" collapsed="false"/>
    <row r="35" customFormat="false" ht="12.5" hidden="false" customHeight="false" outlineLevel="1" collapsed="false"/>
  </sheetData>
  <mergeCells count="1">
    <mergeCell ref="B9:D10"/>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6.xml><?xml version="1.0" encoding="utf-8"?>
<worksheet xmlns="http://schemas.openxmlformats.org/spreadsheetml/2006/main" xmlns:r="http://schemas.openxmlformats.org/officeDocument/2006/relationships">
  <sheetPr filterMode="false">
    <tabColor rgb="FFE998A6"/>
    <pageSetUpPr fitToPage="false"/>
  </sheetPr>
  <dimension ref="A1:P35"/>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C21" activeCellId="1" sqref="B48:D69 C21"/>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58.78"/>
    <col collapsed="false" customWidth="true" hidden="false" outlineLevel="0" max="3" min="3" style="2" width="52.66"/>
    <col collapsed="false" customWidth="true" hidden="false" outlineLevel="0" max="4" min="4" style="2" width="32.33"/>
    <col collapsed="false" customWidth="true" hidden="false" outlineLevel="0" max="5" min="5" style="2" width="25.33"/>
    <col collapsed="false" customWidth="true" hidden="false" outlineLevel="0" max="6" min="6" style="2" width="18.33"/>
    <col collapsed="false" customWidth="true" hidden="false" outlineLevel="0" max="8" min="7" style="2" width="15.33"/>
    <col collapsed="false" customWidth="true" hidden="false" outlineLevel="0" max="9" min="9" style="2" width="14.33"/>
    <col collapsed="false" customWidth="true" hidden="false" outlineLevel="0" max="10" min="10" style="2" width="15.78"/>
    <col collapsed="false" customWidth="true" hidden="false" outlineLevel="0" max="11" min="11" style="2" width="14.33"/>
    <col collapsed="false" customWidth="true" hidden="false" outlineLevel="0" max="1025" min="12"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MID(CELL("Filename",I7),SEARCH("]",CELL("Filename",I7),1)+1,100)</f>
        <v>Section 2 - Trim (ANS)</v>
      </c>
    </row>
    <row r="5" customFormat="false" ht="12.5" hidden="false" customHeight="false" outlineLevel="0" collapsed="false">
      <c r="P5" s="5"/>
    </row>
    <row r="7" customFormat="false" ht="18.5" hidden="false" customHeight="false" outlineLevel="0" collapsed="false">
      <c r="B7" s="6" t="s">
        <v>61</v>
      </c>
    </row>
    <row r="8" customFormat="false" ht="13" hidden="false" customHeight="false" outlineLevel="1" collapsed="false"/>
    <row r="9" customFormat="false" ht="13" hidden="false" customHeight="true" outlineLevel="1" collapsed="false">
      <c r="B9" s="7" t="s">
        <v>53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62</v>
      </c>
    </row>
    <row r="13" customFormat="false" ht="13" hidden="false" customHeight="false" outlineLevel="1" collapsed="false">
      <c r="B13" s="9" t="s">
        <v>63</v>
      </c>
    </row>
    <row r="14" customFormat="false" ht="13" hidden="false" customHeight="false" outlineLevel="1" collapsed="false">
      <c r="B14" s="2" t="s">
        <v>64</v>
      </c>
    </row>
    <row r="15" customFormat="false" ht="13" hidden="false" customHeight="false" outlineLevel="1" collapsed="false">
      <c r="B15" s="9" t="s">
        <v>65</v>
      </c>
    </row>
    <row r="16" customFormat="false" ht="13" hidden="false" customHeight="false" outlineLevel="1" collapsed="false">
      <c r="B16" s="2" t="s">
        <v>66</v>
      </c>
    </row>
    <row r="17" customFormat="false" ht="13" hidden="false" customHeight="false" outlineLevel="1" collapsed="false">
      <c r="B17" s="9" t="s">
        <v>67</v>
      </c>
    </row>
    <row r="18" customFormat="false" ht="13" hidden="false" customHeight="false" outlineLevel="1" collapsed="false">
      <c r="B18" s="2" t="s">
        <v>68</v>
      </c>
    </row>
    <row r="19" customFormat="false" ht="13" hidden="false" customHeight="false" outlineLevel="1" collapsed="false">
      <c r="B19" s="9" t="s">
        <v>69</v>
      </c>
    </row>
    <row r="20" customFormat="false" ht="13" hidden="false" customHeight="false" outlineLevel="1" collapsed="false"/>
    <row r="21" customFormat="false" ht="13" hidden="false" customHeight="false" outlineLevel="1" collapsed="false"/>
    <row r="22" customFormat="false" ht="13" hidden="false" customHeight="false" outlineLevel="1" collapsed="false"/>
    <row r="23" customFormat="false" ht="13" hidden="false" customHeight="false" outlineLevel="1" collapsed="false"/>
    <row r="24" customFormat="false" ht="13" hidden="false" customHeight="false" outlineLevel="1" collapsed="false">
      <c r="B24" s="8" t="s">
        <v>11</v>
      </c>
    </row>
    <row r="25" customFormat="false" ht="13" hidden="false" customHeight="false" outlineLevel="1" collapsed="false">
      <c r="B25" s="9" t="str">
        <f aca="false">TRIM(B13)</f>
        <v>PROGRAF 5MG 50CAPSULAS PROIBID</v>
      </c>
    </row>
    <row r="26" customFormat="false" ht="13" hidden="false" customHeight="false" outlineLevel="1" collapsed="false">
      <c r="B26" s="2" t="str">
        <f aca="false">TRIM(B14)</f>
        <v>PARIET 20 MG 28 CP OR</v>
      </c>
    </row>
    <row r="27" customFormat="false" ht="13" hidden="false" customHeight="false" outlineLevel="1" collapsed="false">
      <c r="B27" s="9" t="str">
        <f aca="false">TRIM(B15)</f>
        <v>CONCERTA 54MG FR 30CP OR</v>
      </c>
    </row>
    <row r="28" customFormat="false" ht="13" hidden="false" customHeight="false" outlineLevel="1" collapsed="false">
      <c r="B28" s="2" t="str">
        <f aca="false">TRIM(B16)</f>
        <v>LEUSTATIN INJ CT C/ 1 FR AMP</v>
      </c>
    </row>
    <row r="29" customFormat="false" ht="13" hidden="false" customHeight="false" outlineLevel="1" collapsed="false">
      <c r="B29" s="9" t="str">
        <f aca="false">TRIM(B17)</f>
        <v>VELCADE 3,5 MG OR</v>
      </c>
    </row>
    <row r="30" customFormat="false" ht="13" hidden="false" customHeight="false" outlineLevel="1" collapsed="false">
      <c r="B30" s="2" t="str">
        <f aca="false">TRIM(B18)</f>
        <v>LEUSTATIN INJ CT C/ 1 FR AMP</v>
      </c>
    </row>
    <row r="31" customFormat="false" ht="13" hidden="false" customHeight="false" outlineLevel="1" collapsed="false">
      <c r="B31" s="9" t="str">
        <f aca="false">TRIM(B19)</f>
        <v>VELCADE 3,5 MG OR</v>
      </c>
    </row>
    <row r="32" customFormat="false" ht="12.5" hidden="false" customHeight="false" outlineLevel="1" collapsed="false"/>
    <row r="33" customFormat="false" ht="12.5" hidden="false" customHeight="false" outlineLevel="1" collapsed="false"/>
    <row r="34" customFormat="false" ht="12.5" hidden="false" customHeight="false" outlineLevel="1" collapsed="false"/>
    <row r="35" customFormat="false" ht="12.5" hidden="false" customHeight="false" outlineLevel="1" collapsed="false"/>
  </sheetData>
  <mergeCells count="1">
    <mergeCell ref="B9:D10"/>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A1:P50"/>
  <sheetViews>
    <sheetView showFormulas="false" showGridLines="false" showRowColHeaders="true" showZeros="true" rightToLeft="false" tabSelected="false" showOutlineSymbols="true" defaultGridColor="true" view="normal" topLeftCell="A19" colorId="64" zoomScale="80" zoomScaleNormal="80" zoomScalePageLayoutView="100" workbookViewId="0">
      <selection pane="topLeft" activeCell="C46" activeCellId="1" sqref="B48:D69 C46"/>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58"/>
    <col collapsed="false" customWidth="true" hidden="false" outlineLevel="0" max="3" min="3" style="2" width="52.66"/>
    <col collapsed="false" customWidth="true" hidden="false" outlineLevel="0" max="4" min="4" style="2" width="32.33"/>
    <col collapsed="false" customWidth="true" hidden="false" outlineLevel="0" max="5" min="5" style="2" width="25.33"/>
    <col collapsed="false" customWidth="true" hidden="false" outlineLevel="0" max="6" min="6" style="2" width="18.33"/>
    <col collapsed="false" customWidth="true" hidden="false" outlineLevel="0" max="8" min="7" style="2" width="15.33"/>
    <col collapsed="false" customWidth="true" hidden="false" outlineLevel="0" max="9" min="9" style="2" width="14.33"/>
    <col collapsed="false" customWidth="true" hidden="false" outlineLevel="0" max="10" min="10" style="2" width="15.78"/>
    <col collapsed="false" customWidth="true" hidden="false" outlineLevel="0" max="11" min="11" style="2" width="14.33"/>
    <col collapsed="false" customWidth="true" hidden="false" outlineLevel="0" max="1025" min="12"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MID(CELL("Filename",I7),SEARCH("]",CELL("Filename",I7),1)+1,100)</f>
        <v>Section 3 - Substitute</v>
      </c>
    </row>
    <row r="5" customFormat="false" ht="12.5" hidden="false" customHeight="false" outlineLevel="0" collapsed="false">
      <c r="P5" s="5"/>
    </row>
    <row r="7" customFormat="false" ht="18.5" hidden="false" customHeight="false" outlineLevel="0" collapsed="false">
      <c r="B7" s="6" t="s">
        <v>70</v>
      </c>
    </row>
    <row r="8" customFormat="false" ht="13" hidden="false" customHeight="false" outlineLevel="1" collapsed="false"/>
    <row r="9" customFormat="false" ht="13" hidden="false" customHeight="true" outlineLevel="1" collapsed="false">
      <c r="B9" s="7" t="s">
        <v>53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62</v>
      </c>
    </row>
    <row r="13" customFormat="false" ht="13" hidden="false" customHeight="false" outlineLevel="1" collapsed="false">
      <c r="B13" s="9" t="s">
        <v>63</v>
      </c>
    </row>
    <row r="14" customFormat="false" ht="13" hidden="false" customHeight="false" outlineLevel="1" collapsed="false">
      <c r="B14" s="2" t="s">
        <v>64</v>
      </c>
    </row>
    <row r="15" customFormat="false" ht="13" hidden="false" customHeight="false" outlineLevel="1" collapsed="false">
      <c r="B15" s="9" t="s">
        <v>65</v>
      </c>
    </row>
    <row r="16" customFormat="false" ht="13" hidden="false" customHeight="false" outlineLevel="1" collapsed="false">
      <c r="B16" s="2" t="s">
        <v>66</v>
      </c>
    </row>
    <row r="17" customFormat="false" ht="13" hidden="false" customHeight="false" outlineLevel="1" collapsed="false">
      <c r="B17" s="9" t="s">
        <v>67</v>
      </c>
    </row>
    <row r="18" customFormat="false" ht="13" hidden="false" customHeight="false" outlineLevel="1" collapsed="false">
      <c r="B18" s="2" t="s">
        <v>68</v>
      </c>
    </row>
    <row r="19" customFormat="false" ht="13" hidden="false" customHeight="false" outlineLevel="1" collapsed="false">
      <c r="B19" s="9" t="s">
        <v>69</v>
      </c>
    </row>
    <row r="20" customFormat="false" ht="13" hidden="false" customHeight="false" outlineLevel="1" collapsed="false"/>
    <row r="21" customFormat="false" ht="13" hidden="false" customHeight="false" outlineLevel="1" collapsed="false"/>
    <row r="22" customFormat="false" ht="13" hidden="false" customHeight="false" outlineLevel="1" collapsed="false"/>
    <row r="23" customFormat="false" ht="13" hidden="false" customHeight="false" outlineLevel="1" collapsed="false">
      <c r="B23" s="8"/>
    </row>
    <row r="24" customFormat="false" ht="12.8" hidden="false" customHeight="false" outlineLevel="1" collapsed="false">
      <c r="B24" s="9" t="str">
        <f aca="false">TRIM(SUBSTITUTE(B13,",","."))</f>
        <v>PROGRAF 5MG 50CAPSULAS PROIBID</v>
      </c>
    </row>
    <row r="25" customFormat="false" ht="12.8" hidden="false" customHeight="false" outlineLevel="1" collapsed="false">
      <c r="B25" s="9" t="str">
        <f aca="false">TRIM(SUBSTITUTE(B14,",","."))</f>
        <v>PARIET 20 MG 28 CP OR</v>
      </c>
    </row>
    <row r="26" customFormat="false" ht="12.8" hidden="false" customHeight="false" outlineLevel="1" collapsed="false">
      <c r="B26" s="9" t="str">
        <f aca="false">TRIM(SUBSTITUTE(B15,",","."))</f>
        <v>CONCERTA 54MG FR 30CP OR</v>
      </c>
    </row>
    <row r="27" customFormat="false" ht="12.8" hidden="false" customHeight="false" outlineLevel="1" collapsed="false">
      <c r="B27" s="9" t="str">
        <f aca="false">TRIM(SUBSTITUTE(B16,",","."))</f>
        <v>LEUSTATIN INJ CT C/ 1 FR AMP</v>
      </c>
    </row>
    <row r="28" customFormat="false" ht="12.8" hidden="false" customHeight="false" outlineLevel="1" collapsed="false">
      <c r="B28" s="9" t="str">
        <f aca="false">TRIM(SUBSTITUTE(B17,",","."))</f>
        <v>VELCADE 3.5 MG OR</v>
      </c>
    </row>
    <row r="29" customFormat="false" ht="12.8" hidden="false" customHeight="false" outlineLevel="1" collapsed="false">
      <c r="B29" s="9" t="str">
        <f aca="false">TRIM(SUBSTITUTE(B18,",","."))</f>
        <v>LEUSTATIN INJ CT C/ 1 FR AMP</v>
      </c>
    </row>
    <row r="30" customFormat="false" ht="12.8" hidden="false" customHeight="false" outlineLevel="1" collapsed="false">
      <c r="B30" s="9" t="str">
        <f aca="false">TRIM(SUBSTITUTE(B19,",","."))</f>
        <v>VELCADE 3.5 MG OR</v>
      </c>
    </row>
    <row r="31" customFormat="false" ht="12.5" hidden="false" customHeight="false" outlineLevel="1" collapsed="false"/>
    <row r="32" customFormat="false" ht="12.5" hidden="false" customHeight="false" outlineLevel="1" collapsed="false"/>
    <row r="33" customFormat="false" ht="18.5" hidden="false" customHeight="false" outlineLevel="0" collapsed="false">
      <c r="B33" s="6" t="s">
        <v>71</v>
      </c>
    </row>
    <row r="34" customFormat="false" ht="18.5" hidden="false" customHeight="false" outlineLevel="1" collapsed="false">
      <c r="B34" s="6"/>
    </row>
    <row r="35" customFormat="false" ht="12.5" hidden="false" customHeight="true" outlineLevel="1" collapsed="false">
      <c r="B35" s="7" t="s">
        <v>72</v>
      </c>
      <c r="C35" s="7"/>
    </row>
    <row r="36" customFormat="false" ht="13.4" hidden="false" customHeight="true" outlineLevel="1" collapsed="false">
      <c r="B36" s="7"/>
      <c r="C36" s="7"/>
    </row>
    <row r="37" customFormat="false" ht="18" hidden="false" customHeight="true" outlineLevel="1" collapsed="false">
      <c r="B37" s="7"/>
      <c r="C37" s="7"/>
    </row>
    <row r="38" customFormat="false" ht="12.5" hidden="false" customHeight="false" outlineLevel="1" collapsed="false"/>
    <row r="39" customFormat="false" ht="13" hidden="false" customHeight="false" outlineLevel="1" collapsed="false">
      <c r="B39" s="15" t="s">
        <v>73</v>
      </c>
      <c r="C39" s="15"/>
    </row>
    <row r="40" customFormat="false" ht="13" hidden="false" customHeight="false" outlineLevel="1" collapsed="false"/>
    <row r="41" customFormat="false" ht="12.8" hidden="false" customHeight="false" outlineLevel="1" collapsed="false">
      <c r="B41" s="16" t="s">
        <v>74</v>
      </c>
      <c r="C41" s="16" t="str">
        <f aca="false">SUBSTITUTE(B41,"Sales Data","Cost data")</f>
        <v>Cost data</v>
      </c>
      <c r="D41" s="5"/>
    </row>
    <row r="42" customFormat="false" ht="12.8" hidden="false" customHeight="false" outlineLevel="1" collapsed="false">
      <c r="B42" s="17" t="s">
        <v>75</v>
      </c>
      <c r="C42" s="16" t="str">
        <f aca="false">SUBSTITUTE(B42,"2013","2015")</f>
        <v>Quarter 1, 2015</v>
      </c>
      <c r="D42" s="5"/>
    </row>
    <row r="43" customFormat="false" ht="12.8" hidden="false" customHeight="false" outlineLevel="1" collapsed="false">
      <c r="B43" s="17" t="s">
        <v>76</v>
      </c>
      <c r="C43" s="16" t="str">
        <f aca="false">SUBSTITUTE(B43,"2013","2015")</f>
        <v>Quarter 2, 2015</v>
      </c>
      <c r="D43" s="5"/>
    </row>
    <row r="44" customFormat="false" ht="12.8" hidden="false" customHeight="false" outlineLevel="1" collapsed="false">
      <c r="B44" s="17" t="s">
        <v>77</v>
      </c>
      <c r="C44" s="16" t="str">
        <f aca="false">SUBSTITUTE(B44,"2013","2015")</f>
        <v>Quarter 3, 2015</v>
      </c>
      <c r="D44" s="5"/>
    </row>
    <row r="45" customFormat="false" ht="12.8" hidden="false" customHeight="false" outlineLevel="1" collapsed="false">
      <c r="B45" s="17" t="s">
        <v>78</v>
      </c>
      <c r="C45" s="16" t="str">
        <f aca="false">SUBSTITUTE(B45,"2013","2015")</f>
        <v>Quarter 4, 2015</v>
      </c>
      <c r="D45" s="5"/>
    </row>
    <row r="46" customFormat="false" ht="12.8" hidden="false" customHeight="false" outlineLevel="1" collapsed="false">
      <c r="B46" s="17" t="s">
        <v>79</v>
      </c>
      <c r="C46" s="16" t="str">
        <f aca="false">SUBSTITUTE(B46,"2014","2016")</f>
        <v>Quarter 1, 2016</v>
      </c>
      <c r="D46" s="5"/>
    </row>
    <row r="47" customFormat="false" ht="12.8" hidden="false" customHeight="false" outlineLevel="1" collapsed="false">
      <c r="B47" s="17" t="s">
        <v>80</v>
      </c>
      <c r="C47" s="16" t="str">
        <f aca="false">SUBSTITUTE(B47,"2014","2016")</f>
        <v>Quarter 2, 2016</v>
      </c>
      <c r="D47" s="5"/>
    </row>
    <row r="48" customFormat="false" ht="12.8" hidden="false" customHeight="false" outlineLevel="1" collapsed="false">
      <c r="B48" s="17" t="s">
        <v>81</v>
      </c>
      <c r="C48" s="16" t="str">
        <f aca="false">SUBSTITUTE(B48,"2014","2016")</f>
        <v>Quarter 3, 2016</v>
      </c>
      <c r="D48" s="5"/>
    </row>
    <row r="49" customFormat="false" ht="12.8" hidden="false" customHeight="false" outlineLevel="1" collapsed="false">
      <c r="B49" s="17" t="s">
        <v>82</v>
      </c>
      <c r="C49" s="16" t="str">
        <f aca="false">SUBSTITUTE(B49,"2014","2016")</f>
        <v>Quarter 4, 2016</v>
      </c>
      <c r="D49" s="5"/>
    </row>
    <row r="50" customFormat="false" ht="12.5" hidden="false" customHeight="false" outlineLevel="1" collapsed="false"/>
  </sheetData>
  <mergeCells count="3">
    <mergeCell ref="B9:D10"/>
    <mergeCell ref="B35:C37"/>
    <mergeCell ref="B39:C39"/>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8.xml><?xml version="1.0" encoding="utf-8"?>
<worksheet xmlns="http://schemas.openxmlformats.org/spreadsheetml/2006/main" xmlns:r="http://schemas.openxmlformats.org/officeDocument/2006/relationships">
  <sheetPr filterMode="false">
    <tabColor rgb="FFE998A6"/>
    <pageSetUpPr fitToPage="false"/>
  </sheetPr>
  <dimension ref="A1:P50"/>
  <sheetViews>
    <sheetView showFormulas="false" showGridLines="false" showRowColHeaders="true" showZeros="true" rightToLeft="false" tabSelected="false" showOutlineSymbols="true" defaultGridColor="true" view="normal" topLeftCell="A16" colorId="64" zoomScale="80" zoomScaleNormal="80" zoomScalePageLayoutView="100" workbookViewId="0">
      <selection pane="topLeft" activeCell="D40" activeCellId="1" sqref="B48:D69 D40"/>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58"/>
    <col collapsed="false" customWidth="true" hidden="false" outlineLevel="0" max="3" min="3" style="2" width="52.66"/>
    <col collapsed="false" customWidth="true" hidden="false" outlineLevel="0" max="4" min="4" style="2" width="32.33"/>
    <col collapsed="false" customWidth="true" hidden="false" outlineLevel="0" max="5" min="5" style="2" width="25.33"/>
    <col collapsed="false" customWidth="true" hidden="false" outlineLevel="0" max="6" min="6" style="2" width="18.33"/>
    <col collapsed="false" customWidth="true" hidden="false" outlineLevel="0" max="8" min="7" style="2" width="15.33"/>
    <col collapsed="false" customWidth="true" hidden="false" outlineLevel="0" max="9" min="9" style="2" width="14.33"/>
    <col collapsed="false" customWidth="true" hidden="false" outlineLevel="0" max="10" min="10" style="2" width="15.78"/>
    <col collapsed="false" customWidth="true" hidden="false" outlineLevel="0" max="11" min="11" style="2" width="14.33"/>
    <col collapsed="false" customWidth="true" hidden="false" outlineLevel="0" max="1025" min="12"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MID(CELL("Filename",I7),SEARCH("]",CELL("Filename",I7),1)+1,100)</f>
        <v>Section 3 - Substitute (ANS)</v>
      </c>
    </row>
    <row r="5" customFormat="false" ht="12.5" hidden="false" customHeight="false" outlineLevel="0" collapsed="false">
      <c r="P5" s="5"/>
    </row>
    <row r="7" customFormat="false" ht="18.5" hidden="false" customHeight="false" outlineLevel="0" collapsed="false">
      <c r="B7" s="6" t="s">
        <v>70</v>
      </c>
    </row>
    <row r="8" customFormat="false" ht="13" hidden="false" customHeight="false" outlineLevel="1" collapsed="false"/>
    <row r="9" customFormat="false" ht="13" hidden="false" customHeight="true" outlineLevel="1" collapsed="false">
      <c r="B9" s="7" t="s">
        <v>53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62</v>
      </c>
    </row>
    <row r="13" customFormat="false" ht="13" hidden="false" customHeight="false" outlineLevel="1" collapsed="false">
      <c r="B13" s="9" t="s">
        <v>63</v>
      </c>
    </row>
    <row r="14" customFormat="false" ht="13" hidden="false" customHeight="false" outlineLevel="1" collapsed="false">
      <c r="B14" s="2" t="s">
        <v>64</v>
      </c>
    </row>
    <row r="15" customFormat="false" ht="13" hidden="false" customHeight="false" outlineLevel="1" collapsed="false">
      <c r="B15" s="9" t="s">
        <v>65</v>
      </c>
    </row>
    <row r="16" customFormat="false" ht="13" hidden="false" customHeight="false" outlineLevel="1" collapsed="false">
      <c r="B16" s="2" t="s">
        <v>66</v>
      </c>
    </row>
    <row r="17" customFormat="false" ht="13" hidden="false" customHeight="false" outlineLevel="1" collapsed="false">
      <c r="B17" s="9" t="s">
        <v>67</v>
      </c>
    </row>
    <row r="18" customFormat="false" ht="13" hidden="false" customHeight="false" outlineLevel="1" collapsed="false">
      <c r="B18" s="2" t="s">
        <v>68</v>
      </c>
    </row>
    <row r="19" customFormat="false" ht="13" hidden="false" customHeight="false" outlineLevel="1" collapsed="false">
      <c r="B19" s="9" t="s">
        <v>69</v>
      </c>
    </row>
    <row r="20" customFormat="false" ht="13" hidden="false" customHeight="false" outlineLevel="1" collapsed="false"/>
    <row r="21" customFormat="false" ht="13" hidden="false" customHeight="false" outlineLevel="1" collapsed="false"/>
    <row r="22" customFormat="false" ht="13" hidden="false" customHeight="false" outlineLevel="1" collapsed="false"/>
    <row r="23" customFormat="false" ht="13" hidden="false" customHeight="false" outlineLevel="1" collapsed="false">
      <c r="B23" s="8"/>
    </row>
    <row r="24" customFormat="false" ht="13" hidden="false" customHeight="false" outlineLevel="1" collapsed="false">
      <c r="B24" s="9" t="str">
        <f aca="false">TRIM(SUBSTITUTE(B13, ",", "."))</f>
        <v>PROGRAF 5MG 50CAPSULAS PROIBID</v>
      </c>
    </row>
    <row r="25" customFormat="false" ht="13" hidden="false" customHeight="false" outlineLevel="1" collapsed="false">
      <c r="B25" s="2" t="str">
        <f aca="false">TRIM(SUBSTITUTE(B14, ",", "."))</f>
        <v>PARIET 20 MG 28 CP OR</v>
      </c>
    </row>
    <row r="26" customFormat="false" ht="13" hidden="false" customHeight="false" outlineLevel="1" collapsed="false">
      <c r="B26" s="9" t="str">
        <f aca="false">TRIM(SUBSTITUTE(B15, ",", "."))</f>
        <v>CONCERTA 54MG FR 30CP OR</v>
      </c>
    </row>
    <row r="27" customFormat="false" ht="13" hidden="false" customHeight="false" outlineLevel="1" collapsed="false">
      <c r="B27" s="2" t="str">
        <f aca="false">TRIM(SUBSTITUTE(B16, ",", "."))</f>
        <v>LEUSTATIN INJ CT C/ 1 FR AMP</v>
      </c>
    </row>
    <row r="28" customFormat="false" ht="13" hidden="false" customHeight="false" outlineLevel="1" collapsed="false">
      <c r="B28" s="9" t="str">
        <f aca="false">TRIM(SUBSTITUTE(B17, ",", "."))</f>
        <v>VELCADE 3.5 MG OR</v>
      </c>
    </row>
    <row r="29" customFormat="false" ht="13" hidden="false" customHeight="false" outlineLevel="1" collapsed="false">
      <c r="B29" s="2" t="str">
        <f aca="false">TRIM(SUBSTITUTE(B18, ",", "."))</f>
        <v>LEUSTATIN INJ CT C/ 1 FR AMP</v>
      </c>
    </row>
    <row r="30" customFormat="false" ht="13" hidden="false" customHeight="false" outlineLevel="1" collapsed="false">
      <c r="B30" s="9" t="str">
        <f aca="false">TRIM(SUBSTITUTE(B19, ",", "."))</f>
        <v>VELCADE 3.5 MG OR</v>
      </c>
    </row>
    <row r="31" customFormat="false" ht="12.5" hidden="false" customHeight="false" outlineLevel="1" collapsed="false"/>
    <row r="32" customFormat="false" ht="12.5" hidden="false" customHeight="false" outlineLevel="1" collapsed="false"/>
    <row r="33" customFormat="false" ht="18.5" hidden="false" customHeight="false" outlineLevel="0" collapsed="false">
      <c r="B33" s="6" t="s">
        <v>71</v>
      </c>
    </row>
    <row r="34" customFormat="false" ht="18.5" hidden="false" customHeight="false" outlineLevel="1" collapsed="false">
      <c r="B34" s="6"/>
    </row>
    <row r="35" customFormat="false" ht="12.5" hidden="false" customHeight="true" outlineLevel="1" collapsed="false">
      <c r="B35" s="7" t="s">
        <v>72</v>
      </c>
      <c r="C35" s="7"/>
    </row>
    <row r="36" customFormat="false" ht="13.4" hidden="false" customHeight="true" outlineLevel="1" collapsed="false">
      <c r="B36" s="7"/>
      <c r="C36" s="7"/>
    </row>
    <row r="37" customFormat="false" ht="18" hidden="false" customHeight="true" outlineLevel="1" collapsed="false">
      <c r="B37" s="7"/>
      <c r="C37" s="7"/>
    </row>
    <row r="38" customFormat="false" ht="12.5" hidden="false" customHeight="false" outlineLevel="1" collapsed="false"/>
    <row r="39" customFormat="false" ht="13" hidden="false" customHeight="false" outlineLevel="1" collapsed="false">
      <c r="B39" s="15" t="s">
        <v>73</v>
      </c>
      <c r="C39" s="15"/>
    </row>
    <row r="40" customFormat="false" ht="13" hidden="false" customHeight="false" outlineLevel="1" collapsed="false"/>
    <row r="41" customFormat="false" ht="13" hidden="false" customHeight="false" outlineLevel="1" collapsed="false">
      <c r="B41" s="16" t="s">
        <v>74</v>
      </c>
      <c r="C41" s="16" t="str">
        <f aca="false">SUBSTITUTE(B41,"Sales","Cost")</f>
        <v>Cost Data</v>
      </c>
      <c r="D41" s="5"/>
    </row>
    <row r="42" customFormat="false" ht="13" hidden="false" customHeight="false" outlineLevel="1" collapsed="false">
      <c r="B42" s="17" t="s">
        <v>75</v>
      </c>
      <c r="C42" s="18" t="str">
        <f aca="false">SUBSTITUTE(B42,"2013","2015")</f>
        <v>Quarter 1, 2015</v>
      </c>
      <c r="D42" s="5"/>
    </row>
    <row r="43" customFormat="false" ht="13" hidden="false" customHeight="false" outlineLevel="1" collapsed="false">
      <c r="B43" s="17" t="s">
        <v>76</v>
      </c>
      <c r="C43" s="18" t="str">
        <f aca="false">SUBSTITUTE(B43,"2013","2015")</f>
        <v>Quarter 2, 2015</v>
      </c>
      <c r="D43" s="5"/>
    </row>
    <row r="44" customFormat="false" ht="13" hidden="false" customHeight="false" outlineLevel="1" collapsed="false">
      <c r="B44" s="17" t="s">
        <v>77</v>
      </c>
      <c r="C44" s="18" t="str">
        <f aca="false">SUBSTITUTE(B44,"2013","2015")</f>
        <v>Quarter 3, 2015</v>
      </c>
      <c r="D44" s="5"/>
    </row>
    <row r="45" customFormat="false" ht="13" hidden="false" customHeight="false" outlineLevel="1" collapsed="false">
      <c r="B45" s="17" t="s">
        <v>78</v>
      </c>
      <c r="C45" s="18" t="str">
        <f aca="false">SUBSTITUTE(B45,"2013","2015")</f>
        <v>Quarter 4, 2015</v>
      </c>
      <c r="D45" s="5"/>
    </row>
    <row r="46" customFormat="false" ht="13" hidden="false" customHeight="false" outlineLevel="1" collapsed="false">
      <c r="B46" s="17" t="s">
        <v>79</v>
      </c>
      <c r="C46" s="18" t="str">
        <f aca="false">SUBSTITUTE(B46,"2014","2016")</f>
        <v>Quarter 1, 2016</v>
      </c>
      <c r="D46" s="5"/>
    </row>
    <row r="47" customFormat="false" ht="13" hidden="false" customHeight="false" outlineLevel="1" collapsed="false">
      <c r="B47" s="17" t="s">
        <v>80</v>
      </c>
      <c r="C47" s="18" t="str">
        <f aca="false">SUBSTITUTE(B47,"2014","2016")</f>
        <v>Quarter 2, 2016</v>
      </c>
      <c r="D47" s="5"/>
    </row>
    <row r="48" customFormat="false" ht="13" hidden="false" customHeight="false" outlineLevel="1" collapsed="false">
      <c r="B48" s="17" t="s">
        <v>81</v>
      </c>
      <c r="C48" s="18" t="str">
        <f aca="false">SUBSTITUTE(B48,"2014","2016")</f>
        <v>Quarter 3, 2016</v>
      </c>
      <c r="D48" s="5"/>
    </row>
    <row r="49" customFormat="false" ht="13" hidden="false" customHeight="false" outlineLevel="1" collapsed="false">
      <c r="B49" s="17" t="s">
        <v>82</v>
      </c>
      <c r="C49" s="18" t="str">
        <f aca="false">SUBSTITUTE(B49,"2014","2016")</f>
        <v>Quarter 4, 2016</v>
      </c>
      <c r="D49" s="5"/>
    </row>
    <row r="50" customFormat="false" ht="12.5" hidden="false" customHeight="false" outlineLevel="1" collapsed="false"/>
  </sheetData>
  <mergeCells count="3">
    <mergeCell ref="B9:D10"/>
    <mergeCell ref="B35:C37"/>
    <mergeCell ref="B39:C39"/>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N37"/>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B34" activeCellId="1" sqref="B48:D69 B34"/>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28.66"/>
    <col collapsed="false" customWidth="true" hidden="false" outlineLevel="0" max="3" min="3" style="2" width="52.66"/>
    <col collapsed="false" customWidth="true" hidden="false" outlineLevel="0" max="4" min="4" style="2" width="32.33"/>
    <col collapsed="false" customWidth="true" hidden="false" outlineLevel="0" max="6" min="5" style="2" width="15.33"/>
    <col collapsed="false" customWidth="true" hidden="false" outlineLevel="0" max="7" min="7" style="2" width="14.33"/>
    <col collapsed="false" customWidth="true" hidden="false" outlineLevel="0" max="8" min="8" style="2" width="15.78"/>
    <col collapsed="false" customWidth="true" hidden="false" outlineLevel="0" max="9" min="9" style="2" width="14.33"/>
    <col collapsed="false" customWidth="true" hidden="false" outlineLevel="0" max="1025" min="10"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MID(CELL("Filename",G7),SEARCH("]",CELL("Filename",G7),1)+1,100)</f>
        <v>Section 4 - Stored as Text</v>
      </c>
    </row>
    <row r="5" customFormat="false" ht="12.5" hidden="false" customHeight="false" outlineLevel="0" collapsed="false">
      <c r="N5" s="5"/>
    </row>
    <row r="7" customFormat="false" ht="18.5" hidden="false" customHeight="false" outlineLevel="0" collapsed="false">
      <c r="B7" s="6" t="s">
        <v>83</v>
      </c>
    </row>
    <row r="8" customFormat="false" ht="13" hidden="false" customHeight="false" outlineLevel="1" collapsed="false"/>
    <row r="9" customFormat="false" ht="13" hidden="false" customHeight="true" outlineLevel="1" collapsed="false">
      <c r="B9" s="7" t="s">
        <v>53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84</v>
      </c>
    </row>
    <row r="13" customFormat="false" ht="12.8" hidden="false" customHeight="false" outlineLevel="1" collapsed="false">
      <c r="B13" s="9" t="s">
        <v>85</v>
      </c>
    </row>
    <row r="14" customFormat="false" ht="12.8" hidden="false" customHeight="false" outlineLevel="1" collapsed="false">
      <c r="B14" s="2" t="s">
        <v>86</v>
      </c>
    </row>
    <row r="15" customFormat="false" ht="12.8" hidden="false" customHeight="false" outlineLevel="1" collapsed="false">
      <c r="B15" s="9" t="s">
        <v>87</v>
      </c>
    </row>
    <row r="16" customFormat="false" ht="12.8" hidden="false" customHeight="false" outlineLevel="1" collapsed="false">
      <c r="B16" s="2" t="s">
        <v>86</v>
      </c>
    </row>
    <row r="17" customFormat="false" ht="12.8" hidden="false" customHeight="false" outlineLevel="1" collapsed="false">
      <c r="B17" s="9" t="s">
        <v>88</v>
      </c>
    </row>
    <row r="18" customFormat="false" ht="12.8" hidden="false" customHeight="false" outlineLevel="1" collapsed="false">
      <c r="B18" s="2" t="s">
        <v>87</v>
      </c>
    </row>
    <row r="19" customFormat="false" ht="12.8" hidden="false" customHeight="false" outlineLevel="1" collapsed="false">
      <c r="B19" s="9" t="s">
        <v>88</v>
      </c>
    </row>
    <row r="20" customFormat="false" ht="13" hidden="false" customHeight="false" outlineLevel="1" collapsed="false">
      <c r="B20" s="19" t="n">
        <f aca="false">SUM(B13:B19)</f>
        <v>0</v>
      </c>
    </row>
    <row r="21" customFormat="false" ht="13" hidden="false" customHeight="false" outlineLevel="1" collapsed="false"/>
    <row r="22" customFormat="false" ht="13" hidden="false" customHeight="false" outlineLevel="1" collapsed="false"/>
    <row r="23" customFormat="false" ht="13" hidden="false" customHeight="false" outlineLevel="1" collapsed="false"/>
    <row r="24" customFormat="false" ht="13" hidden="false" customHeight="false" outlineLevel="1" collapsed="false">
      <c r="B24" s="19" t="s">
        <v>89</v>
      </c>
      <c r="D24" s="20" t="s">
        <v>90</v>
      </c>
    </row>
    <row r="25" customFormat="false" ht="13" hidden="false" customHeight="false" outlineLevel="1" collapsed="false">
      <c r="B25" s="8" t="s">
        <v>84</v>
      </c>
      <c r="D25" s="8" t="s">
        <v>84</v>
      </c>
    </row>
    <row r="26" customFormat="false" ht="12.8" hidden="false" customHeight="false" outlineLevel="1" collapsed="false">
      <c r="B26" s="9" t="n">
        <f aca="false">VALUE(B13)</f>
        <v>2</v>
      </c>
      <c r="D26" s="9"/>
    </row>
    <row r="27" customFormat="false" ht="12.8" hidden="false" customHeight="false" outlineLevel="1" collapsed="false">
      <c r="B27" s="9" t="n">
        <f aca="false">VALUE(B14)</f>
        <v>3</v>
      </c>
    </row>
    <row r="28" customFormat="false" ht="12.8" hidden="false" customHeight="false" outlineLevel="1" collapsed="false">
      <c r="B28" s="9" t="n">
        <f aca="false">VALUE(B15)</f>
        <v>5</v>
      </c>
      <c r="D28" s="9"/>
    </row>
    <row r="29" customFormat="false" ht="12.8" hidden="false" customHeight="false" outlineLevel="1" collapsed="false">
      <c r="B29" s="9" t="n">
        <f aca="false">VALUE(B16)</f>
        <v>3</v>
      </c>
    </row>
    <row r="30" customFormat="false" ht="12.8" hidden="false" customHeight="false" outlineLevel="1" collapsed="false">
      <c r="B30" s="9" t="n">
        <f aca="false">VALUE(B17)</f>
        <v>10</v>
      </c>
      <c r="D30" s="9"/>
    </row>
    <row r="31" customFormat="false" ht="12.8" hidden="false" customHeight="false" outlineLevel="1" collapsed="false">
      <c r="B31" s="9" t="n">
        <f aca="false">VALUE(B18)</f>
        <v>5</v>
      </c>
    </row>
    <row r="32" customFormat="false" ht="12.8" hidden="false" customHeight="false" outlineLevel="1" collapsed="false">
      <c r="B32" s="9" t="n">
        <f aca="false">VALUE(B19)</f>
        <v>10</v>
      </c>
      <c r="D32" s="9"/>
    </row>
    <row r="33" customFormat="false" ht="12.8" hidden="false" customHeight="false" outlineLevel="1" collapsed="false">
      <c r="B33" s="9" t="n">
        <f aca="false">VALUE(B20)</f>
        <v>0</v>
      </c>
      <c r="D33" s="19" t="n">
        <f aca="false">SUM(D26:D32)</f>
        <v>0</v>
      </c>
    </row>
    <row r="35" customFormat="false" ht="12" hidden="false" customHeight="false" outlineLevel="0" collapsed="false"/>
    <row r="36" customFormat="false" ht="19.4" hidden="false" customHeight="true" outlineLevel="0" collapsed="false"/>
    <row r="37" customFormat="false" ht="12" hidden="false" customHeight="false" outlineLevel="0" collapsed="false"/>
    <row r="38" customFormat="false" ht="12" hidden="false" customHeight="false" outlineLevel="0" collapsed="false"/>
    <row r="39" customFormat="false" ht="12" hidden="false" customHeight="false" outlineLevel="0" collapsed="false"/>
    <row r="40" customFormat="false" ht="12" hidden="false" customHeight="false" outlineLevel="0" collapsed="false"/>
    <row r="41" customFormat="false" ht="12" hidden="false" customHeight="false" outlineLevel="0" collapsed="false"/>
    <row r="42" customFormat="false" ht="12" hidden="false" customHeight="false" outlineLevel="0" collapsed="false"/>
    <row r="43" customFormat="false" ht="12" hidden="false" customHeight="false" outlineLevel="0" collapsed="false"/>
    <row r="44" customFormat="false" ht="12" hidden="false" customHeight="false" outlineLevel="0" collapsed="false"/>
    <row r="45" customFormat="false" ht="12" hidden="false" customHeight="false" outlineLevel="0" collapsed="false"/>
    <row r="46" customFormat="false" ht="12" hidden="false" customHeight="false" outlineLevel="0" collapsed="false"/>
    <row r="47" customFormat="false" ht="12" hidden="false" customHeight="false" outlineLevel="0" collapsed="false"/>
    <row r="48" customFormat="false" ht="12" hidden="false" customHeight="false" outlineLevel="0" collapsed="false"/>
    <row r="49" customFormat="false" ht="12" hidden="false" customHeight="false" outlineLevel="0" collapsed="false"/>
    <row r="50" customFormat="false" ht="12" hidden="false" customHeight="false" outlineLevel="0" collapsed="false"/>
    <row r="51" customFormat="false" ht="12" hidden="false" customHeight="false" outlineLevel="0" collapsed="false"/>
    <row r="52" customFormat="false" ht="12" hidden="false" customHeight="false" outlineLevel="0" collapsed="false"/>
    <row r="53" customFormat="false" ht="12" hidden="false" customHeight="false" outlineLevel="0" collapsed="false"/>
    <row r="54" customFormat="false" ht="12" hidden="false" customHeight="false" outlineLevel="0" collapsed="false"/>
    <row r="55" customFormat="false" ht="12" hidden="false" customHeight="false" outlineLevel="0" collapsed="false"/>
    <row r="56" customFormat="false" ht="12" hidden="false" customHeight="false" outlineLevel="0" collapsed="false"/>
    <row r="57" customFormat="false" ht="12" hidden="false" customHeight="false" outlineLevel="0" collapsed="false"/>
    <row r="58" customFormat="false" ht="12" hidden="false" customHeight="false" outlineLevel="0" collapsed="false"/>
    <row r="59" customFormat="false" ht="12" hidden="false" customHeight="false" outlineLevel="0" collapsed="false"/>
  </sheetData>
  <mergeCells count="1">
    <mergeCell ref="B9:D10"/>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10.xml><?xml version="1.0" encoding="utf-8"?>
<worksheet xmlns="http://schemas.openxmlformats.org/spreadsheetml/2006/main" xmlns:r="http://schemas.openxmlformats.org/officeDocument/2006/relationships">
  <sheetPr filterMode="false">
    <tabColor rgb="FFE998A6"/>
    <pageSetUpPr fitToPage="false"/>
  </sheetPr>
  <dimension ref="A1:N37"/>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F16" activeCellId="1" sqref="B48:D69 F16"/>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28.66"/>
    <col collapsed="false" customWidth="true" hidden="false" outlineLevel="0" max="3" min="3" style="2" width="52.66"/>
    <col collapsed="false" customWidth="true" hidden="false" outlineLevel="0" max="4" min="4" style="2" width="32.33"/>
    <col collapsed="false" customWidth="true" hidden="false" outlineLevel="0" max="6" min="5" style="2" width="15.33"/>
    <col collapsed="false" customWidth="true" hidden="false" outlineLevel="0" max="7" min="7" style="2" width="14.33"/>
    <col collapsed="false" customWidth="true" hidden="false" outlineLevel="0" max="8" min="8" style="2" width="15.78"/>
    <col collapsed="false" customWidth="true" hidden="false" outlineLevel="0" max="9" min="9" style="2" width="14.33"/>
    <col collapsed="false" customWidth="true" hidden="false" outlineLevel="0" max="1025" min="10"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MID(CELL("Filename",G7),SEARCH("]",CELL("Filename",G7),1)+1,100)</f>
        <v>Section 4 -Stored as Text (ANS)</v>
      </c>
    </row>
    <row r="5" customFormat="false" ht="12.5" hidden="false" customHeight="false" outlineLevel="0" collapsed="false">
      <c r="N5" s="5"/>
    </row>
    <row r="7" customFormat="false" ht="18.5" hidden="false" customHeight="false" outlineLevel="0" collapsed="false">
      <c r="B7" s="6" t="s">
        <v>83</v>
      </c>
    </row>
    <row r="8" customFormat="false" ht="13" hidden="false" customHeight="false" outlineLevel="1" collapsed="false"/>
    <row r="9" customFormat="false" ht="13" hidden="false" customHeight="true" outlineLevel="1" collapsed="false">
      <c r="B9" s="7" t="s">
        <v>53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84</v>
      </c>
    </row>
    <row r="13" customFormat="false" ht="13" hidden="false" customHeight="false" outlineLevel="1" collapsed="false">
      <c r="B13" s="9" t="s">
        <v>85</v>
      </c>
    </row>
    <row r="14" customFormat="false" ht="13" hidden="false" customHeight="false" outlineLevel="1" collapsed="false">
      <c r="B14" s="2" t="s">
        <v>86</v>
      </c>
    </row>
    <row r="15" customFormat="false" ht="13" hidden="false" customHeight="false" outlineLevel="1" collapsed="false">
      <c r="B15" s="9" t="s">
        <v>87</v>
      </c>
    </row>
    <row r="16" customFormat="false" ht="13" hidden="false" customHeight="false" outlineLevel="1" collapsed="false">
      <c r="B16" s="2" t="s">
        <v>86</v>
      </c>
    </row>
    <row r="17" customFormat="false" ht="13" hidden="false" customHeight="false" outlineLevel="1" collapsed="false">
      <c r="B17" s="9" t="s">
        <v>88</v>
      </c>
    </row>
    <row r="18" customFormat="false" ht="13" hidden="false" customHeight="false" outlineLevel="1" collapsed="false">
      <c r="B18" s="2" t="s">
        <v>87</v>
      </c>
    </row>
    <row r="19" customFormat="false" ht="13" hidden="false" customHeight="false" outlineLevel="1" collapsed="false">
      <c r="B19" s="9" t="s">
        <v>88</v>
      </c>
    </row>
    <row r="20" customFormat="false" ht="13" hidden="false" customHeight="false" outlineLevel="1" collapsed="false">
      <c r="B20" s="19" t="n">
        <f aca="false">SUM(B13:B19)</f>
        <v>0</v>
      </c>
    </row>
    <row r="21" customFormat="false" ht="13" hidden="false" customHeight="false" outlineLevel="1" collapsed="false"/>
    <row r="22" customFormat="false" ht="13" hidden="false" customHeight="false" outlineLevel="1" collapsed="false"/>
    <row r="23" customFormat="false" ht="13" hidden="false" customHeight="false" outlineLevel="1" collapsed="false"/>
    <row r="24" customFormat="false" ht="13" hidden="false" customHeight="false" outlineLevel="1" collapsed="false">
      <c r="B24" s="19" t="s">
        <v>89</v>
      </c>
      <c r="D24" s="20" t="s">
        <v>90</v>
      </c>
    </row>
    <row r="25" customFormat="false" ht="13" hidden="false" customHeight="false" outlineLevel="1" collapsed="false">
      <c r="B25" s="8" t="s">
        <v>84</v>
      </c>
      <c r="D25" s="8" t="s">
        <v>84</v>
      </c>
    </row>
    <row r="26" customFormat="false" ht="13" hidden="false" customHeight="false" outlineLevel="1" collapsed="false">
      <c r="B26" s="9" t="n">
        <f aca="false">VALUE(B13)</f>
        <v>2</v>
      </c>
      <c r="D26" s="9" t="n">
        <v>2</v>
      </c>
    </row>
    <row r="27" customFormat="false" ht="13" hidden="false" customHeight="false" outlineLevel="1" collapsed="false">
      <c r="B27" s="2" t="n">
        <f aca="false">VALUE(B14)</f>
        <v>3</v>
      </c>
      <c r="D27" s="2" t="n">
        <v>3</v>
      </c>
    </row>
    <row r="28" customFormat="false" ht="13" hidden="false" customHeight="false" outlineLevel="1" collapsed="false">
      <c r="B28" s="9" t="n">
        <f aca="false">VALUE(B15)</f>
        <v>5</v>
      </c>
      <c r="D28" s="9" t="n">
        <v>5</v>
      </c>
    </row>
    <row r="29" customFormat="false" ht="13" hidden="false" customHeight="false" outlineLevel="1" collapsed="false">
      <c r="B29" s="2" t="n">
        <f aca="false">VALUE(B16)</f>
        <v>3</v>
      </c>
      <c r="D29" s="2" t="n">
        <v>3</v>
      </c>
    </row>
    <row r="30" customFormat="false" ht="13" hidden="false" customHeight="false" outlineLevel="1" collapsed="false">
      <c r="B30" s="9" t="n">
        <f aca="false">VALUE(B17)</f>
        <v>10</v>
      </c>
      <c r="D30" s="9" t="n">
        <v>10</v>
      </c>
    </row>
    <row r="31" customFormat="false" ht="12.5" hidden="false" customHeight="false" outlineLevel="1" collapsed="false">
      <c r="B31" s="2" t="n">
        <f aca="false">VALUE(B18)</f>
        <v>5</v>
      </c>
      <c r="D31" s="2" t="n">
        <v>5</v>
      </c>
    </row>
    <row r="32" customFormat="false" ht="12.5" hidden="false" customHeight="false" outlineLevel="1" collapsed="false">
      <c r="B32" s="9" t="n">
        <f aca="false">VALUE(B19)</f>
        <v>10</v>
      </c>
      <c r="D32" s="9" t="n">
        <v>10</v>
      </c>
    </row>
    <row r="33" customFormat="false" ht="13" hidden="false" customHeight="false" outlineLevel="1" collapsed="false">
      <c r="B33" s="19" t="n">
        <f aca="false">SUM(B26:B32)</f>
        <v>38</v>
      </c>
      <c r="D33" s="19" t="n">
        <f aca="false">SUM(D26:D32)</f>
        <v>38</v>
      </c>
    </row>
    <row r="35" customFormat="false" ht="12" hidden="false" customHeight="false" outlineLevel="0" collapsed="false"/>
    <row r="36" customFormat="false" ht="19.4" hidden="false" customHeight="true" outlineLevel="0" collapsed="false"/>
    <row r="37" customFormat="false" ht="12" hidden="false" customHeight="false" outlineLevel="0" collapsed="false"/>
    <row r="38" customFormat="false" ht="12" hidden="false" customHeight="false" outlineLevel="0" collapsed="false"/>
    <row r="39" customFormat="false" ht="12" hidden="false" customHeight="false" outlineLevel="0" collapsed="false"/>
    <row r="40" customFormat="false" ht="12" hidden="false" customHeight="false" outlineLevel="0" collapsed="false"/>
    <row r="41" customFormat="false" ht="12" hidden="false" customHeight="false" outlineLevel="0" collapsed="false"/>
    <row r="42" customFormat="false" ht="12" hidden="false" customHeight="false" outlineLevel="0" collapsed="false"/>
    <row r="43" customFormat="false" ht="12" hidden="false" customHeight="false" outlineLevel="0" collapsed="false"/>
    <row r="44" customFormat="false" ht="12" hidden="false" customHeight="false" outlineLevel="0" collapsed="false"/>
    <row r="45" customFormat="false" ht="12" hidden="false" customHeight="false" outlineLevel="0" collapsed="false"/>
    <row r="46" customFormat="false" ht="12" hidden="false" customHeight="false" outlineLevel="0" collapsed="false"/>
    <row r="47" customFormat="false" ht="12" hidden="false" customHeight="false" outlineLevel="0" collapsed="false"/>
    <row r="48" customFormat="false" ht="12" hidden="false" customHeight="false" outlineLevel="0" collapsed="false"/>
    <row r="49" customFormat="false" ht="12" hidden="false" customHeight="false" outlineLevel="0" collapsed="false"/>
    <row r="50" customFormat="false" ht="12" hidden="false" customHeight="false" outlineLevel="0" collapsed="false"/>
    <row r="51" customFormat="false" ht="12" hidden="false" customHeight="false" outlineLevel="0" collapsed="false"/>
    <row r="52" customFormat="false" ht="12" hidden="false" customHeight="false" outlineLevel="0" collapsed="false"/>
    <row r="53" customFormat="false" ht="12" hidden="false" customHeight="false" outlineLevel="0" collapsed="false"/>
    <row r="54" customFormat="false" ht="12" hidden="false" customHeight="false" outlineLevel="0" collapsed="false"/>
    <row r="55" customFormat="false" ht="12" hidden="false" customHeight="false" outlineLevel="0" collapsed="false"/>
    <row r="56" customFormat="false" ht="12" hidden="false" customHeight="false" outlineLevel="0" collapsed="false"/>
    <row r="57" customFormat="false" ht="12" hidden="false" customHeight="false" outlineLevel="0" collapsed="false"/>
  </sheetData>
  <mergeCells count="1">
    <mergeCell ref="B9:D10"/>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A1:O69"/>
  <sheetViews>
    <sheetView showFormulas="false" showGridLines="false" showRowColHeaders="true" showZeros="true" rightToLeft="false" tabSelected="true" showOutlineSymbols="true" defaultGridColor="true" view="normal" topLeftCell="A28" colorId="64" zoomScale="80" zoomScaleNormal="80" zoomScalePageLayoutView="100" workbookViewId="0">
      <selection pane="topLeft" activeCell="B48" activeCellId="0" sqref="B48:D69"/>
    </sheetView>
  </sheetViews>
  <sheetFormatPr defaultRowHeight="12.5" zeroHeight="false" outlineLevelRow="0" outlineLevelCol="0"/>
  <cols>
    <col collapsed="false" customWidth="true" hidden="false" outlineLevel="0" max="1" min="1" style="2" width="9.34"/>
    <col collapsed="false" customWidth="true" hidden="false" outlineLevel="0" max="2" min="2" style="2" width="28.66"/>
    <col collapsed="false" customWidth="true" hidden="false" outlineLevel="0" max="3" min="3" style="2" width="35.33"/>
    <col collapsed="false" customWidth="true" hidden="false" outlineLevel="0" max="4" min="4" style="2" width="53.66"/>
    <col collapsed="false" customWidth="true" hidden="false" outlineLevel="0" max="1025" min="5"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MID(CELL("Filename",G7),SEARCH("]",CELL("Filename",G7),1)+1,100)</f>
        <v>Section 5 - De-Duplicating</v>
      </c>
    </row>
    <row r="5" customFormat="false" ht="12.5" hidden="false" customHeight="false" outlineLevel="0" collapsed="false">
      <c r="O5" s="5"/>
    </row>
    <row r="7" customFormat="false" ht="18.5" hidden="false" customHeight="false" outlineLevel="0" collapsed="false">
      <c r="B7" s="6" t="s">
        <v>91</v>
      </c>
    </row>
    <row r="9" customFormat="false" ht="12.5" hidden="false" customHeight="true" outlineLevel="0" collapsed="false">
      <c r="B9" s="7" t="s">
        <v>92</v>
      </c>
      <c r="C9" s="7"/>
      <c r="D9" s="7"/>
    </row>
    <row r="10" customFormat="false" ht="12.5" hidden="false" customHeight="false" outlineLevel="0" collapsed="false">
      <c r="B10" s="7"/>
      <c r="C10" s="7"/>
      <c r="D10" s="7"/>
    </row>
    <row r="11" customFormat="false" ht="12.8" hidden="false" customHeight="false" outlineLevel="0" collapsed="false">
      <c r="B11" s="2" t="s">
        <v>93</v>
      </c>
    </row>
    <row r="12" customFormat="false" ht="13.1" hidden="false" customHeight="false" outlineLevel="0" collapsed="false">
      <c r="B12" s="21" t="s">
        <v>94</v>
      </c>
      <c r="C12" s="21" t="s">
        <v>95</v>
      </c>
      <c r="D12" s="21" t="s">
        <v>96</v>
      </c>
    </row>
    <row r="13" customFormat="false" ht="13.1" hidden="false" customHeight="false" outlineLevel="0" collapsed="false">
      <c r="B13" s="22" t="n">
        <v>23345</v>
      </c>
      <c r="C13" s="22" t="s">
        <v>97</v>
      </c>
      <c r="D13" s="22" t="s">
        <v>98</v>
      </c>
    </row>
    <row r="14" customFormat="false" ht="13.1" hidden="false" customHeight="false" outlineLevel="0" collapsed="false">
      <c r="B14" s="22" t="n">
        <v>23278</v>
      </c>
      <c r="C14" s="22" t="s">
        <v>99</v>
      </c>
      <c r="D14" s="22" t="s">
        <v>100</v>
      </c>
    </row>
    <row r="15" customFormat="false" ht="13.1" hidden="false" customHeight="false" outlineLevel="0" collapsed="false">
      <c r="B15" s="22" t="n">
        <v>23303</v>
      </c>
      <c r="C15" s="22" t="s">
        <v>101</v>
      </c>
      <c r="D15" s="23" t="s">
        <v>102</v>
      </c>
    </row>
    <row r="16" customFormat="false" ht="13.1" hidden="false" customHeight="false" outlineLevel="0" collapsed="false">
      <c r="B16" s="24" t="n">
        <v>23353</v>
      </c>
      <c r="C16" s="24" t="s">
        <v>103</v>
      </c>
      <c r="D16" s="25" t="s">
        <v>104</v>
      </c>
    </row>
    <row r="17" customFormat="false" ht="13.1" hidden="false" customHeight="false" outlineLevel="0" collapsed="false">
      <c r="B17" s="22" t="n">
        <v>23289</v>
      </c>
      <c r="C17" s="22" t="s">
        <v>105</v>
      </c>
      <c r="D17" s="23" t="s">
        <v>106</v>
      </c>
    </row>
    <row r="18" customFormat="false" ht="13.1" hidden="false" customHeight="false" outlineLevel="0" collapsed="false">
      <c r="B18" s="22" t="n">
        <v>23378</v>
      </c>
      <c r="C18" s="22" t="s">
        <v>107</v>
      </c>
      <c r="D18" s="23" t="s">
        <v>108</v>
      </c>
    </row>
    <row r="19" customFormat="false" ht="13.1" hidden="false" customHeight="false" outlineLevel="0" collapsed="false">
      <c r="B19" s="22" t="n">
        <v>23283</v>
      </c>
      <c r="C19" s="22" t="s">
        <v>109</v>
      </c>
      <c r="D19" s="23" t="s">
        <v>110</v>
      </c>
    </row>
    <row r="20" customFormat="false" ht="13.1" hidden="false" customHeight="false" outlineLevel="0" collapsed="false">
      <c r="B20" s="26" t="n">
        <v>23324</v>
      </c>
      <c r="C20" s="26" t="s">
        <v>111</v>
      </c>
      <c r="D20" s="26" t="s">
        <v>112</v>
      </c>
    </row>
    <row r="21" customFormat="false" ht="13.1" hidden="false" customHeight="false" outlineLevel="0" collapsed="false">
      <c r="B21" s="22" t="n">
        <v>23264</v>
      </c>
      <c r="C21" s="22" t="s">
        <v>113</v>
      </c>
      <c r="D21" s="23" t="s">
        <v>114</v>
      </c>
    </row>
    <row r="22" customFormat="false" ht="13.1" hidden="false" customHeight="false" outlineLevel="0" collapsed="false">
      <c r="B22" s="22" t="n">
        <v>23291</v>
      </c>
      <c r="C22" s="22" t="s">
        <v>115</v>
      </c>
      <c r="D22" s="23" t="s">
        <v>116</v>
      </c>
    </row>
    <row r="23" customFormat="false" ht="13.1" hidden="false" customHeight="false" outlineLevel="0" collapsed="false">
      <c r="B23" s="22" t="n">
        <v>23305</v>
      </c>
      <c r="C23" s="22" t="s">
        <v>117</v>
      </c>
      <c r="D23" s="22" t="s">
        <v>118</v>
      </c>
    </row>
    <row r="24" customFormat="false" ht="13.1" hidden="false" customHeight="false" outlineLevel="0" collapsed="false">
      <c r="B24" s="22" t="n">
        <v>23350</v>
      </c>
      <c r="C24" s="22" t="s">
        <v>119</v>
      </c>
      <c r="D24" s="22" t="s">
        <v>120</v>
      </c>
    </row>
    <row r="25" customFormat="false" ht="13.1" hidden="false" customHeight="false" outlineLevel="0" collapsed="false">
      <c r="B25" s="22" t="n">
        <v>23300</v>
      </c>
      <c r="C25" s="22" t="s">
        <v>121</v>
      </c>
      <c r="D25" s="22" t="s">
        <v>122</v>
      </c>
    </row>
    <row r="26" customFormat="false" ht="13.1" hidden="false" customHeight="false" outlineLevel="0" collapsed="false">
      <c r="B26" s="22" t="n">
        <v>23348</v>
      </c>
      <c r="C26" s="22" t="s">
        <v>123</v>
      </c>
      <c r="D26" s="22" t="s">
        <v>124</v>
      </c>
    </row>
    <row r="27" customFormat="false" ht="13.1" hidden="false" customHeight="false" outlineLevel="0" collapsed="false">
      <c r="B27" s="22" t="n">
        <v>23290</v>
      </c>
      <c r="C27" s="22" t="s">
        <v>125</v>
      </c>
      <c r="D27" s="22" t="s">
        <v>126</v>
      </c>
    </row>
    <row r="28" customFormat="false" ht="13.1" hidden="false" customHeight="false" outlineLevel="0" collapsed="false">
      <c r="B28" s="22" t="n">
        <v>23328</v>
      </c>
      <c r="C28" s="22" t="s">
        <v>127</v>
      </c>
      <c r="D28" s="22" t="s">
        <v>128</v>
      </c>
    </row>
    <row r="29" customFormat="false" ht="13.1" hidden="false" customHeight="false" outlineLevel="0" collapsed="false">
      <c r="B29" s="22" t="n">
        <v>23294</v>
      </c>
      <c r="C29" s="22" t="s">
        <v>129</v>
      </c>
      <c r="D29" s="22" t="s">
        <v>130</v>
      </c>
    </row>
    <row r="30" customFormat="false" ht="13.1" hidden="false" customHeight="false" outlineLevel="0" collapsed="false">
      <c r="B30" s="26" t="n">
        <v>23324</v>
      </c>
      <c r="C30" s="26" t="s">
        <v>111</v>
      </c>
      <c r="D30" s="26" t="s">
        <v>112</v>
      </c>
    </row>
    <row r="31" customFormat="false" ht="13.1" hidden="false" customHeight="false" outlineLevel="0" collapsed="false">
      <c r="B31" s="22" t="n">
        <v>23350</v>
      </c>
      <c r="C31" s="22" t="s">
        <v>119</v>
      </c>
      <c r="D31" s="22" t="s">
        <v>120</v>
      </c>
    </row>
    <row r="32" customFormat="false" ht="14.5" hidden="false" customHeight="true" outlineLevel="0" collapsed="false">
      <c r="B32" s="22" t="n">
        <v>23303</v>
      </c>
      <c r="C32" s="22" t="s">
        <v>101</v>
      </c>
      <c r="D32" s="23" t="s">
        <v>102</v>
      </c>
    </row>
    <row r="33" customFormat="false" ht="13.1" hidden="false" customHeight="false" outlineLevel="0" collapsed="false">
      <c r="B33" s="22" t="n">
        <v>23289</v>
      </c>
      <c r="C33" s="22" t="s">
        <v>105</v>
      </c>
      <c r="D33" s="23" t="s">
        <v>106</v>
      </c>
    </row>
    <row r="34" customFormat="false" ht="12.8" hidden="false" customHeight="false" outlineLevel="0" collapsed="false"/>
    <row r="35" customFormat="false" ht="12.8" hidden="false" customHeight="false" outlineLevel="0" collapsed="false"/>
    <row r="36" customFormat="false" ht="12" hidden="false" customHeight="false" outlineLevel="0" collapsed="false"/>
    <row r="37" customFormat="false" ht="12" hidden="false" customHeight="false" outlineLevel="0" collapsed="false"/>
    <row r="38" customFormat="false" ht="12" hidden="false" customHeight="false" outlineLevel="0" collapsed="false"/>
    <row r="39" customFormat="false" ht="12" hidden="false" customHeight="false" outlineLevel="0" collapsed="false"/>
    <row r="40" customFormat="false" ht="12" hidden="false" customHeight="false" outlineLevel="0" collapsed="false"/>
    <row r="41" customFormat="false" ht="12" hidden="false" customHeight="false" outlineLevel="0" collapsed="false"/>
    <row r="42" customFormat="false" ht="12" hidden="false" customHeight="false" outlineLevel="0" collapsed="false"/>
    <row r="43" customFormat="false" ht="12" hidden="false" customHeight="false" outlineLevel="0" collapsed="false"/>
    <row r="44" customFormat="false" ht="12" hidden="false" customHeight="false" outlineLevel="0" collapsed="false"/>
    <row r="45" customFormat="false" ht="12" hidden="false" customHeight="false" outlineLevel="0" collapsed="false"/>
    <row r="46" customFormat="false" ht="12" hidden="false" customHeight="false" outlineLevel="0" collapsed="false">
      <c r="B46" s="2" t="s">
        <v>131</v>
      </c>
    </row>
    <row r="47" customFormat="false" ht="12" hidden="false" customHeight="false" outlineLevel="0" collapsed="false"/>
    <row r="48" customFormat="false" ht="13.1" hidden="false" customHeight="false" outlineLevel="0" collapsed="false">
      <c r="B48" s="21" t="s">
        <v>94</v>
      </c>
      <c r="C48" s="21" t="s">
        <v>95</v>
      </c>
      <c r="D48" s="21" t="s">
        <v>96</v>
      </c>
    </row>
    <row r="49" customFormat="false" ht="13.1" hidden="false" customHeight="false" outlineLevel="0" collapsed="false">
      <c r="B49" s="22" t="n">
        <v>23345</v>
      </c>
      <c r="C49" s="22" t="s">
        <v>97</v>
      </c>
      <c r="D49" s="22" t="s">
        <v>98</v>
      </c>
    </row>
    <row r="50" customFormat="false" ht="13.1" hidden="false" customHeight="false" outlineLevel="0" collapsed="false">
      <c r="B50" s="22" t="n">
        <v>23278</v>
      </c>
      <c r="C50" s="22" t="s">
        <v>99</v>
      </c>
      <c r="D50" s="22" t="s">
        <v>100</v>
      </c>
    </row>
    <row r="51" customFormat="false" ht="13.1" hidden="false" customHeight="false" outlineLevel="0" collapsed="false">
      <c r="B51" s="22" t="n">
        <v>23303</v>
      </c>
      <c r="C51" s="22" t="s">
        <v>101</v>
      </c>
      <c r="D51" s="23" t="s">
        <v>102</v>
      </c>
    </row>
    <row r="52" customFormat="false" ht="13.1" hidden="false" customHeight="false" outlineLevel="0" collapsed="false">
      <c r="B52" s="24" t="n">
        <v>23353</v>
      </c>
      <c r="C52" s="24" t="s">
        <v>103</v>
      </c>
      <c r="D52" s="25" t="s">
        <v>104</v>
      </c>
    </row>
    <row r="53" customFormat="false" ht="13.1" hidden="false" customHeight="false" outlineLevel="0" collapsed="false">
      <c r="B53" s="22" t="n">
        <v>23289</v>
      </c>
      <c r="C53" s="22" t="s">
        <v>105</v>
      </c>
      <c r="D53" s="23" t="s">
        <v>106</v>
      </c>
    </row>
    <row r="54" customFormat="false" ht="13.1" hidden="false" customHeight="false" outlineLevel="0" collapsed="false">
      <c r="B54" s="22" t="n">
        <v>23378</v>
      </c>
      <c r="C54" s="22" t="s">
        <v>107</v>
      </c>
      <c r="D54" s="23" t="s">
        <v>108</v>
      </c>
    </row>
    <row r="55" customFormat="false" ht="13.1" hidden="false" customHeight="false" outlineLevel="0" collapsed="false">
      <c r="B55" s="22" t="n">
        <v>23283</v>
      </c>
      <c r="C55" s="22" t="s">
        <v>109</v>
      </c>
      <c r="D55" s="23" t="s">
        <v>110</v>
      </c>
    </row>
    <row r="56" customFormat="false" ht="13.1" hidden="false" customHeight="false" outlineLevel="0" collapsed="false">
      <c r="B56" s="26" t="n">
        <v>23324</v>
      </c>
      <c r="C56" s="26" t="s">
        <v>111</v>
      </c>
      <c r="D56" s="26" t="s">
        <v>112</v>
      </c>
    </row>
    <row r="57" customFormat="false" ht="13.1" hidden="false" customHeight="false" outlineLevel="0" collapsed="false">
      <c r="B57" s="22" t="n">
        <v>23264</v>
      </c>
      <c r="C57" s="22" t="s">
        <v>113</v>
      </c>
      <c r="D57" s="23" t="s">
        <v>114</v>
      </c>
    </row>
    <row r="58" customFormat="false" ht="13.1" hidden="false" customHeight="false" outlineLevel="0" collapsed="false">
      <c r="B58" s="22" t="n">
        <v>23291</v>
      </c>
      <c r="C58" s="22" t="s">
        <v>115</v>
      </c>
      <c r="D58" s="23" t="s">
        <v>116</v>
      </c>
    </row>
    <row r="59" customFormat="false" ht="13.1" hidden="false" customHeight="false" outlineLevel="0" collapsed="false">
      <c r="B59" s="22" t="n">
        <v>23305</v>
      </c>
      <c r="C59" s="22" t="s">
        <v>117</v>
      </c>
      <c r="D59" s="22" t="s">
        <v>118</v>
      </c>
    </row>
    <row r="60" customFormat="false" ht="13.1" hidden="false" customHeight="false" outlineLevel="0" collapsed="false">
      <c r="B60" s="22" t="n">
        <v>23350</v>
      </c>
      <c r="C60" s="22" t="s">
        <v>119</v>
      </c>
      <c r="D60" s="22" t="s">
        <v>120</v>
      </c>
    </row>
    <row r="61" customFormat="false" ht="13.1" hidden="false" customHeight="false" outlineLevel="0" collapsed="false">
      <c r="B61" s="22" t="n">
        <v>23300</v>
      </c>
      <c r="C61" s="22" t="s">
        <v>121</v>
      </c>
      <c r="D61" s="22" t="s">
        <v>122</v>
      </c>
    </row>
    <row r="62" customFormat="false" ht="13.1" hidden="false" customHeight="false" outlineLevel="0" collapsed="false">
      <c r="B62" s="22" t="n">
        <v>23348</v>
      </c>
      <c r="C62" s="22" t="s">
        <v>123</v>
      </c>
      <c r="D62" s="22" t="s">
        <v>124</v>
      </c>
    </row>
    <row r="63" customFormat="false" ht="13.1" hidden="false" customHeight="false" outlineLevel="0" collapsed="false">
      <c r="B63" s="22" t="n">
        <v>23290</v>
      </c>
      <c r="C63" s="22" t="s">
        <v>125</v>
      </c>
      <c r="D63" s="22" t="s">
        <v>126</v>
      </c>
    </row>
    <row r="64" customFormat="false" ht="13.1" hidden="false" customHeight="false" outlineLevel="0" collapsed="false">
      <c r="B64" s="22" t="n">
        <v>23328</v>
      </c>
      <c r="C64" s="22" t="s">
        <v>127</v>
      </c>
      <c r="D64" s="22" t="s">
        <v>128</v>
      </c>
    </row>
    <row r="65" customFormat="false" ht="13.1" hidden="false" customHeight="false" outlineLevel="0" collapsed="false">
      <c r="B65" s="22" t="n">
        <v>23294</v>
      </c>
      <c r="C65" s="22" t="s">
        <v>129</v>
      </c>
      <c r="D65" s="22" t="s">
        <v>130</v>
      </c>
    </row>
    <row r="66" customFormat="false" ht="13.1" hidden="true" customHeight="false" outlineLevel="0" collapsed="false">
      <c r="B66" s="26" t="n">
        <v>23324</v>
      </c>
      <c r="C66" s="26" t="s">
        <v>111</v>
      </c>
      <c r="D66" s="26" t="s">
        <v>112</v>
      </c>
    </row>
    <row r="67" customFormat="false" ht="13.1" hidden="true" customHeight="false" outlineLevel="0" collapsed="false">
      <c r="B67" s="22" t="n">
        <v>23350</v>
      </c>
      <c r="C67" s="22" t="s">
        <v>119</v>
      </c>
      <c r="D67" s="22" t="s">
        <v>120</v>
      </c>
    </row>
    <row r="68" customFormat="false" ht="13.1" hidden="true" customHeight="false" outlineLevel="0" collapsed="false">
      <c r="B68" s="22" t="n">
        <v>23303</v>
      </c>
      <c r="C68" s="22" t="s">
        <v>101</v>
      </c>
      <c r="D68" s="23" t="s">
        <v>102</v>
      </c>
    </row>
    <row r="69" customFormat="false" ht="13.1" hidden="true" customHeight="false" outlineLevel="0" collapsed="false">
      <c r="B69" s="22" t="n">
        <v>23289</v>
      </c>
      <c r="C69" s="22" t="s">
        <v>105</v>
      </c>
      <c r="D69" s="23" t="s">
        <v>106</v>
      </c>
    </row>
  </sheetData>
  <autoFilter ref="B48:D69"/>
  <mergeCells count="1">
    <mergeCell ref="B9:D10"/>
  </mergeCells>
  <conditionalFormatting sqref="B33:D33">
    <cfRule type="expression" priority="2" aboveAverage="0" equalAverage="0" bottom="0" percent="0" rank="0" text="" dxfId="0">
      <formula>MOD(ROW(B33),2)</formula>
    </cfRule>
  </conditionalFormatting>
  <conditionalFormatting sqref="B49:D65">
    <cfRule type="expression" priority="3" aboveAverage="0" equalAverage="0" bottom="0" percent="0" rank="0" text="" dxfId="1">
      <formula>MOD(ROW(B49),2)</formula>
    </cfRule>
  </conditionalFormatting>
  <conditionalFormatting sqref="B66:D66">
    <cfRule type="expression" priority="4" aboveAverage="0" equalAverage="0" bottom="0" percent="0" rank="0" text="" dxfId="2">
      <formula>MOD(ROW(B66),2)</formula>
    </cfRule>
  </conditionalFormatting>
  <conditionalFormatting sqref="B68:D68">
    <cfRule type="expression" priority="5" aboveAverage="0" equalAverage="0" bottom="0" percent="0" rank="0" text="" dxfId="3">
      <formula>MOD(ROW(B68),2)</formula>
    </cfRule>
  </conditionalFormatting>
  <conditionalFormatting sqref="B69:D69">
    <cfRule type="expression" priority="6" aboveAverage="0" equalAverage="0" bottom="0" percent="0" rank="0" text="" dxfId="0">
      <formula>MOD(ROW(B69),2)</formula>
    </cfRule>
  </conditionalFormatting>
  <conditionalFormatting sqref="B67:D67">
    <cfRule type="expression" priority="7" aboveAverage="0" equalAverage="0" bottom="0" percent="0" rank="0" text="" dxfId="4">
      <formula>MOD(ROW(B67),2)</formula>
    </cfRule>
  </conditionalFormatting>
  <conditionalFormatting sqref="B13:D29">
    <cfRule type="expression" priority="8" aboveAverage="0" equalAverage="0" bottom="0" percent="0" rank="0" text="" dxfId="1">
      <formula>MOD(ROW(B13),2)</formula>
    </cfRule>
  </conditionalFormatting>
  <conditionalFormatting sqref="B30:D30">
    <cfRule type="expression" priority="9" aboveAverage="0" equalAverage="0" bottom="0" percent="0" rank="0" text="" dxfId="2">
      <formula>MOD(ROW(B30),2)</formula>
    </cfRule>
  </conditionalFormatting>
  <conditionalFormatting sqref="B32:D32">
    <cfRule type="expression" priority="10" aboveAverage="0" equalAverage="0" bottom="0" percent="0" rank="0" text="" dxfId="3">
      <formula>MOD(ROW(B32),2)</formula>
    </cfRule>
  </conditionalFormatting>
  <conditionalFormatting sqref="B31:D31">
    <cfRule type="expression" priority="11" aboveAverage="0" equalAverage="0" bottom="0" percent="0" rank="0" text="" dxfId="4">
      <formula>MOD(ROW(B31),2)</formula>
    </cfRule>
  </conditionalFormatting>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12.xml><?xml version="1.0" encoding="utf-8"?>
<worksheet xmlns="http://schemas.openxmlformats.org/spreadsheetml/2006/main" xmlns:r="http://schemas.openxmlformats.org/officeDocument/2006/relationships">
  <sheetPr filterMode="false">
    <tabColor rgb="FFE998A6"/>
    <pageSetUpPr fitToPage="false"/>
  </sheetPr>
  <dimension ref="A1:O33"/>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F20" activeCellId="1" sqref="B48:D69 F20"/>
    </sheetView>
  </sheetViews>
  <sheetFormatPr defaultRowHeight="12.5" zeroHeight="false" outlineLevelRow="0" outlineLevelCol="0"/>
  <cols>
    <col collapsed="false" customWidth="true" hidden="false" outlineLevel="0" max="1" min="1" style="2" width="9.34"/>
    <col collapsed="false" customWidth="true" hidden="false" outlineLevel="0" max="2" min="2" style="2" width="28.66"/>
    <col collapsed="false" customWidth="true" hidden="false" outlineLevel="0" max="3" min="3" style="2" width="35.33"/>
    <col collapsed="false" customWidth="true" hidden="false" outlineLevel="0" max="4" min="4" style="2" width="53.66"/>
    <col collapsed="false" customWidth="true" hidden="false" outlineLevel="0" max="1025" min="5"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MID(CELL("Filename",G7),SEARCH("]",CELL("Filename",G7),1)+1,100)</f>
        <v>Section 5 -De-Duplicating (ANS)</v>
      </c>
    </row>
    <row r="5" customFormat="false" ht="12.5" hidden="false" customHeight="false" outlineLevel="0" collapsed="false">
      <c r="O5" s="5"/>
    </row>
    <row r="7" customFormat="false" ht="18.5" hidden="false" customHeight="false" outlineLevel="0" collapsed="false">
      <c r="B7" s="6" t="s">
        <v>91</v>
      </c>
    </row>
    <row r="9" customFormat="false" ht="13.4" hidden="false" customHeight="true" outlineLevel="0" collapsed="false">
      <c r="B9" s="7" t="s">
        <v>92</v>
      </c>
      <c r="C9" s="7"/>
      <c r="D9" s="7"/>
    </row>
    <row r="10" customFormat="false" ht="12.5" hidden="false" customHeight="false" outlineLevel="0" collapsed="false">
      <c r="B10" s="7"/>
      <c r="C10" s="7"/>
      <c r="D10" s="7"/>
    </row>
    <row r="11" customFormat="false" ht="13" hidden="false" customHeight="false" outlineLevel="0" collapsed="false"/>
    <row r="12" customFormat="false" ht="13" hidden="false" customHeight="false" outlineLevel="0" collapsed="false">
      <c r="B12" s="21" t="s">
        <v>94</v>
      </c>
      <c r="C12" s="21" t="s">
        <v>95</v>
      </c>
      <c r="D12" s="21" t="s">
        <v>96</v>
      </c>
    </row>
    <row r="13" customFormat="false" ht="12.5" hidden="false" customHeight="false" outlineLevel="0" collapsed="false">
      <c r="B13" s="22" t="n">
        <v>23345</v>
      </c>
      <c r="C13" s="22" t="s">
        <v>97</v>
      </c>
      <c r="D13" s="22" t="s">
        <v>98</v>
      </c>
    </row>
    <row r="14" customFormat="false" ht="12.5" hidden="false" customHeight="false" outlineLevel="0" collapsed="false">
      <c r="B14" s="22" t="n">
        <v>23278</v>
      </c>
      <c r="C14" s="22" t="s">
        <v>99</v>
      </c>
      <c r="D14" s="22" t="s">
        <v>100</v>
      </c>
    </row>
    <row r="15" customFormat="false" ht="12.5" hidden="false" customHeight="false" outlineLevel="0" collapsed="false">
      <c r="B15" s="22" t="n">
        <v>23303</v>
      </c>
      <c r="C15" s="22" t="s">
        <v>101</v>
      </c>
      <c r="D15" s="23" t="s">
        <v>102</v>
      </c>
    </row>
    <row r="16" customFormat="false" ht="12.5" hidden="false" customHeight="false" outlineLevel="0" collapsed="false">
      <c r="B16" s="24" t="n">
        <v>23353</v>
      </c>
      <c r="C16" s="24" t="s">
        <v>103</v>
      </c>
      <c r="D16" s="25" t="s">
        <v>104</v>
      </c>
    </row>
    <row r="17" customFormat="false" ht="12.5" hidden="false" customHeight="false" outlineLevel="0" collapsed="false">
      <c r="B17" s="22" t="n">
        <v>23289</v>
      </c>
      <c r="C17" s="22" t="s">
        <v>105</v>
      </c>
      <c r="D17" s="23" t="s">
        <v>106</v>
      </c>
    </row>
    <row r="18" customFormat="false" ht="12.5" hidden="false" customHeight="false" outlineLevel="0" collapsed="false">
      <c r="B18" s="22" t="n">
        <v>23378</v>
      </c>
      <c r="C18" s="22" t="s">
        <v>107</v>
      </c>
      <c r="D18" s="23" t="s">
        <v>108</v>
      </c>
    </row>
    <row r="19" customFormat="false" ht="12.5" hidden="false" customHeight="false" outlineLevel="0" collapsed="false">
      <c r="B19" s="22" t="n">
        <v>23283</v>
      </c>
      <c r="C19" s="22" t="s">
        <v>109</v>
      </c>
      <c r="D19" s="23" t="s">
        <v>110</v>
      </c>
    </row>
    <row r="20" customFormat="false" ht="12.5" hidden="false" customHeight="false" outlineLevel="0" collapsed="false">
      <c r="B20" s="26" t="n">
        <v>23324</v>
      </c>
      <c r="C20" s="26" t="s">
        <v>111</v>
      </c>
      <c r="D20" s="26" t="s">
        <v>112</v>
      </c>
    </row>
    <row r="21" customFormat="false" ht="12.5" hidden="false" customHeight="false" outlineLevel="0" collapsed="false">
      <c r="B21" s="22" t="n">
        <v>23264</v>
      </c>
      <c r="C21" s="22" t="s">
        <v>113</v>
      </c>
      <c r="D21" s="23" t="s">
        <v>114</v>
      </c>
    </row>
    <row r="22" customFormat="false" ht="12.5" hidden="false" customHeight="false" outlineLevel="0" collapsed="false">
      <c r="B22" s="22" t="n">
        <v>23291</v>
      </c>
      <c r="C22" s="22" t="s">
        <v>115</v>
      </c>
      <c r="D22" s="23" t="s">
        <v>116</v>
      </c>
    </row>
    <row r="23" customFormat="false" ht="12.5" hidden="false" customHeight="false" outlineLevel="0" collapsed="false">
      <c r="B23" s="22" t="n">
        <v>23305</v>
      </c>
      <c r="C23" s="22" t="s">
        <v>117</v>
      </c>
      <c r="D23" s="22" t="s">
        <v>118</v>
      </c>
    </row>
    <row r="24" customFormat="false" ht="12.5" hidden="false" customHeight="false" outlineLevel="0" collapsed="false">
      <c r="B24" s="22" t="n">
        <v>23350</v>
      </c>
      <c r="C24" s="22" t="s">
        <v>119</v>
      </c>
      <c r="D24" s="22" t="s">
        <v>120</v>
      </c>
    </row>
    <row r="25" customFormat="false" ht="12.5" hidden="false" customHeight="false" outlineLevel="0" collapsed="false">
      <c r="B25" s="22" t="n">
        <v>23300</v>
      </c>
      <c r="C25" s="22" t="s">
        <v>121</v>
      </c>
      <c r="D25" s="22" t="s">
        <v>122</v>
      </c>
    </row>
    <row r="26" customFormat="false" ht="12.5" hidden="false" customHeight="false" outlineLevel="0" collapsed="false">
      <c r="B26" s="22" t="n">
        <v>23348</v>
      </c>
      <c r="C26" s="22" t="s">
        <v>123</v>
      </c>
      <c r="D26" s="22" t="s">
        <v>124</v>
      </c>
    </row>
    <row r="27" customFormat="false" ht="12.5" hidden="false" customHeight="false" outlineLevel="0" collapsed="false">
      <c r="B27" s="22" t="n">
        <v>23290</v>
      </c>
      <c r="C27" s="22" t="s">
        <v>125</v>
      </c>
      <c r="D27" s="22" t="s">
        <v>126</v>
      </c>
    </row>
    <row r="28" customFormat="false" ht="12.5" hidden="false" customHeight="false" outlineLevel="0" collapsed="false">
      <c r="B28" s="22" t="n">
        <v>23328</v>
      </c>
      <c r="C28" s="22" t="s">
        <v>127</v>
      </c>
      <c r="D28" s="22" t="s">
        <v>128</v>
      </c>
    </row>
    <row r="29" customFormat="false" ht="12.5" hidden="false" customHeight="false" outlineLevel="0" collapsed="false">
      <c r="B29" s="22" t="n">
        <v>23294</v>
      </c>
      <c r="C29" s="22" t="s">
        <v>129</v>
      </c>
      <c r="D29" s="22" t="s">
        <v>130</v>
      </c>
    </row>
    <row r="30" customFormat="false" ht="12" hidden="false" customHeight="false" outlineLevel="0" collapsed="false"/>
    <row r="31" customFormat="false" ht="12" hidden="false" customHeight="false" outlineLevel="0" collapsed="false"/>
    <row r="32" customFormat="false" ht="14.5" hidden="false" customHeight="true" outlineLevel="0" collapsed="false"/>
    <row r="33" customFormat="false" ht="12" hidden="false" customHeight="true" outlineLevel="0" collapsed="false"/>
    <row r="34" customFormat="false" ht="12" hidden="false" customHeight="true" outlineLevel="0" collapsed="false"/>
    <row r="35" customFormat="false" ht="12" hidden="false" customHeight="true" outlineLevel="0" collapsed="false"/>
    <row r="36" customFormat="false" ht="12" hidden="false" customHeight="true" outlineLevel="0" collapsed="false"/>
    <row r="37" customFormat="false" ht="12" hidden="false" customHeight="true" outlineLevel="0" collapsed="false"/>
    <row r="38" customFormat="false" ht="12" hidden="false" customHeight="true" outlineLevel="0" collapsed="false"/>
    <row r="39" customFormat="false" ht="12" hidden="false" customHeight="true" outlineLevel="0" collapsed="false"/>
    <row r="40" customFormat="false" ht="12" hidden="false" customHeight="true" outlineLevel="0" collapsed="false"/>
    <row r="41" customFormat="false" ht="12" hidden="false" customHeight="true" outlineLevel="0" collapsed="false"/>
    <row r="42" customFormat="false" ht="12" hidden="false" customHeight="true" outlineLevel="0" collapsed="false"/>
    <row r="43" customFormat="false" ht="12" hidden="false" customHeight="true" outlineLevel="0" collapsed="false"/>
    <row r="44" customFormat="false" ht="12" hidden="false" customHeight="true" outlineLevel="0" collapsed="false"/>
    <row r="45" customFormat="false" ht="12" hidden="false" customHeight="true" outlineLevel="0" collapsed="false"/>
    <row r="46" customFormat="false" ht="12" hidden="false" customHeight="true" outlineLevel="0" collapsed="false"/>
    <row r="47" customFormat="false" ht="12" hidden="false" customHeight="true" outlineLevel="0" collapsed="false"/>
    <row r="48" customFormat="false" ht="12" hidden="false" customHeight="true" outlineLevel="0" collapsed="false"/>
    <row r="49" customFormat="false" ht="12" hidden="false" customHeight="true" outlineLevel="0" collapsed="false"/>
    <row r="50" customFormat="false" ht="12" hidden="false" customHeight="true" outlineLevel="0" collapsed="false"/>
    <row r="51" customFormat="false" ht="12" hidden="false" customHeight="true" outlineLevel="0" collapsed="false"/>
    <row r="52" customFormat="false" ht="12" hidden="false" customHeight="true" outlineLevel="0" collapsed="false"/>
    <row r="53" customFormat="false" ht="12" hidden="false" customHeight="true" outlineLevel="0" collapsed="false"/>
    <row r="54" customFormat="false" ht="12" hidden="false" customHeight="true" outlineLevel="0" collapsed="false"/>
    <row r="55" customFormat="false" ht="12" hidden="false" customHeight="true" outlineLevel="0" collapsed="false"/>
  </sheetData>
  <mergeCells count="1">
    <mergeCell ref="B9:D10"/>
  </mergeCells>
  <conditionalFormatting sqref="B13:D29">
    <cfRule type="expression" priority="2" aboveAverage="0" equalAverage="0" bottom="0" percent="0" rank="0" text="" dxfId="0">
      <formula>MOD(ROW(B13),2)</formula>
    </cfRule>
  </conditionalFormatting>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false"/>
  </sheetPr>
  <dimension ref="A1:N53"/>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D2" activeCellId="1" sqref="B48:D69 D2"/>
    </sheetView>
  </sheetViews>
  <sheetFormatPr defaultRowHeight="12.5" zeroHeight="false" outlineLevelRow="0" outlineLevelCol="0"/>
  <cols>
    <col collapsed="false" customWidth="true" hidden="false" outlineLevel="0" max="1" min="1" style="2" width="9.34"/>
    <col collapsed="false" customWidth="true" hidden="false" outlineLevel="0" max="2" min="2" style="2" width="34.33"/>
    <col collapsed="false" customWidth="true" hidden="false" outlineLevel="0" max="3" min="3" style="2" width="52.66"/>
    <col collapsed="false" customWidth="true" hidden="false" outlineLevel="0" max="4" min="4" style="2" width="32.33"/>
    <col collapsed="false" customWidth="true" hidden="false" outlineLevel="0" max="6" min="5" style="2" width="15.33"/>
    <col collapsed="false" customWidth="true" hidden="false" outlineLevel="0" max="7" min="7" style="2" width="14.33"/>
    <col collapsed="false" customWidth="true" hidden="false" outlineLevel="0" max="8" min="8" style="2" width="15.78"/>
    <col collapsed="false" customWidth="true" hidden="false" outlineLevel="0" max="9" min="9" style="2" width="14.33"/>
    <col collapsed="false" customWidth="true" hidden="false" outlineLevel="0" max="1025" min="10"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MID(CELL("Filename",G7),SEARCH("]",CELL("Filename",G7),1)+1,100)</f>
        <v>Student Exercises</v>
      </c>
    </row>
    <row r="5" customFormat="false" ht="12.5" hidden="false" customHeight="false" outlineLevel="0" collapsed="false">
      <c r="N5" s="5"/>
    </row>
    <row r="7" customFormat="false" ht="18.5" hidden="false" customHeight="false" outlineLevel="0" collapsed="false">
      <c r="B7" s="6" t="s">
        <v>132</v>
      </c>
    </row>
    <row r="8" customFormat="false" ht="13" hidden="false" customHeight="true" outlineLevel="0" collapsed="false">
      <c r="B8" s="7" t="s">
        <v>133</v>
      </c>
      <c r="C8" s="7"/>
      <c r="D8" s="7"/>
    </row>
    <row r="9" customFormat="false" ht="29.15" hidden="false" customHeight="true" outlineLevel="0" collapsed="false">
      <c r="B9" s="7"/>
      <c r="C9" s="7"/>
      <c r="D9" s="7"/>
    </row>
    <row r="10" customFormat="false" ht="13" hidden="false" customHeight="false" outlineLevel="0" collapsed="false"/>
    <row r="11" customFormat="false" ht="13" hidden="false" customHeight="false" outlineLevel="0" collapsed="false">
      <c r="B11" s="8" t="s">
        <v>18</v>
      </c>
      <c r="C11" s="8" t="s">
        <v>62</v>
      </c>
      <c r="D11" s="8" t="s">
        <v>84</v>
      </c>
    </row>
    <row r="12" customFormat="false" ht="13" hidden="false" customHeight="false" outlineLevel="0" collapsed="false">
      <c r="B12" s="9" t="s">
        <v>19</v>
      </c>
      <c r="C12" s="9" t="s">
        <v>63</v>
      </c>
      <c r="D12" s="9" t="s">
        <v>85</v>
      </c>
    </row>
    <row r="13" customFormat="false" ht="13" hidden="false" customHeight="false" outlineLevel="0" collapsed="false">
      <c r="B13" s="10" t="s">
        <v>20</v>
      </c>
      <c r="C13" s="2" t="s">
        <v>64</v>
      </c>
      <c r="D13" s="2" t="s">
        <v>86</v>
      </c>
    </row>
    <row r="14" customFormat="false" ht="13" hidden="false" customHeight="false" outlineLevel="0" collapsed="false">
      <c r="B14" s="9" t="s">
        <v>21</v>
      </c>
      <c r="C14" s="9" t="s">
        <v>65</v>
      </c>
      <c r="D14" s="9" t="s">
        <v>87</v>
      </c>
    </row>
    <row r="15" customFormat="false" ht="13" hidden="false" customHeight="false" outlineLevel="0" collapsed="false">
      <c r="B15" s="10" t="s">
        <v>22</v>
      </c>
      <c r="C15" s="2" t="s">
        <v>66</v>
      </c>
      <c r="D15" s="2" t="s">
        <v>86</v>
      </c>
    </row>
    <row r="16" customFormat="false" ht="13" hidden="false" customHeight="false" outlineLevel="0" collapsed="false">
      <c r="B16" s="9" t="s">
        <v>23</v>
      </c>
      <c r="C16" s="9" t="s">
        <v>67</v>
      </c>
      <c r="D16" s="9" t="s">
        <v>88</v>
      </c>
    </row>
    <row r="17" customFormat="false" ht="13" hidden="false" customHeight="false" outlineLevel="0" collapsed="false">
      <c r="B17" s="27" t="s">
        <v>21</v>
      </c>
      <c r="C17" s="27" t="s">
        <v>69</v>
      </c>
      <c r="D17" s="27" t="s">
        <v>88</v>
      </c>
    </row>
    <row r="18" customFormat="false" ht="13" hidden="false" customHeight="false" outlineLevel="0" collapsed="false">
      <c r="B18" s="9" t="s">
        <v>22</v>
      </c>
      <c r="C18" s="9" t="s">
        <v>68</v>
      </c>
      <c r="D18" s="9" t="s">
        <v>87</v>
      </c>
    </row>
    <row r="19" customFormat="false" ht="13" hidden="false" customHeight="false" outlineLevel="0" collapsed="false">
      <c r="B19" s="27" t="s">
        <v>23</v>
      </c>
      <c r="C19" s="27" t="s">
        <v>69</v>
      </c>
      <c r="D19" s="27" t="s">
        <v>88</v>
      </c>
    </row>
    <row r="20" customFormat="false" ht="13" hidden="false" customHeight="false" outlineLevel="0" collapsed="false">
      <c r="B20" s="9" t="s">
        <v>21</v>
      </c>
      <c r="C20" s="9" t="s">
        <v>69</v>
      </c>
      <c r="D20" s="9" t="s">
        <v>88</v>
      </c>
    </row>
    <row r="21" customFormat="false" ht="13" hidden="false" customHeight="false" outlineLevel="0" collapsed="false">
      <c r="B21" s="27" t="s">
        <v>21</v>
      </c>
      <c r="C21" s="27" t="s">
        <v>65</v>
      </c>
      <c r="D21" s="27" t="s">
        <v>87</v>
      </c>
    </row>
    <row r="22" customFormat="false" ht="13" hidden="false" customHeight="false" outlineLevel="0" collapsed="false">
      <c r="B22" s="9" t="s">
        <v>19</v>
      </c>
      <c r="C22" s="9" t="s">
        <v>63</v>
      </c>
      <c r="D22" s="9" t="s">
        <v>85</v>
      </c>
    </row>
    <row r="23" customFormat="false" ht="13" hidden="false" customHeight="false" outlineLevel="0" collapsed="false"/>
    <row r="24" customFormat="false" ht="13" hidden="false" customHeight="false" outlineLevel="0" collapsed="false"/>
    <row r="25" customFormat="false" ht="26" hidden="false" customHeight="false" outlineLevel="0" collapsed="false">
      <c r="B25" s="28" t="s">
        <v>134</v>
      </c>
      <c r="C25" s="28" t="s">
        <v>135</v>
      </c>
      <c r="D25" s="28" t="s">
        <v>136</v>
      </c>
    </row>
    <row r="26" customFormat="false" ht="13" hidden="false" customHeight="false" outlineLevel="0" collapsed="false">
      <c r="B26" s="15" t="s">
        <v>8</v>
      </c>
      <c r="C26" s="15" t="s">
        <v>137</v>
      </c>
      <c r="D26" s="15" t="s">
        <v>138</v>
      </c>
    </row>
    <row r="27" customFormat="false" ht="13" hidden="false" customHeight="false" outlineLevel="0" collapsed="false"/>
    <row r="28" customFormat="false" ht="13" hidden="false" customHeight="false" outlineLevel="0" collapsed="false">
      <c r="B28" s="8"/>
      <c r="C28" s="8"/>
      <c r="D28" s="8"/>
    </row>
    <row r="29" customFormat="false" ht="13" hidden="false" customHeight="false" outlineLevel="0" collapsed="false">
      <c r="B29" s="9"/>
      <c r="C29" s="9"/>
      <c r="D29" s="9"/>
    </row>
    <row r="30" customFormat="false" ht="13" hidden="false" customHeight="false" outlineLevel="0" collapsed="false">
      <c r="B30" s="10"/>
    </row>
    <row r="31" customFormat="false" ht="13" hidden="false" customHeight="false" outlineLevel="0" collapsed="false">
      <c r="B31" s="9"/>
      <c r="C31" s="9"/>
      <c r="D31" s="9"/>
    </row>
    <row r="32" customFormat="false" ht="13" hidden="false" customHeight="false" outlineLevel="0" collapsed="false">
      <c r="B32" s="10"/>
    </row>
    <row r="33" customFormat="false" ht="13" hidden="false" customHeight="false" outlineLevel="0" collapsed="false">
      <c r="B33" s="9"/>
      <c r="C33" s="9"/>
      <c r="D33" s="9"/>
    </row>
    <row r="34" customFormat="false" ht="12.5" hidden="false" customHeight="false" outlineLevel="0" collapsed="false">
      <c r="B34" s="10"/>
    </row>
    <row r="35" customFormat="false" ht="12.5" hidden="false" customHeight="false" outlineLevel="0" collapsed="false">
      <c r="B35" s="9"/>
      <c r="C35" s="9"/>
      <c r="D35" s="9"/>
    </row>
    <row r="38" customFormat="false" ht="18.5" hidden="false" customHeight="false" outlineLevel="0" collapsed="false">
      <c r="B38" s="6" t="s">
        <v>139</v>
      </c>
    </row>
    <row r="39" customFormat="false" ht="13" hidden="false" customHeight="false" outlineLevel="0" collapsed="false"/>
    <row r="40" customFormat="false" ht="13" hidden="false" customHeight="false" outlineLevel="0" collapsed="false"/>
    <row r="41" customFormat="false" ht="13" hidden="false" customHeight="false" outlineLevel="0" collapsed="false">
      <c r="B41" s="12" t="s">
        <v>26</v>
      </c>
    </row>
    <row r="42" customFormat="false" ht="13" hidden="false" customHeight="false" outlineLevel="0" collapsed="false">
      <c r="B42" s="10" t="s">
        <v>55</v>
      </c>
    </row>
    <row r="43" customFormat="false" ht="13" hidden="false" customHeight="false" outlineLevel="0" collapsed="false">
      <c r="B43" s="10" t="s">
        <v>56</v>
      </c>
    </row>
    <row r="44" customFormat="false" ht="13" hidden="false" customHeight="false" outlineLevel="0" collapsed="false">
      <c r="B44" s="14" t="s">
        <v>57</v>
      </c>
    </row>
    <row r="45" customFormat="false" ht="13" hidden="false" customHeight="false" outlineLevel="0" collapsed="false">
      <c r="B45" s="10" t="s">
        <v>58</v>
      </c>
    </row>
    <row r="46" customFormat="false" ht="13" hidden="false" customHeight="false" outlineLevel="0" collapsed="false">
      <c r="B46" s="14" t="s">
        <v>59</v>
      </c>
    </row>
    <row r="47" customFormat="false" ht="13" hidden="false" customHeight="false" outlineLevel="0" collapsed="false"/>
    <row r="48" customFormat="false" ht="13" hidden="false" customHeight="false" outlineLevel="0" collapsed="false">
      <c r="B48" s="8" t="s">
        <v>49</v>
      </c>
      <c r="C48" s="8" t="s">
        <v>50</v>
      </c>
      <c r="D48" s="8" t="s">
        <v>51</v>
      </c>
      <c r="E48" s="8" t="s">
        <v>52</v>
      </c>
      <c r="F48" s="8"/>
    </row>
    <row r="49" customFormat="false" ht="12.5" hidden="false" customHeight="false" outlineLevel="0" collapsed="false">
      <c r="B49" s="9"/>
      <c r="C49" s="9"/>
      <c r="D49" s="9"/>
      <c r="E49" s="9"/>
      <c r="F49" s="9"/>
    </row>
    <row r="51" customFormat="false" ht="12.5" hidden="false" customHeight="false" outlineLevel="0" collapsed="false">
      <c r="B51" s="9"/>
      <c r="C51" s="9"/>
      <c r="D51" s="9"/>
      <c r="E51" s="9"/>
      <c r="F51" s="9"/>
    </row>
    <row r="53" customFormat="false" ht="12.5" hidden="false" customHeight="false" outlineLevel="0" collapsed="false">
      <c r="B53" s="9"/>
      <c r="C53" s="9"/>
      <c r="D53" s="9"/>
      <c r="E53" s="9"/>
      <c r="F53" s="9"/>
    </row>
  </sheetData>
  <mergeCells count="1">
    <mergeCell ref="B8:D9"/>
  </mergeCells>
  <hyperlinks>
    <hyperlink ref="B44" r:id="rId1" display="Beth_Summers_beth.summers@Company.com_associate"/>
    <hyperlink ref="B46" r:id="rId2" display="Jenna_Stone_Jenne.Stone@Company.com_Manager"/>
  </hyperlink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3"/>
</worksheet>
</file>

<file path=xl/worksheets/sheet14.xml><?xml version="1.0" encoding="utf-8"?>
<worksheet xmlns="http://schemas.openxmlformats.org/spreadsheetml/2006/main" xmlns:r="http://schemas.openxmlformats.org/officeDocument/2006/relationships">
  <sheetPr filterMode="false">
    <tabColor rgb="FFE998A6"/>
    <pageSetUpPr fitToPage="false"/>
  </sheetPr>
  <dimension ref="A1:P53"/>
  <sheetViews>
    <sheetView showFormulas="false" showGridLines="false" showRowColHeaders="true" showZeros="true" rightToLeft="false" tabSelected="false" showOutlineSymbols="true" defaultGridColor="true" view="normal" topLeftCell="A14" colorId="64" zoomScale="80" zoomScaleNormal="80" zoomScalePageLayoutView="100" workbookViewId="0">
      <selection pane="topLeft" activeCell="F44" activeCellId="1" sqref="B48:D69 F44"/>
    </sheetView>
  </sheetViews>
  <sheetFormatPr defaultRowHeight="12.5" zeroHeight="false" outlineLevelRow="1" outlineLevelCol="0"/>
  <cols>
    <col collapsed="false" customWidth="true" hidden="false" outlineLevel="0" max="1" min="1" style="2" width="9.34"/>
    <col collapsed="false" customWidth="true" hidden="false" outlineLevel="0" max="2" min="2" style="2" width="24.66"/>
    <col collapsed="false" customWidth="true" hidden="false" outlineLevel="0" max="3" min="3" style="2" width="52.66"/>
    <col collapsed="false" customWidth="true" hidden="false" outlineLevel="0" max="4" min="4" style="2" width="41"/>
    <col collapsed="false" customWidth="true" hidden="false" outlineLevel="0" max="5" min="5" style="2" width="25.33"/>
    <col collapsed="false" customWidth="true" hidden="false" outlineLevel="0" max="6" min="6" style="2" width="18.33"/>
    <col collapsed="false" customWidth="true" hidden="false" outlineLevel="0" max="8" min="7" style="2" width="15.33"/>
    <col collapsed="false" customWidth="true" hidden="false" outlineLevel="0" max="9" min="9" style="2" width="14.33"/>
    <col collapsed="false" customWidth="true" hidden="false" outlineLevel="0" max="10" min="10" style="2" width="15.78"/>
    <col collapsed="false" customWidth="true" hidden="false" outlineLevel="0" max="11" min="11" style="2" width="14.33"/>
    <col collapsed="false" customWidth="true" hidden="false" outlineLevel="0" max="1025" min="12"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tr">
        <f aca="true">MID(CELL("Filename",I7),SEARCH("]",CELL("Filename",I7),1)+1,100)</f>
        <v>Student Exercise Answers</v>
      </c>
    </row>
    <row r="5" customFormat="false" ht="12.5" hidden="false" customHeight="false" outlineLevel="0" collapsed="false">
      <c r="P5" s="5"/>
    </row>
    <row r="7" customFormat="false" ht="18.5" hidden="false" customHeight="false" outlineLevel="0" collapsed="false">
      <c r="B7" s="6" t="s">
        <v>132</v>
      </c>
    </row>
    <row r="8" customFormat="false" ht="13" hidden="false" customHeight="false" outlineLevel="1" collapsed="false"/>
    <row r="9" customFormat="false" ht="13.4" hidden="false" customHeight="true" outlineLevel="1" collapsed="false">
      <c r="B9" s="7" t="s">
        <v>133</v>
      </c>
      <c r="C9" s="7"/>
      <c r="D9" s="7"/>
    </row>
    <row r="10" customFormat="false" ht="13" hidden="false" customHeight="false" outlineLevel="1" collapsed="false">
      <c r="B10" s="7"/>
      <c r="C10" s="7"/>
      <c r="D10" s="7"/>
    </row>
    <row r="11" customFormat="false" ht="13" hidden="false" customHeight="false" outlineLevel="1" collapsed="false"/>
    <row r="12" customFormat="false" ht="13" hidden="false" customHeight="false" outlineLevel="1" collapsed="false">
      <c r="B12" s="8" t="s">
        <v>18</v>
      </c>
      <c r="C12" s="8" t="s">
        <v>62</v>
      </c>
      <c r="D12" s="8" t="s">
        <v>84</v>
      </c>
      <c r="E12" s="29"/>
      <c r="F12" s="29"/>
    </row>
    <row r="13" customFormat="false" ht="13" hidden="false" customHeight="false" outlineLevel="1" collapsed="false">
      <c r="B13" s="9" t="s">
        <v>19</v>
      </c>
      <c r="C13" s="9" t="s">
        <v>63</v>
      </c>
      <c r="D13" s="30" t="n">
        <v>85</v>
      </c>
      <c r="E13" s="31"/>
      <c r="F13" s="31"/>
    </row>
    <row r="14" customFormat="false" ht="13" hidden="false" customHeight="false" outlineLevel="1" collapsed="false">
      <c r="B14" s="10" t="s">
        <v>20</v>
      </c>
      <c r="C14" s="2" t="s">
        <v>64</v>
      </c>
      <c r="D14" s="32" t="n">
        <v>7</v>
      </c>
      <c r="E14" s="31"/>
      <c r="F14" s="31"/>
    </row>
    <row r="15" customFormat="false" ht="13" hidden="false" customHeight="false" outlineLevel="1" collapsed="false">
      <c r="B15" s="9" t="s">
        <v>21</v>
      </c>
      <c r="C15" s="9" t="s">
        <v>65</v>
      </c>
      <c r="D15" s="30" t="n">
        <v>78</v>
      </c>
      <c r="E15" s="31"/>
      <c r="F15" s="31"/>
    </row>
    <row r="16" customFormat="false" ht="13" hidden="false" customHeight="false" outlineLevel="1" collapsed="false">
      <c r="B16" s="10" t="s">
        <v>22</v>
      </c>
      <c r="C16" s="2" t="s">
        <v>66</v>
      </c>
      <c r="D16" s="32" t="n">
        <v>896</v>
      </c>
      <c r="E16" s="31"/>
      <c r="F16" s="31"/>
    </row>
    <row r="17" customFormat="false" ht="13" hidden="false" customHeight="false" outlineLevel="1" collapsed="false">
      <c r="B17" s="9" t="s">
        <v>23</v>
      </c>
      <c r="C17" s="9" t="s">
        <v>67</v>
      </c>
      <c r="D17" s="30" t="n">
        <v>48</v>
      </c>
      <c r="E17" s="31"/>
      <c r="F17" s="31"/>
    </row>
    <row r="18" customFormat="false" ht="13" hidden="false" customHeight="false" outlineLevel="1" collapsed="false">
      <c r="B18" s="10" t="s">
        <v>22</v>
      </c>
      <c r="C18" s="2" t="s">
        <v>68</v>
      </c>
      <c r="D18" s="32" t="n">
        <v>78</v>
      </c>
      <c r="E18" s="31"/>
      <c r="F18" s="31"/>
    </row>
    <row r="19" customFormat="false" ht="13" hidden="false" customHeight="false" outlineLevel="1" collapsed="false">
      <c r="B19" s="9" t="s">
        <v>23</v>
      </c>
      <c r="C19" s="9" t="s">
        <v>69</v>
      </c>
      <c r="D19" s="30" t="n">
        <v>457</v>
      </c>
      <c r="E19" s="31"/>
      <c r="F19" s="31"/>
    </row>
    <row r="20" customFormat="false" ht="13" hidden="false" customHeight="false" outlineLevel="1" collapsed="false">
      <c r="E20" s="33"/>
      <c r="F20" s="33"/>
    </row>
    <row r="21" customFormat="false" ht="13" hidden="false" customHeight="false" outlineLevel="1" collapsed="false">
      <c r="E21" s="33"/>
      <c r="F21" s="33"/>
    </row>
    <row r="22" customFormat="false" ht="13" hidden="false" customHeight="false" outlineLevel="1" collapsed="false">
      <c r="E22" s="33"/>
      <c r="F22" s="33"/>
    </row>
    <row r="23" customFormat="false" ht="26" hidden="false" customHeight="false" outlineLevel="1" collapsed="false">
      <c r="B23" s="28" t="s">
        <v>134</v>
      </c>
      <c r="C23" s="28" t="s">
        <v>135</v>
      </c>
      <c r="D23" s="28" t="s">
        <v>136</v>
      </c>
      <c r="E23" s="28"/>
      <c r="F23" s="28"/>
    </row>
    <row r="24" customFormat="false" ht="13" hidden="false" customHeight="false" outlineLevel="1" collapsed="false">
      <c r="B24" s="15" t="s">
        <v>8</v>
      </c>
      <c r="C24" s="15" t="s">
        <v>137</v>
      </c>
      <c r="D24" s="15" t="s">
        <v>138</v>
      </c>
      <c r="E24" s="34"/>
      <c r="F24" s="34"/>
    </row>
    <row r="25" customFormat="false" ht="13" hidden="false" customHeight="false" outlineLevel="1" collapsed="false">
      <c r="E25" s="33"/>
      <c r="F25" s="33"/>
    </row>
    <row r="26" customFormat="false" ht="13" hidden="false" customHeight="false" outlineLevel="1" collapsed="false">
      <c r="B26" s="8"/>
      <c r="C26" s="8"/>
      <c r="D26" s="8"/>
      <c r="E26" s="29"/>
      <c r="F26" s="29"/>
    </row>
    <row r="27" customFormat="false" ht="13" hidden="false" customHeight="false" outlineLevel="1" collapsed="false">
      <c r="B27" s="9" t="str">
        <f aca="false">CLEAN(B13)</f>
        <v>PROGRAF</v>
      </c>
      <c r="C27" s="9" t="str">
        <f aca="false">TRIM(SUBSTITUTE(C13, ",", "."))</f>
        <v>PROGRAF 5MG 50CAPSULAS PROIBID</v>
      </c>
      <c r="D27" s="35" t="n">
        <f aca="false">VALUE(D13)</f>
        <v>85</v>
      </c>
      <c r="E27" s="31"/>
      <c r="F27" s="31"/>
    </row>
    <row r="28" customFormat="false" ht="13" hidden="false" customHeight="false" outlineLevel="1" collapsed="false">
      <c r="B28" s="10" t="str">
        <f aca="false">CLEAN(B14)</f>
        <v>PARIET</v>
      </c>
      <c r="C28" s="2" t="str">
        <f aca="false">TRIM(SUBSTITUTE(C14, ",", "."))</f>
        <v>PARIET 20 MG 28 CP OR</v>
      </c>
      <c r="D28" s="36" t="n">
        <f aca="false">VALUE(D14)</f>
        <v>7</v>
      </c>
      <c r="E28" s="31"/>
      <c r="F28" s="31"/>
    </row>
    <row r="29" customFormat="false" ht="13" hidden="false" customHeight="false" outlineLevel="1" collapsed="false">
      <c r="B29" s="9" t="str">
        <f aca="false">CLEAN(B15)</f>
        <v>_x005F_x0014_CONCERTA</v>
      </c>
      <c r="C29" s="9" t="str">
        <f aca="false">TRIM(SUBSTITUTE(C15, ",", "."))</f>
        <v>CONCERTA 54MG FR 30CP OR</v>
      </c>
      <c r="D29" s="35" t="n">
        <f aca="false">VALUE(D15)</f>
        <v>78</v>
      </c>
      <c r="E29" s="31"/>
      <c r="F29" s="31"/>
    </row>
    <row r="30" customFormat="false" ht="13" hidden="false" customHeight="false" outlineLevel="1" collapsed="false">
      <c r="B30" s="10" t="str">
        <f aca="false">CLEAN(B16)</f>
        <v>_x005F_x0014_LEUSTATIN</v>
      </c>
      <c r="C30" s="2" t="str">
        <f aca="false">TRIM(SUBSTITUTE(C16, ",", "."))</f>
        <v>LEUSTATIN INJ CT C/ 1 FR AMP</v>
      </c>
      <c r="D30" s="36" t="n">
        <f aca="false">VALUE(D16)</f>
        <v>896</v>
      </c>
      <c r="E30" s="31"/>
      <c r="F30" s="31"/>
    </row>
    <row r="31" customFormat="false" ht="13" hidden="false" customHeight="false" outlineLevel="1" collapsed="false">
      <c r="B31" s="9" t="str">
        <f aca="false">CLEAN(B17)</f>
        <v>_x005F_x0014_VELCADE</v>
      </c>
      <c r="C31" s="9" t="str">
        <f aca="false">TRIM(SUBSTITUTE(C17, ",", "."))</f>
        <v>VELCADE 3.5 MG OR</v>
      </c>
      <c r="D31" s="35" t="n">
        <f aca="false">VALUE(D17)</f>
        <v>48</v>
      </c>
      <c r="E31" s="31"/>
      <c r="F31" s="31"/>
    </row>
    <row r="32" customFormat="false" ht="13" hidden="false" customHeight="false" outlineLevel="1" collapsed="false">
      <c r="B32" s="10" t="str">
        <f aca="false">CLEAN(B18)</f>
        <v>_x005F_x0014_LEUSTATIN</v>
      </c>
      <c r="C32" s="2" t="str">
        <f aca="false">TRIM(SUBSTITUTE(C18, ",", "."))</f>
        <v>LEUSTATIN INJ CT C/ 1 FR AMP</v>
      </c>
      <c r="D32" s="36" t="n">
        <f aca="false">VALUE(D18)</f>
        <v>78</v>
      </c>
      <c r="E32" s="31"/>
      <c r="F32" s="31"/>
    </row>
    <row r="33" customFormat="false" ht="13" hidden="false" customHeight="false" outlineLevel="1" collapsed="false">
      <c r="B33" s="9" t="str">
        <f aca="false">CLEAN(B19)</f>
        <v>_x005F_x0014_VELCADE</v>
      </c>
      <c r="C33" s="9" t="str">
        <f aca="false">TRIM(SUBSTITUTE(C19, ",", "."))</f>
        <v>VELCADE 3.5 MG OR</v>
      </c>
      <c r="D33" s="35" t="n">
        <f aca="false">VALUE(D19)</f>
        <v>457</v>
      </c>
      <c r="E33" s="31"/>
      <c r="F33" s="31"/>
    </row>
    <row r="34" customFormat="false" ht="12.5" hidden="false" customHeight="false" outlineLevel="1" collapsed="false"/>
    <row r="35" customFormat="false" ht="18.5" hidden="false" customHeight="false" outlineLevel="0" collapsed="false">
      <c r="B35" s="6" t="s">
        <v>140</v>
      </c>
    </row>
    <row r="36" customFormat="false" ht="13" hidden="false" customHeight="false" outlineLevel="1" collapsed="false"/>
    <row r="37" customFormat="false" ht="13" hidden="false" customHeight="false" outlineLevel="1" collapsed="false"/>
    <row r="38" customFormat="false" ht="13" hidden="false" customHeight="false" outlineLevel="1" collapsed="false">
      <c r="B38" s="12" t="s">
        <v>26</v>
      </c>
    </row>
    <row r="39" customFormat="false" ht="13" hidden="false" customHeight="false" outlineLevel="1" collapsed="false">
      <c r="B39" s="10" t="s">
        <v>55</v>
      </c>
    </row>
    <row r="40" customFormat="false" ht="13" hidden="false" customHeight="false" outlineLevel="1" collapsed="false">
      <c r="B40" s="10" t="s">
        <v>56</v>
      </c>
    </row>
    <row r="41" customFormat="false" ht="13" hidden="false" customHeight="false" outlineLevel="1" collapsed="false">
      <c r="B41" s="14" t="s">
        <v>57</v>
      </c>
    </row>
    <row r="42" customFormat="false" ht="13" hidden="false" customHeight="false" outlineLevel="1" collapsed="false">
      <c r="B42" s="10" t="s">
        <v>58</v>
      </c>
    </row>
    <row r="43" customFormat="false" ht="13" hidden="false" customHeight="false" outlineLevel="1" collapsed="false">
      <c r="B43" s="14" t="s">
        <v>59</v>
      </c>
    </row>
    <row r="44" customFormat="false" ht="13" hidden="false" customHeight="false" outlineLevel="1" collapsed="false"/>
    <row r="45" customFormat="false" ht="13" hidden="false" customHeight="false" outlineLevel="1" collapsed="false">
      <c r="B45" s="8" t="s">
        <v>49</v>
      </c>
      <c r="C45" s="8" t="s">
        <v>50</v>
      </c>
      <c r="D45" s="8" t="s">
        <v>51</v>
      </c>
      <c r="E45" s="8" t="s">
        <v>52</v>
      </c>
      <c r="F45" s="8"/>
    </row>
    <row r="46" customFormat="false" ht="13" hidden="false" customHeight="false" outlineLevel="1" collapsed="false">
      <c r="B46" s="9" t="s">
        <v>27</v>
      </c>
      <c r="C46" s="9" t="s">
        <v>28</v>
      </c>
      <c r="D46" s="9" t="s">
        <v>141</v>
      </c>
      <c r="E46" s="9" t="s">
        <v>30</v>
      </c>
      <c r="F46" s="9"/>
    </row>
    <row r="47" customFormat="false" ht="13" hidden="false" customHeight="false" outlineLevel="1" collapsed="false">
      <c r="B47" s="2" t="s">
        <v>31</v>
      </c>
      <c r="C47" s="2" t="s">
        <v>32</v>
      </c>
      <c r="D47" s="2" t="s">
        <v>142</v>
      </c>
      <c r="E47" s="2" t="s">
        <v>34</v>
      </c>
    </row>
    <row r="48" customFormat="false" ht="13" hidden="false" customHeight="false" outlineLevel="1" collapsed="false">
      <c r="B48" s="9" t="s">
        <v>35</v>
      </c>
      <c r="C48" s="9" t="s">
        <v>36</v>
      </c>
      <c r="D48" s="9" t="s">
        <v>143</v>
      </c>
      <c r="E48" s="9" t="s">
        <v>38</v>
      </c>
      <c r="F48" s="9"/>
    </row>
    <row r="49" customFormat="false" ht="13" hidden="false" customHeight="false" outlineLevel="1" collapsed="false">
      <c r="B49" s="2" t="s">
        <v>39</v>
      </c>
      <c r="C49" s="2" t="s">
        <v>40</v>
      </c>
      <c r="D49" s="2" t="s">
        <v>144</v>
      </c>
      <c r="E49" s="2" t="s">
        <v>42</v>
      </c>
    </row>
    <row r="50" customFormat="false" ht="12.5" hidden="false" customHeight="false" outlineLevel="1" collapsed="false">
      <c r="B50" s="9" t="s">
        <v>43</v>
      </c>
      <c r="C50" s="9" t="s">
        <v>44</v>
      </c>
      <c r="D50" s="9" t="s">
        <v>145</v>
      </c>
      <c r="E50" s="9" t="s">
        <v>30</v>
      </c>
      <c r="F50" s="9"/>
    </row>
    <row r="51" customFormat="false" ht="12.5" hidden="false" customHeight="false" outlineLevel="1" collapsed="false"/>
    <row r="52" customFormat="false" ht="12.5" hidden="false" customHeight="false" outlineLevel="1" collapsed="false"/>
    <row r="53" customFormat="false" ht="12.5" hidden="false" customHeight="false" outlineLevel="1" collapsed="false"/>
  </sheetData>
  <mergeCells count="1">
    <mergeCell ref="B9:D10"/>
  </mergeCells>
  <hyperlinks>
    <hyperlink ref="B41" r:id="rId1" display="Beth_Summers_beth.summers@Company.com_associate"/>
    <hyperlink ref="B43" r:id="rId2" display="Jenna_Stone_Jenne.Stone@Company.com_Manager"/>
  </hyperlink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3"/>
</worksheet>
</file>

<file path=xl/worksheets/sheet15.xml><?xml version="1.0" encoding="utf-8"?>
<worksheet xmlns="http://schemas.openxmlformats.org/spreadsheetml/2006/main" xmlns:r="http://schemas.openxmlformats.org/officeDocument/2006/relationships">
  <sheetPr filterMode="false">
    <pageSetUpPr fitToPage="false"/>
  </sheetPr>
  <dimension ref="A1:A4"/>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A1" activeCellId="1" sqref="B48:D69 A1"/>
    </sheetView>
  </sheetViews>
  <sheetFormatPr defaultRowHeight="12.5" zeroHeight="false" outlineLevelRow="0" outlineLevelCol="0"/>
  <cols>
    <col collapsed="false" customWidth="true" hidden="false" outlineLevel="0" max="1025" min="1" style="2" width="9.34"/>
  </cols>
  <sheetData>
    <row r="1" customFormat="false" ht="13" hidden="false" customHeight="false" outlineLevel="0" collapsed="false">
      <c r="A1" s="3" t="str">
        <f aca="false">Introduction!A1</f>
        <v>Problem Solving with Excel</v>
      </c>
    </row>
    <row r="2" customFormat="false" ht="13" hidden="false" customHeight="false" outlineLevel="0" collapsed="false">
      <c r="A2" s="3" t="str">
        <f aca="false">Introduction!A2</f>
        <v>Week 2</v>
      </c>
    </row>
    <row r="3" customFormat="false" ht="13" hidden="false" customHeight="false" outlineLevel="0" collapsed="false">
      <c r="A3" s="3" t="str">
        <f aca="false">Introduction!A3</f>
        <v>Data Cleansing - Values</v>
      </c>
    </row>
    <row r="4" customFormat="false" ht="13" hidden="false" customHeight="false" outlineLevel="0" collapsed="false">
      <c r="A4" s="3" t="s">
        <v>146</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Template/>
  <TotalTime>32</TotalTime>
  <Application>LibreOffice/6.0.7.3$Linux_X86_64 LibreOffice_project/00m0$Build-3</Application>
  <Company>PricewaterhouseCoopers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2016-06-22T22:01:00Z</dcterms:created>
  <dc:creator>Matthew Jacobs</dc:creator>
  <dc:description/>
  <dc:language>en-US</dc:language>
  <cp:lastModifiedBy/>
  <cp:lastPrinted>2016-09-09T02:15:25Z</cp:lastPrinted>
  <dcterms:modified xsi:type="dcterms:W3CDTF">2020-07-06T13:49:01Z</dcterms:modified>
  <cp:revision>7</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BrandFormat">
    <vt:lpwstr>1.0</vt:lpwstr>
  </property>
  <property fmtid="{D5CDD505-2E9C-101B-9397-08002B2CF9AE}" pid="4" name="Company">
    <vt:lpwstr>PricewaterhouseCoopers</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Smrt_NotesFontSize">
    <vt:lpwstr>8</vt:lpwstr>
  </property>
  <property fmtid="{D5CDD505-2E9C-101B-9397-08002B2CF9AE}" pid="11" name="Smrt_WorkbookNumberDisplay">
    <vt:lpwstr>0</vt:lpwstr>
  </property>
  <property fmtid="{D5CDD505-2E9C-101B-9397-08002B2CF9AE}" pid="12" name="Smrt_WorkbookPercentageDisplay">
    <vt:lpwstr>0</vt:lpwstr>
  </property>
  <property fmtid="{D5CDD505-2E9C-101B-9397-08002B2CF9AE}" pid="13" name="Smrt_WorkbookThemeColor">
    <vt:lpwstr>PwC Maroon</vt:lpwstr>
  </property>
</Properties>
</file>