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sheet7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externalLinks/_rels/externalLink1.xml.rels" ContentType="application/vnd.openxmlformats-package.relationships+xml"/>
  <Override PartName="/xl/externalLinks/_rels/externalLink2.xml.rels" ContentType="application/vnd.openxmlformats-package.relationships+xml"/>
  <Override PartName="/xl/externalLinks/_rels/externalLink3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Summary" sheetId="2" state="visible" r:id="rId4"/>
    <sheet name="Data Set" sheetId="3" state="visible" r:id="rId5"/>
    <sheet name="Section 1 - VLookup" sheetId="4" state="visible" r:id="rId6"/>
    <sheet name="Section 1 - VLookup (ANS)" sheetId="5" state="hidden" r:id="rId7"/>
    <sheet name="Section 1 - Student Ex." sheetId="6" state="hidden" r:id="rId8"/>
    <sheet name="Section 1 - Student Ex (ANS)" sheetId="7" state="hidden" r:id="rId9"/>
    <sheet name="Culminating Exersise" sheetId="8" state="hidden" r:id="rId10"/>
    <sheet name="Culminating Exersise (ANS)" sheetId="9" state="hidden" r:id="rId11"/>
  </sheets>
  <externalReferences>
    <externalReference r:id="rId12"/>
    <externalReference r:id="rId13"/>
    <externalReference r:id="rId14"/>
  </externalReferences>
  <definedNames>
    <definedName function="false" hidden="true" localSheetId="2" name="_xlnm._FilterDatabase" vbProcedure="false">'Data Set'!$C$14:$L$121</definedName>
    <definedName function="false" hidden="false" name="Country" vbProcedure="false">'[2]Data Set'!$F$9:$F$32</definedName>
    <definedName function="false" hidden="false" name="D1_Percent_Quantity" vbProcedure="false">'Data Set'!$N$19:$N$121</definedName>
    <definedName function="false" hidden="false" name="D1_Percent_Revenue" vbProcedure="false">'Data Set'!$O$19:$O$121</definedName>
    <definedName function="false" hidden="false" name="D1_Quantity_Sold" vbProcedure="false">'Data Set'!$J$19:$J$121</definedName>
    <definedName function="false" hidden="false" name="D1_Revenue" vbProcedure="false">'Data Set'!$L$19:$L$121</definedName>
    <definedName function="false" hidden="false" name="Name" vbProcedure="false">'[3]Data Set'!$B$38:$I$38</definedName>
    <definedName function="false" hidden="false" name="Personal_Info" vbProcedure="false">'[3]Data Set'!$B$38:$B$44</definedName>
    <definedName function="false" hidden="false" name="Revenue" vbProcedure="false">'[3]Data Set'!$C$9:$C$32</definedName>
    <definedName function="false" hidden="false" name="SALES_DATA" vbProcedure="false">'Data Set'!$C$14:$L$121</definedName>
    <definedName function="false" hidden="false" localSheetId="1" name="Country" vbProcedure="false">'[1]Data Set'!$F$9:$F$32</definedName>
    <definedName function="false" hidden="false" localSheetId="1" name="Name" vbProcedure="false">'[1]Data Set'!$B$38:$I$38</definedName>
    <definedName function="false" hidden="false" localSheetId="1" name="Personal_Info" vbProcedure="false">'[1]Data Set'!$B$38:$B$44</definedName>
    <definedName function="false" hidden="false" localSheetId="1" name="Revenue" vbProcedure="false">'[1]Data Set'!$C$9:$C$32</definedName>
    <definedName function="true" hidden="false" name="ThisWorkbook.Send_To_1A" vbProcedure="true"/>
    <definedName function="true" hidden="false" name="ThisWorkbook.Send_To_1B" vbProcedure="true"/>
    <definedName function="true" hidden="false" name="ThisWorkbook.Send_To_1C" vbProcedure="true"/>
    <definedName function="true" hidden="false" name="ThisWorkbook.Send_To_2A" vbProcedure="true"/>
    <definedName function="true" hidden="false" name="ThisWorkbook.Send_To_2B" vbProcedure="true"/>
    <definedName function="true" hidden="false" name="ThisWorkbook.Send_To_3A" vbProcedure="true"/>
    <definedName function="true" hidden="false" name="ThisWorkbook.Send_To_3B" vbProcedure="true"/>
    <definedName function="true" hidden="false" name="ThisWorkbook.Instruction_To_1A" vbProcedure="true"/>
    <definedName function="true" hidden="false" name="ThisWorkbook.Instruction_To_1B" vbProcedure="true"/>
    <definedName function="true" hidden="false" name="ThisWorkbook.Instruction_To_1C" vbProcedure="true"/>
    <definedName function="true" hidden="false" name="ThisWorkbook.Instruction_To_2A" vbProcedure="true"/>
    <definedName function="true" hidden="false" name="ThisWorkbook.Instruction_To_2B" vbProcedure="true"/>
    <definedName function="true" hidden="false" name="ThisWorkbook.Instruction_To_3A" vbProcedure="true"/>
    <definedName function="true" hidden="false" name="ThisWorkbook.Instruction_To_3B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<sst xmlns="http://schemas.openxmlformats.org/spreadsheetml/2006/main" count="674" uniqueCount="289">
  <si>
    <t xml:space="preserve">Problem Solving With Excel </t>
  </si>
  <si>
    <t xml:space="preserve">Week 2</t>
  </si>
  <si>
    <t xml:space="preserve">Vlookup</t>
  </si>
  <si>
    <t xml:space="preserve">Summary</t>
  </si>
  <si>
    <t xml:space="preserve">Section</t>
  </si>
  <si>
    <t xml:space="preserve">Description</t>
  </si>
  <si>
    <t xml:space="preserve">Data Set</t>
  </si>
  <si>
    <t xml:space="preserve">Sample data set</t>
  </si>
  <si>
    <t xml:space="preserve">Section 1 - Instruction</t>
  </si>
  <si>
    <t xml:space="preserve">Questions</t>
  </si>
  <si>
    <t xml:space="preserve">Section 1 - Ans</t>
  </si>
  <si>
    <t xml:space="preserve">Answer set for Vlookup</t>
  </si>
  <si>
    <t xml:space="preserve">Quantity Sold</t>
  </si>
  <si>
    <t xml:space="preserve">Average Price</t>
  </si>
  <si>
    <t xml:space="preserve">Total Revenue</t>
  </si>
  <si>
    <t xml:space="preserve">Grand Total</t>
  </si>
  <si>
    <t xml:space="preserve">Sub-Total</t>
  </si>
  <si>
    <t xml:space="preserve">Distributor ID</t>
  </si>
  <si>
    <t xml:space="preserve">Distributor Name</t>
  </si>
  <si>
    <t xml:space="preserve">Country</t>
  </si>
  <si>
    <t xml:space="preserve">Product Code</t>
  </si>
  <si>
    <t xml:space="preserve">Sales Channel</t>
  </si>
  <si>
    <t xml:space="preserve">Date Sold</t>
  </si>
  <si>
    <t xml:space="preserve">Month Sold</t>
  </si>
  <si>
    <t xml:space="preserve">Quantity</t>
  </si>
  <si>
    <t xml:space="preserve">Unit Price</t>
  </si>
  <si>
    <t xml:space="preserve">Revenue</t>
  </si>
  <si>
    <t xml:space="preserve">% of Qty</t>
  </si>
  <si>
    <t xml:space="preserve">% of Rev</t>
  </si>
  <si>
    <t xml:space="preserve">Original Revenue</t>
  </si>
  <si>
    <t xml:space="preserve">Check</t>
  </si>
  <si>
    <t xml:space="preserve">Devin Abbott</t>
  </si>
  <si>
    <t xml:space="preserve">France</t>
  </si>
  <si>
    <t xml:space="preserve">SUPA105</t>
  </si>
  <si>
    <t xml:space="preserve">Online</t>
  </si>
  <si>
    <t xml:space="preserve">Aphrodite Brennan</t>
  </si>
  <si>
    <t xml:space="preserve">Malawi</t>
  </si>
  <si>
    <t xml:space="preserve">Direct</t>
  </si>
  <si>
    <t xml:space="preserve">Guinevere Key</t>
  </si>
  <si>
    <t xml:space="preserve">Colombia</t>
  </si>
  <si>
    <t xml:space="preserve">Retail</t>
  </si>
  <si>
    <t xml:space="preserve">Zahir Fields</t>
  </si>
  <si>
    <t xml:space="preserve">Canada</t>
  </si>
  <si>
    <t xml:space="preserve">Deacon Craig</t>
  </si>
  <si>
    <t xml:space="preserve">Mongolia</t>
  </si>
  <si>
    <t xml:space="preserve">Brynne Mcgowan</t>
  </si>
  <si>
    <t xml:space="preserve">Finland</t>
  </si>
  <si>
    <t xml:space="preserve">Lani Sweet</t>
  </si>
  <si>
    <t xml:space="preserve">Vanuatu</t>
  </si>
  <si>
    <t xml:space="preserve">Noble Warner</t>
  </si>
  <si>
    <t xml:space="preserve">Burkina Faso</t>
  </si>
  <si>
    <t xml:space="preserve">SUPA104</t>
  </si>
  <si>
    <t xml:space="preserve">Levi Douglas</t>
  </si>
  <si>
    <t xml:space="preserve">Tanzania, United Republic of</t>
  </si>
  <si>
    <t xml:space="preserve">DETA800</t>
  </si>
  <si>
    <t xml:space="preserve">Jelani Odonnell</t>
  </si>
  <si>
    <t xml:space="preserve">Albania</t>
  </si>
  <si>
    <t xml:space="preserve">Jared Sandoval</t>
  </si>
  <si>
    <t xml:space="preserve">Botswana</t>
  </si>
  <si>
    <t xml:space="preserve">Hiroko Acevedo</t>
  </si>
  <si>
    <t xml:space="preserve">Burundi</t>
  </si>
  <si>
    <t xml:space="preserve">Rhona Clarke</t>
  </si>
  <si>
    <t xml:space="preserve">Zimbabwe</t>
  </si>
  <si>
    <t xml:space="preserve">Tad Mack</t>
  </si>
  <si>
    <t xml:space="preserve">Iceland</t>
  </si>
  <si>
    <t xml:space="preserve">Rama Goodwin</t>
  </si>
  <si>
    <t xml:space="preserve">Tunisia</t>
  </si>
  <si>
    <t xml:space="preserve">Keaton Wolfe</t>
  </si>
  <si>
    <t xml:space="preserve">French Southern Territories</t>
  </si>
  <si>
    <t xml:space="preserve">Samuel Ayala</t>
  </si>
  <si>
    <t xml:space="preserve">Brazil</t>
  </si>
  <si>
    <t xml:space="preserve">Doris Williams</t>
  </si>
  <si>
    <t xml:space="preserve">Trinidad and Tobago</t>
  </si>
  <si>
    <t xml:space="preserve">SUPA103</t>
  </si>
  <si>
    <t xml:space="preserve">Ingrid Bush</t>
  </si>
  <si>
    <t xml:space="preserve">Montserrat</t>
  </si>
  <si>
    <t xml:space="preserve">Nell Maddox</t>
  </si>
  <si>
    <t xml:space="preserve">Azerbaijan</t>
  </si>
  <si>
    <t xml:space="preserve">Benedict Byrd</t>
  </si>
  <si>
    <t xml:space="preserve">Mauritania</t>
  </si>
  <si>
    <t xml:space="preserve">Ethan Gregory</t>
  </si>
  <si>
    <t xml:space="preserve">Tuvalu</t>
  </si>
  <si>
    <t xml:space="preserve">Ursula Mcconnell</t>
  </si>
  <si>
    <t xml:space="preserve">Hungary</t>
  </si>
  <si>
    <t xml:space="preserve">Fletcher Jimenez</t>
  </si>
  <si>
    <t xml:space="preserve">Chad</t>
  </si>
  <si>
    <t xml:space="preserve">DETA200</t>
  </si>
  <si>
    <t xml:space="preserve">Isadora Mcclure</t>
  </si>
  <si>
    <t xml:space="preserve">Indonesia</t>
  </si>
  <si>
    <t xml:space="preserve">DETA100</t>
  </si>
  <si>
    <t xml:space="preserve">Liberty Mcbride</t>
  </si>
  <si>
    <t xml:space="preserve">Fiji</t>
  </si>
  <si>
    <t xml:space="preserve">Noble Gilbert</t>
  </si>
  <si>
    <t xml:space="preserve">United States</t>
  </si>
  <si>
    <t xml:space="preserve">Maxine Gentry</t>
  </si>
  <si>
    <t xml:space="preserve">Panama</t>
  </si>
  <si>
    <t xml:space="preserve">Melinda Cobb</t>
  </si>
  <si>
    <t xml:space="preserve">Uruguay</t>
  </si>
  <si>
    <t xml:space="preserve">PURA250</t>
  </si>
  <si>
    <t xml:space="preserve">Yael Carter</t>
  </si>
  <si>
    <t xml:space="preserve">Malaysia</t>
  </si>
  <si>
    <t xml:space="preserve">Kay Buckley</t>
  </si>
  <si>
    <t xml:space="preserve">Malta</t>
  </si>
  <si>
    <t xml:space="preserve">Athena Fitzpatrick</t>
  </si>
  <si>
    <t xml:space="preserve">Reunion</t>
  </si>
  <si>
    <t xml:space="preserve">Joy Vazquez</t>
  </si>
  <si>
    <t xml:space="preserve">Korea</t>
  </si>
  <si>
    <t xml:space="preserve">Amery Frazier</t>
  </si>
  <si>
    <t xml:space="preserve">Georgia</t>
  </si>
  <si>
    <t xml:space="preserve">Buckminster Hopkins</t>
  </si>
  <si>
    <t xml:space="preserve">Sierra Leone</t>
  </si>
  <si>
    <t xml:space="preserve">PURA200</t>
  </si>
  <si>
    <t xml:space="preserve">George Best</t>
  </si>
  <si>
    <t xml:space="preserve">Western Sahara</t>
  </si>
  <si>
    <t xml:space="preserve">Maxwell Parker</t>
  </si>
  <si>
    <t xml:space="preserve">Falkland Islands (Malvinas)</t>
  </si>
  <si>
    <t xml:space="preserve">Lance Little</t>
  </si>
  <si>
    <t xml:space="preserve">Croatia</t>
  </si>
  <si>
    <t xml:space="preserve">Gwendolyn Walton</t>
  </si>
  <si>
    <t xml:space="preserve">Cuba</t>
  </si>
  <si>
    <t xml:space="preserve">SUPA102</t>
  </si>
  <si>
    <t xml:space="preserve">Isaac Wolf</t>
  </si>
  <si>
    <t xml:space="preserve">PURA500</t>
  </si>
  <si>
    <t xml:space="preserve">Celeste Pugh</t>
  </si>
  <si>
    <t xml:space="preserve">Gabon</t>
  </si>
  <si>
    <t xml:space="preserve">Oprah Ellis</t>
  </si>
  <si>
    <t xml:space="preserve">Dominican Republic</t>
  </si>
  <si>
    <t xml:space="preserve">Emerson Beard</t>
  </si>
  <si>
    <t xml:space="preserve">Niue</t>
  </si>
  <si>
    <t xml:space="preserve">Renee Padilla</t>
  </si>
  <si>
    <t xml:space="preserve">Yemen</t>
  </si>
  <si>
    <t xml:space="preserve">Maite Henson</t>
  </si>
  <si>
    <t xml:space="preserve">Bangladesh</t>
  </si>
  <si>
    <t xml:space="preserve">Ivory Chang</t>
  </si>
  <si>
    <t xml:space="preserve">Tonga</t>
  </si>
  <si>
    <t xml:space="preserve">Clark Weaver</t>
  </si>
  <si>
    <t xml:space="preserve">Palau</t>
  </si>
  <si>
    <t xml:space="preserve">Ima Cummings</t>
  </si>
  <si>
    <t xml:space="preserve">Philippines</t>
  </si>
  <si>
    <t xml:space="preserve">Adria Kaufman</t>
  </si>
  <si>
    <t xml:space="preserve">Bouvet Island</t>
  </si>
  <si>
    <t xml:space="preserve">Nyssa Quinn</t>
  </si>
  <si>
    <t xml:space="preserve">Cocos (Keeling) Islands</t>
  </si>
  <si>
    <t xml:space="preserve">Amir Alexander</t>
  </si>
  <si>
    <t xml:space="preserve">Liberia</t>
  </si>
  <si>
    <t xml:space="preserve">Imogene Bradshaw</t>
  </si>
  <si>
    <t xml:space="preserve">Niger</t>
  </si>
  <si>
    <t xml:space="preserve">Gwendolyn Mccarty</t>
  </si>
  <si>
    <t xml:space="preserve">Madagascar</t>
  </si>
  <si>
    <t xml:space="preserve">Bell Prince</t>
  </si>
  <si>
    <t xml:space="preserve">Guinea</t>
  </si>
  <si>
    <t xml:space="preserve">Katelyn Joseph</t>
  </si>
  <si>
    <t xml:space="preserve">Slovenia</t>
  </si>
  <si>
    <t xml:space="preserve">Robert Juarez</t>
  </si>
  <si>
    <t xml:space="preserve">Svalbard and Jan Mayen</t>
  </si>
  <si>
    <t xml:space="preserve">Jerry Alvarado</t>
  </si>
  <si>
    <t xml:space="preserve">Korea, Republic of</t>
  </si>
  <si>
    <t xml:space="preserve">PURA100</t>
  </si>
  <si>
    <t xml:space="preserve">India Gilbert</t>
  </si>
  <si>
    <t xml:space="preserve">Denmark</t>
  </si>
  <si>
    <t xml:space="preserve">Iliana Porter</t>
  </si>
  <si>
    <t xml:space="preserve">Poland</t>
  </si>
  <si>
    <t xml:space="preserve">Deanna Santana</t>
  </si>
  <si>
    <t xml:space="preserve">Solomon Islands</t>
  </si>
  <si>
    <t xml:space="preserve">Ivor Mclaughlin</t>
  </si>
  <si>
    <t xml:space="preserve">United States Minor Outlying Islands</t>
  </si>
  <si>
    <t xml:space="preserve">Latifah Wall</t>
  </si>
  <si>
    <t xml:space="preserve">Guadeloupe</t>
  </si>
  <si>
    <t xml:space="preserve">Anika Tillman</t>
  </si>
  <si>
    <t xml:space="preserve">Paul Duke</t>
  </si>
  <si>
    <t xml:space="preserve">Puerto Rico</t>
  </si>
  <si>
    <t xml:space="preserve">Sawyer Stokes</t>
  </si>
  <si>
    <t xml:space="preserve">Xerxes Smith</t>
  </si>
  <si>
    <t xml:space="preserve">Wanda Garza</t>
  </si>
  <si>
    <t xml:space="preserve">Kyrgyzstan</t>
  </si>
  <si>
    <t xml:space="preserve">Anjolie Hicks</t>
  </si>
  <si>
    <t xml:space="preserve">Turks and Caicos Islands</t>
  </si>
  <si>
    <t xml:space="preserve">Asher Weber</t>
  </si>
  <si>
    <t xml:space="preserve">Macedonia</t>
  </si>
  <si>
    <t xml:space="preserve">Mercedes Humphrey</t>
  </si>
  <si>
    <t xml:space="preserve">Turkey</t>
  </si>
  <si>
    <t xml:space="preserve">Hayes Rollins</t>
  </si>
  <si>
    <t xml:space="preserve">Nepal</t>
  </si>
  <si>
    <t xml:space="preserve">Josiah Yates</t>
  </si>
  <si>
    <t xml:space="preserve">Winifred Cantu</t>
  </si>
  <si>
    <t xml:space="preserve">Kazakhstan</t>
  </si>
  <si>
    <t xml:space="preserve">Germaine Kidd</t>
  </si>
  <si>
    <t xml:space="preserve">Kenyon Joyce</t>
  </si>
  <si>
    <t xml:space="preserve">Joel Rivers</t>
  </si>
  <si>
    <t xml:space="preserve">Australia</t>
  </si>
  <si>
    <t xml:space="preserve">Colby Knapp</t>
  </si>
  <si>
    <t xml:space="preserve">Pakistan</t>
  </si>
  <si>
    <t xml:space="preserve">Vance Campos</t>
  </si>
  <si>
    <t xml:space="preserve">Syrian Arab Republic</t>
  </si>
  <si>
    <t xml:space="preserve">Lael Gould</t>
  </si>
  <si>
    <t xml:space="preserve">El Salvador</t>
  </si>
  <si>
    <t xml:space="preserve">Jane Hernandez</t>
  </si>
  <si>
    <t xml:space="preserve">Dara Cunningham</t>
  </si>
  <si>
    <t xml:space="preserve">Saint Helena</t>
  </si>
  <si>
    <t xml:space="preserve">Colette Sargent</t>
  </si>
  <si>
    <t xml:space="preserve">Norfolk Island</t>
  </si>
  <si>
    <t xml:space="preserve">Shea Cortez</t>
  </si>
  <si>
    <t xml:space="preserve">India</t>
  </si>
  <si>
    <t xml:space="preserve">Cyrus Whitley</t>
  </si>
  <si>
    <t xml:space="preserve">Eleanor Hopper</t>
  </si>
  <si>
    <t xml:space="preserve">Forrest Macdonald</t>
  </si>
  <si>
    <t xml:space="preserve">New Caledonia</t>
  </si>
  <si>
    <t xml:space="preserve">Desirae Perkins</t>
  </si>
  <si>
    <t xml:space="preserve">Chile</t>
  </si>
  <si>
    <t xml:space="preserve">Barrett Mckinney</t>
  </si>
  <si>
    <t xml:space="preserve">Basil Vang</t>
  </si>
  <si>
    <t xml:space="preserve">Moldova</t>
  </si>
  <si>
    <t xml:space="preserve">Noel Key</t>
  </si>
  <si>
    <t xml:space="preserve">Gambia</t>
  </si>
  <si>
    <t xml:space="preserve">Ebony Mercer</t>
  </si>
  <si>
    <t xml:space="preserve">Cape Verde</t>
  </si>
  <si>
    <t xml:space="preserve">Isaac Cooper</t>
  </si>
  <si>
    <t xml:space="preserve">Netherlands Antilles</t>
  </si>
  <si>
    <t xml:space="preserve">James Spencer</t>
  </si>
  <si>
    <t xml:space="preserve">Clark Orr</t>
  </si>
  <si>
    <t xml:space="preserve">Phillip Perkins</t>
  </si>
  <si>
    <t xml:space="preserve">Nigeria</t>
  </si>
  <si>
    <t xml:space="preserve">Uriel Benton</t>
  </si>
  <si>
    <t xml:space="preserve">South Africa</t>
  </si>
  <si>
    <t xml:space="preserve">Aretha Patton</t>
  </si>
  <si>
    <t xml:space="preserve">Thomas Barnes</t>
  </si>
  <si>
    <t xml:space="preserve">Mayotte</t>
  </si>
  <si>
    <t xml:space="preserve">Victoria Solis</t>
  </si>
  <si>
    <t xml:space="preserve">Arsenio Knowles</t>
  </si>
  <si>
    <t xml:space="preserve">Ryder Conner</t>
  </si>
  <si>
    <t xml:space="preserve">Virgin Islands, British</t>
  </si>
  <si>
    <t xml:space="preserve">Roary Dixon</t>
  </si>
  <si>
    <t xml:space="preserve">Saudi Arabia</t>
  </si>
  <si>
    <t xml:space="preserve">Silas Battle</t>
  </si>
  <si>
    <t xml:space="preserve">Leonard Cardenas</t>
  </si>
  <si>
    <t xml:space="preserve">Brittany Burris</t>
  </si>
  <si>
    <t xml:space="preserve">Petra Mckenzie</t>
  </si>
  <si>
    <t xml:space="preserve">Morocco</t>
  </si>
  <si>
    <t xml:space="preserve">Angela Wise</t>
  </si>
  <si>
    <t xml:space="preserve">Problem 1a - Instructor Lead</t>
  </si>
  <si>
    <t xml:space="preserve">You were given the small subset of data from your client:</t>
  </si>
  <si>
    <t xml:space="preserve">Your team has been given a list of transactions that require additional follow up.</t>
  </si>
  <si>
    <t xml:space="preserve">Identify the associated distributors below using vlookup:</t>
  </si>
  <si>
    <t xml:space="preserve">Name</t>
  </si>
  <si>
    <t xml:space="preserve">Problem 1b - Instructor Lead</t>
  </si>
  <si>
    <t xml:space="preserve">Using the Sales Data Set tab, lets pull the sales channel for each Distributor ID</t>
  </si>
  <si>
    <t xml:space="preserve">Problem 1c - Student Exercise</t>
  </si>
  <si>
    <t xml:space="preserve">(Note: Unique ID needs to correspond to the lookup value and needs to be at the leftmost column for a VLOOKUP to function properly)</t>
  </si>
  <si>
    <t xml:space="preserve">Unique ID</t>
  </si>
  <si>
    <t xml:space="preserve">Indirect</t>
  </si>
  <si>
    <t xml:space="preserve">Identify the Sales Channel and Quantity amounts associated with the Distributor IDs below.</t>
  </si>
  <si>
    <t xml:space="preserve">(Note: the Lookup value location in your data set above)</t>
  </si>
  <si>
    <t xml:space="preserve">Revenue should be pulled from your Data Set tab</t>
  </si>
  <si>
    <t xml:space="preserve">Problem 2a - Instructor Lead</t>
  </si>
  <si>
    <t xml:space="preserve">You have data that is listed horizontally instead of vertically. How can we use an Hlookup to pull in the associated patient information?</t>
  </si>
  <si>
    <t xml:space="preserve">Height</t>
  </si>
  <si>
    <t xml:space="preserve">Weight</t>
  </si>
  <si>
    <t xml:space="preserve">Shoe Size</t>
  </si>
  <si>
    <t xml:space="preserve">Birth Location</t>
  </si>
  <si>
    <t xml:space="preserve">Address</t>
  </si>
  <si>
    <t xml:space="preserve">Allergies</t>
  </si>
  <si>
    <t xml:space="preserve">6 Foot 10 Inches</t>
  </si>
  <si>
    <t xml:space="preserve">125 Pounds</t>
  </si>
  <si>
    <t xml:space="preserve">Bhutan</t>
  </si>
  <si>
    <t xml:space="preserve">123 Highway Ave</t>
  </si>
  <si>
    <t xml:space="preserve">Computers</t>
  </si>
  <si>
    <t xml:space="preserve">Required Information</t>
  </si>
  <si>
    <t xml:space="preserve">Value</t>
  </si>
  <si>
    <t xml:space="preserve">Problem 2b - Student Lead</t>
  </si>
  <si>
    <t xml:space="preserve">Summarize below table for Malawi and Malaysia.</t>
  </si>
  <si>
    <t xml:space="preserve">Product </t>
  </si>
  <si>
    <t xml:space="preserve">Super Soft Bulk - 2 Litres</t>
  </si>
  <si>
    <t xml:space="preserve">Pure Soft Detergent - 250ml</t>
  </si>
  <si>
    <t xml:space="preserve">Problem 3a - Instructor Lead</t>
  </si>
  <si>
    <t xml:space="preserve">Nest V-lookup with Iferror and pull the Name associated with the Distributor ID.</t>
  </si>
  <si>
    <t xml:space="preserve">Problem 3b - Student Lead</t>
  </si>
  <si>
    <t xml:space="preserve">Use the Sales Data Set to pull the Unit Price for each Distributor ID.</t>
  </si>
  <si>
    <t xml:space="preserve">Average Unit Price</t>
  </si>
  <si>
    <t xml:space="preserve">Identify  the associated distributors below using vlookup:</t>
  </si>
  <si>
    <t xml:space="preserve">Problem 1c - Student Exersise</t>
  </si>
  <si>
    <t xml:space="preserve">Section 1 - Student Exercises</t>
  </si>
  <si>
    <t xml:space="preserve">Problem 1</t>
  </si>
  <si>
    <t xml:space="preserve">Problem 2</t>
  </si>
  <si>
    <t xml:space="preserve">Problem 3</t>
  </si>
  <si>
    <t xml:space="preserve">Problem 4</t>
  </si>
  <si>
    <t xml:space="preserve">Section 1 - Student Exercise Answers</t>
  </si>
  <si>
    <t xml:space="preserve">Culminating Exercise</t>
  </si>
  <si>
    <t xml:space="preserve">Culminating Exercise Answers</t>
  </si>
  <si>
    <t xml:space="preserve">=VLOOKUP(C118,D1_SALES_DATA,VLOOKUP($D$114,$G$114:$H$116,2,FALSE),0)</t>
  </si>
</sst>
</file>

<file path=xl/styles.xml><?xml version="1.0" encoding="utf-8"?>
<styleSheet xmlns="http://schemas.openxmlformats.org/spreadsheetml/2006/main">
  <numFmts count="13">
    <numFmt numFmtId="164" formatCode="_(* #,##0_);_(* \(#,##0\);_(* \-_);@_)"/>
    <numFmt numFmtId="165" formatCode="General"/>
    <numFmt numFmtId="166" formatCode="0%_);\(0%\)"/>
    <numFmt numFmtId="167" formatCode="#,##0"/>
    <numFmt numFmtId="168" formatCode="_(\$* #,##0.00_);_(\$* \(#,##0.00\);_(\$* \-??_);_(@_)"/>
    <numFmt numFmtId="169" formatCode="\$#,##0.00_);[RED]&quot;($&quot;#,##0.00\)"/>
    <numFmt numFmtId="170" formatCode="_(\$* #,##0_);_(\$* \(#,##0\);_(\$* \-??_);_(@_)"/>
    <numFmt numFmtId="171" formatCode="M/D/YYYY"/>
    <numFmt numFmtId="172" formatCode="0"/>
    <numFmt numFmtId="173" formatCode="0%"/>
    <numFmt numFmtId="174" formatCode="0.0%"/>
    <numFmt numFmtId="175" formatCode="D\-MMM"/>
    <numFmt numFmtId="176" formatCode="_(* #,##0.00_);_(* \(#,##0.00\);_(* \-_);@_)"/>
  </numFmts>
  <fonts count="32">
    <font>
      <sz val="9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9"/>
      <color rgb="FF602320"/>
      <name val="Calibri"/>
      <family val="2"/>
      <charset val="1"/>
    </font>
    <font>
      <sz val="8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11"/>
      <color rgb="FF602320"/>
      <name val="Calibri"/>
      <family val="2"/>
      <charset val="1"/>
    </font>
    <font>
      <b val="true"/>
      <sz val="14"/>
      <color rgb="FF7A1818"/>
      <name val="Calibri"/>
      <family val="2"/>
      <charset val="1"/>
    </font>
    <font>
      <b val="true"/>
      <sz val="10"/>
      <color rgb="FF7A1818"/>
      <name val="Arial"/>
      <family val="2"/>
      <charset val="1"/>
    </font>
    <font>
      <sz val="10"/>
      <color rgb="FF000000"/>
      <name val="Arial"/>
      <family val="2"/>
      <charset val="1"/>
    </font>
    <font>
      <i val="true"/>
      <sz val="10"/>
      <color rgb="FF00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0"/>
      <color rgb="FFE0301E"/>
      <name val="Arial"/>
      <family val="2"/>
      <charset val="1"/>
    </font>
    <font>
      <b val="true"/>
      <i val="true"/>
      <sz val="10"/>
      <color rgb="FFFFFFFF"/>
      <name val="Arial"/>
      <family val="2"/>
      <charset val="1"/>
    </font>
    <font>
      <sz val="10"/>
      <color rgb="FF602320"/>
      <name val="Arial"/>
      <family val="2"/>
      <charset val="1"/>
    </font>
    <font>
      <i val="true"/>
      <sz val="10"/>
      <color rgb="FFE0301E"/>
      <name val="Arial"/>
      <family val="2"/>
      <charset val="1"/>
    </font>
    <font>
      <b val="true"/>
      <sz val="11"/>
      <color rgb="FFDC69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b val="true"/>
      <u val="single"/>
      <sz val="14"/>
      <color rgb="FF602320"/>
      <name val="Calibri"/>
      <family val="2"/>
      <charset val="1"/>
    </font>
    <font>
      <sz val="10"/>
      <color rgb="FFA3202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0"/>
      <name val="Arial"/>
      <family val="2"/>
      <charset val="1"/>
    </font>
    <font>
      <sz val="10"/>
      <color rgb="FFDB536A"/>
      <name val="Arial"/>
      <family val="2"/>
      <charset val="1"/>
    </font>
    <font>
      <b val="true"/>
      <sz val="12"/>
      <color rgb="FF000000"/>
      <name val="Calibri"/>
      <family val="0"/>
      <charset val="1"/>
    </font>
    <font>
      <b val="true"/>
      <sz val="10"/>
      <color rgb="FFE0301E"/>
      <name val="Arial"/>
      <family val="2"/>
      <charset val="1"/>
    </font>
    <font>
      <i val="true"/>
      <sz val="10"/>
      <color rgb="FFFF0000"/>
      <name val="Arial"/>
      <family val="2"/>
      <charset val="1"/>
    </font>
    <font>
      <sz val="10"/>
      <color rgb="FFFF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CD4B6"/>
        <bgColor rgb="FFECC7C6"/>
      </patternFill>
    </fill>
    <fill>
      <patternFill patternType="solid">
        <fgColor rgb="FFE8E6DF"/>
        <bgColor rgb="FFFCD4B6"/>
      </patternFill>
    </fill>
    <fill>
      <patternFill patternType="solid">
        <fgColor rgb="FFFFFFFF"/>
        <bgColor rgb="FFE8E6DF"/>
      </patternFill>
    </fill>
    <fill>
      <patternFill patternType="solid">
        <fgColor rgb="FF602320"/>
        <bgColor rgb="FF7A1818"/>
      </patternFill>
    </fill>
    <fill>
      <patternFill patternType="solid">
        <fgColor rgb="FFA32020"/>
        <bgColor rgb="FF7A1818"/>
      </patternFill>
    </fill>
    <fill>
      <patternFill patternType="solid">
        <fgColor rgb="FFFFB6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B600"/>
      </patternFill>
    </fill>
  </fills>
  <borders count="9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602320"/>
      </bottom>
      <diagonal/>
    </border>
    <border diagonalUp="false" diagonalDown="false">
      <left/>
      <right/>
      <top style="medium">
        <color rgb="FF602320"/>
      </top>
      <bottom/>
      <diagonal/>
    </border>
    <border diagonalUp="false" diagonalDown="false">
      <left/>
      <right/>
      <top style="thin">
        <color rgb="FF602320"/>
      </top>
      <bottom/>
      <diagonal/>
    </border>
    <border diagonalUp="false" diagonalDown="false">
      <left/>
      <right/>
      <top style="thin">
        <color rgb="FF602320"/>
      </top>
      <bottom style="medium">
        <color rgb="FF602320"/>
      </bottom>
      <diagonal/>
    </border>
    <border diagonalUp="false" diagonalDown="false">
      <left/>
      <right/>
      <top/>
      <bottom style="thin">
        <color rgb="FF602320"/>
      </bottom>
      <diagonal/>
    </border>
    <border diagonalUp="false" diagonalDown="false">
      <left/>
      <right/>
      <top style="thin">
        <color rgb="FF602320"/>
      </top>
      <bottom style="thin">
        <color rgb="FF602320"/>
      </bottom>
      <diagonal/>
    </border>
    <border diagonalUp="false" diagonalDown="false">
      <left/>
      <right/>
      <top/>
      <bottom style="thin">
        <color rgb="FFA32020"/>
      </bottom>
      <diagonal/>
    </border>
    <border diagonalUp="false" diagonalDown="false">
      <left/>
      <right/>
      <top style="thin">
        <color rgb="FFA32020"/>
      </top>
      <bottom style="thin">
        <color rgb="FFA32020"/>
      </bottom>
      <diagonal/>
    </border>
  </borders>
  <cellStyleXfs count="3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73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true" applyAlignment="true" applyProtection="false">
      <alignment horizontal="general" vertical="bottom" textRotation="0" wrapText="false" indent="0" shrinkToFit="false"/>
    </xf>
    <xf numFmtId="165" fontId="5" fillId="0" borderId="1" applyFont="true" applyBorder="true" applyAlignment="true" applyProtection="false">
      <alignment horizontal="right" vertical="bottom" textRotation="0" wrapText="true" indent="0" shrinkToFit="false"/>
    </xf>
    <xf numFmtId="165" fontId="5" fillId="0" borderId="0" applyFont="true" applyBorder="true" applyAlignment="true" applyProtection="false">
      <alignment horizontal="general" vertical="bottom" textRotation="0" wrapText="true" indent="0" shrinkToFit="false"/>
    </xf>
    <xf numFmtId="165" fontId="5" fillId="0" borderId="2" applyFont="true" applyBorder="true" applyAlignment="true" applyProtection="false">
      <alignment horizontal="general" vertical="bottom" textRotation="0" wrapText="true" indent="0" shrinkToFit="false"/>
    </xf>
    <xf numFmtId="164" fontId="7" fillId="0" borderId="3" applyFont="true" applyBorder="true" applyAlignment="true" applyProtection="false">
      <alignment horizontal="general" vertical="bottom" textRotation="0" wrapText="false" indent="0" shrinkToFit="false"/>
    </xf>
    <xf numFmtId="165" fontId="8" fillId="0" borderId="0" applyFont="true" applyBorder="true" applyAlignment="true" applyProtection="false">
      <alignment horizontal="general" vertical="bottom" textRotation="0" wrapText="false" indent="0" shrinkToFit="false"/>
    </xf>
    <xf numFmtId="164" fontId="7" fillId="0" borderId="4" applyFont="true" applyBorder="true" applyAlignment="true" applyProtection="false">
      <alignment horizontal="general" vertical="bottom" textRotation="0" wrapText="false" indent="0" shrinkToFit="false"/>
    </xf>
  </cellStyleXfs>
  <cellXfs count="1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7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5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1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5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4" fillId="4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4" borderId="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4" fillId="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4" fillId="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5" fillId="4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1" fillId="4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6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2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3" fillId="5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13" fillId="5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5" fontId="13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13" fillId="5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3" fillId="5" borderId="0" xfId="17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13" fillId="5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7" fillId="5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8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18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2" fontId="18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18" fillId="0" borderId="6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0" fontId="4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4" fontId="11" fillId="0" borderId="6" xfId="1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1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18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9" fillId="4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8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8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8" fillId="0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8" fillId="4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1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4" fillId="0" borderId="4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14" fillId="0" borderId="4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19" fillId="4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9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4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5" fontId="23" fillId="0" borderId="0" xfId="3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4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4" fillId="4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4" borderId="7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" fillId="4" borderId="8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4" borderId="7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4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4" fillId="4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4" fillId="4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3" fillId="6" borderId="0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4" fillId="0" borderId="0" xfId="2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25" fillId="4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1" fillId="7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6" fillId="4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3" fillId="6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5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3" fillId="5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5" fontId="11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2" fontId="11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1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3" fillId="5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7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27" fillId="0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3" fillId="5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5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4" fillId="4" borderId="8" xfId="1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4" fillId="4" borderId="7" xfId="1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6" fontId="13" fillId="5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14" fillId="7" borderId="6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9" fontId="14" fillId="7" borderId="6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4" fillId="4" borderId="7" xfId="17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68" fontId="14" fillId="7" borderId="6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4" fillId="8" borderId="7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8" borderId="8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7" borderId="5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11" fillId="7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0" borderId="0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29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4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9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6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30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4" fillId="4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7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4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3" fillId="5" borderId="5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9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31" fillId="4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26" fillId="0" borderId="0" xfId="2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11" fillId="4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</cellXfs>
  <cellStyles count="19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  <cellStyle name="Smart Bold" xfId="21" builtinId="53" customBuiltin="true"/>
    <cellStyle name="Smart Forecast" xfId="22" builtinId="53" customBuiltin="true"/>
    <cellStyle name="Smart General" xfId="23" builtinId="53" customBuiltin="true"/>
    <cellStyle name="Smart Highlight" xfId="24" builtinId="53" customBuiltin="true"/>
    <cellStyle name="Smart Percent" xfId="25" builtinId="53" customBuiltin="true"/>
    <cellStyle name="Smart Source" xfId="26" builtinId="53" customBuiltin="true"/>
    <cellStyle name="Smart Subtitle 1" xfId="27" builtinId="53" customBuiltin="true"/>
    <cellStyle name="Smart Subtitle 2" xfId="28" builtinId="53" customBuiltin="true"/>
    <cellStyle name="Smart Subtitle 3" xfId="29" builtinId="53" customBuiltin="true"/>
    <cellStyle name="Smart Subtotal" xfId="30" builtinId="53" customBuiltin="true"/>
    <cellStyle name="Smart Title" xfId="31" builtinId="53" customBuiltin="true"/>
    <cellStyle name="Smart Total" xfId="32" builtinId="53" customBuiltin="true"/>
  </cellStyles>
  <dxfs count="5"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  <dxf>
      <fill>
        <patternFill>
          <bgColor rgb="FFECC7C6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A1818"/>
      <rgbColor rgb="FF008000"/>
      <rgbColor rgb="FF000080"/>
      <rgbColor rgb="FF808000"/>
      <rgbColor rgb="FF800080"/>
      <rgbColor rgb="FF008080"/>
      <rgbColor rgb="FFECC7C6"/>
      <rgbColor rgb="FF808080"/>
      <rgbColor rgb="FF9999FF"/>
      <rgbColor rgb="FFE0301E"/>
      <rgbColor rgb="FFE8E6DF"/>
      <rgbColor rgb="FFCCFFFF"/>
      <rgbColor rgb="FF660066"/>
      <rgbColor rgb="FFDB536A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998A6"/>
      <rgbColor rgb="FFCC99FF"/>
      <rgbColor rgb="FFFCD4B6"/>
      <rgbColor rgb="FF3366FF"/>
      <rgbColor rgb="FF33CCCC"/>
      <rgbColor rgb="FF99CC00"/>
      <rgbColor rgb="FFFFC000"/>
      <rgbColor rgb="FFFFB600"/>
      <rgbColor rgb="FFDC6900"/>
      <rgbColor rgb="FF666699"/>
      <rgbColor rgb="FF969696"/>
      <rgbColor rgb="FF003366"/>
      <rgbColor rgb="FF339966"/>
      <rgbColor rgb="FF003300"/>
      <rgbColor rgb="FF333300"/>
      <rgbColor rgb="FFA32020"/>
      <rgbColor rgb="FF993366"/>
      <rgbColor rgb="FF333399"/>
      <rgbColor rgb="FF6023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1.xml"/><Relationship Id="rId1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mjacobs040/Documents/Internal%20Work/Modeling/MOOC/Index%20Match%20Template%20Update%20MJ.xlsx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Users/dman003/Downloads/Index%20Match%20Template.xlsx" TargetMode="External"/>
</Relationships>
</file>

<file path=xl/externalLinks/_rels/externalLink3.xml.rels><?xml version="1.0" encoding="UTF-8"?>
<Relationships xmlns="http://schemas.openxmlformats.org/package/2006/relationships"><Relationship Id="rId1" Type="http://schemas.openxmlformats.org/officeDocument/2006/relationships/externalLinkPath" Target="Users/mthiede001/Desktop/Course%202%20student%20exercises/Problem%20Solving%20With%20Excel%20_Week%204_Index%20Match_Student%20Version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/>
      <sheetData sheetId="3"/>
      <sheetData sheetId="4"/>
    </sheetDataSet>
  </externalBook>
</externalLink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3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6" activeCellId="0" sqref="N16"/>
    </sheetView>
  </sheetViews>
  <sheetFormatPr defaultRowHeight="12" zeroHeight="false" outlineLevelRow="0" outlineLevelCol="0"/>
  <cols>
    <col collapsed="false" customWidth="true" hidden="false" outlineLevel="0" max="1025" min="1" style="0" width="9"/>
  </cols>
  <sheetData>
    <row r="1" customFormat="false" ht="18.5" hidden="false" customHeight="false" outlineLevel="0" collapsed="false">
      <c r="A1" s="1" t="s">
        <v>0</v>
      </c>
    </row>
    <row r="2" customFormat="false" ht="18.5" hidden="false" customHeight="false" outlineLevel="0" collapsed="false">
      <c r="A2" s="1" t="s">
        <v>1</v>
      </c>
    </row>
    <row r="3" customFormat="false" ht="18.5" hidden="false" customHeight="false" outlineLevel="0" collapsed="false">
      <c r="A3" s="1" t="s">
        <v>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"/>
  <sheetViews>
    <sheetView showFormulas="false" showGridLines="false" showRowColHeaders="true" showZeros="true" rightToLeft="false" tabSelected="false" showOutlineSymbols="true" defaultGridColor="true" view="normal" topLeftCell="A1" colorId="64" zoomScale="125" zoomScaleNormal="125" zoomScalePageLayoutView="100" workbookViewId="0">
      <selection pane="topLeft" activeCell="D1" activeCellId="0" sqref="D1"/>
    </sheetView>
  </sheetViews>
  <sheetFormatPr defaultRowHeight="12" zeroHeight="false" outlineLevelRow="0" outlineLevelCol="0"/>
  <cols>
    <col collapsed="false" customWidth="true" hidden="false" outlineLevel="0" max="1" min="1" style="0" width="7.44"/>
    <col collapsed="false" customWidth="true" hidden="false" outlineLevel="0" max="2" min="2" style="0" width="41"/>
    <col collapsed="false" customWidth="true" hidden="false" outlineLevel="0" max="3" min="3" style="0" width="33"/>
    <col collapsed="false" customWidth="true" hidden="false" outlineLevel="0" max="1025" min="4" style="0" width="7.44"/>
  </cols>
  <sheetData>
    <row r="1" customFormat="false" ht="13" hidden="false" customHeight="false" outlineLevel="0" collapsed="false">
      <c r="A1" s="2" t="str">
        <f aca="false">'Cover Page'!A1</f>
        <v>Problem Solving With Excel </v>
      </c>
    </row>
    <row r="2" customFormat="false" ht="13" hidden="false" customHeight="false" outlineLevel="0" collapsed="false">
      <c r="A2" s="2" t="str">
        <f aca="false">'Cover Page'!A2</f>
        <v>Week 2</v>
      </c>
    </row>
    <row r="3" customFormat="false" ht="13" hidden="false" customHeight="false" outlineLevel="0" collapsed="false">
      <c r="A3" s="2" t="str">
        <f aca="false">'Cover Page'!A3</f>
        <v>Vlookup</v>
      </c>
    </row>
    <row r="4" customFormat="false" ht="13" hidden="false" customHeight="false" outlineLevel="0" collapsed="false">
      <c r="A4" s="2" t="s">
        <v>3</v>
      </c>
    </row>
    <row r="7" customFormat="false" ht="12.5" hidden="false" customHeight="false" outlineLevel="0" collapsed="false">
      <c r="B7" s="3" t="s">
        <v>4</v>
      </c>
      <c r="C7" s="3" t="s">
        <v>5</v>
      </c>
    </row>
    <row r="8" customFormat="false" ht="12" hidden="false" customHeight="false" outlineLevel="0" collapsed="false">
      <c r="B8" s="0" t="s">
        <v>6</v>
      </c>
      <c r="C8" s="0" t="s">
        <v>7</v>
      </c>
    </row>
    <row r="9" customFormat="false" ht="12" hidden="false" customHeight="false" outlineLevel="0" collapsed="false">
      <c r="B9" s="0" t="s">
        <v>8</v>
      </c>
      <c r="C9" s="0" t="s">
        <v>9</v>
      </c>
    </row>
    <row r="10" customFormat="false" ht="12" hidden="false" customHeight="false" outlineLevel="0" collapsed="false">
      <c r="B10" s="0" t="s">
        <v>10</v>
      </c>
      <c r="C10" s="0" t="s">
        <v>11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000000"/>
    <pageSetUpPr fitToPage="false"/>
  </sheetPr>
  <dimension ref="A1:R124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F1" activeCellId="0" sqref="F1"/>
    </sheetView>
  </sheetViews>
  <sheetFormatPr defaultRowHeight="12.5" zeroHeight="false" outlineLevelRow="0" outlineLevelCol="0"/>
  <cols>
    <col collapsed="false" customWidth="true" hidden="false" outlineLevel="0" max="2" min="1" style="4" width="5.44"/>
    <col collapsed="false" customWidth="true" hidden="false" outlineLevel="0" max="3" min="3" style="4" width="16.45"/>
    <col collapsed="false" customWidth="true" hidden="false" outlineLevel="0" max="4" min="4" style="4" width="34"/>
    <col collapsed="false" customWidth="true" hidden="false" outlineLevel="0" max="5" min="5" style="4" width="23.55"/>
    <col collapsed="false" customWidth="true" hidden="false" outlineLevel="0" max="6" min="6" style="4" width="16"/>
    <col collapsed="false" customWidth="true" hidden="false" outlineLevel="0" max="7" min="7" style="4" width="29.22"/>
    <col collapsed="false" customWidth="true" hidden="false" outlineLevel="0" max="8" min="8" style="4" width="19.22"/>
    <col collapsed="false" customWidth="true" hidden="false" outlineLevel="0" max="9" min="9" style="4" width="14.55"/>
    <col collapsed="false" customWidth="true" hidden="false" outlineLevel="0" max="10" min="10" style="4" width="22.77"/>
    <col collapsed="false" customWidth="true" hidden="false" outlineLevel="0" max="11" min="11" style="4" width="24.22"/>
    <col collapsed="false" customWidth="true" hidden="false" outlineLevel="0" max="12" min="12" style="4" width="23"/>
    <col collapsed="false" customWidth="true" hidden="false" outlineLevel="0" max="13" min="13" style="4" width="9.44"/>
    <col collapsed="false" customWidth="true" hidden="false" outlineLevel="0" max="14" min="14" style="4" width="11.44"/>
    <col collapsed="false" customWidth="true" hidden="false" outlineLevel="0" max="16" min="15" style="4" width="9.44"/>
    <col collapsed="false" customWidth="true" hidden="false" outlineLevel="0" max="17" min="17" style="4" width="11.44"/>
    <col collapsed="false" customWidth="true" hidden="false" outlineLevel="0" max="1025" min="18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6</v>
      </c>
    </row>
    <row r="7" customFormat="false" ht="13" hidden="false" customHeight="false" outlineLevel="0" collapsed="false">
      <c r="C7" s="6"/>
      <c r="D7" s="6"/>
      <c r="E7" s="6"/>
      <c r="F7" s="6"/>
      <c r="G7" s="6"/>
      <c r="H7" s="6"/>
      <c r="I7" s="7"/>
      <c r="J7" s="8" t="s">
        <v>12</v>
      </c>
      <c r="K7" s="8" t="s">
        <v>13</v>
      </c>
      <c r="L7" s="8" t="s">
        <v>14</v>
      </c>
      <c r="M7" s="9"/>
      <c r="N7" s="6"/>
      <c r="O7" s="6"/>
      <c r="P7" s="6"/>
      <c r="Q7" s="6"/>
      <c r="R7" s="6"/>
    </row>
    <row r="8" customFormat="false" ht="13" hidden="false" customHeight="false" outlineLevel="0" collapsed="false">
      <c r="C8" s="6"/>
      <c r="D8" s="6"/>
      <c r="E8" s="6"/>
      <c r="F8" s="6"/>
      <c r="G8" s="6"/>
      <c r="H8" s="6"/>
      <c r="I8" s="10" t="s">
        <v>15</v>
      </c>
      <c r="J8" s="11" t="n">
        <f aca="false">SUM(D1_Quantity_Sold)</f>
        <v>10627</v>
      </c>
      <c r="K8" s="12" t="n">
        <f aca="false">L8/J8</f>
        <v>6.74532887926978</v>
      </c>
      <c r="L8" s="13" t="n">
        <f aca="false">SUM(D1_Revenue)</f>
        <v>71682.61</v>
      </c>
      <c r="M8" s="9"/>
      <c r="N8" s="6"/>
      <c r="O8" s="6"/>
      <c r="P8" s="6"/>
      <c r="Q8" s="6"/>
      <c r="R8" s="6"/>
    </row>
    <row r="9" customFormat="false" ht="13" hidden="false" customHeight="false" outlineLevel="0" collapsed="false">
      <c r="C9" s="6"/>
      <c r="D9" s="6"/>
      <c r="E9" s="6"/>
      <c r="F9" s="6"/>
      <c r="G9" s="6"/>
      <c r="H9" s="6"/>
      <c r="I9" s="14" t="s">
        <v>16</v>
      </c>
      <c r="J9" s="11" t="n">
        <f aca="false">SUBTOTAL(9,D1_Quantity_Sold)</f>
        <v>10627</v>
      </c>
      <c r="K9" s="12" t="n">
        <f aca="false">L9/J9</f>
        <v>6.74532887926978</v>
      </c>
      <c r="L9" s="13" t="n">
        <f aca="false">SUBTOTAL(9,D1_Revenue)</f>
        <v>71682.61</v>
      </c>
      <c r="M9" s="9"/>
      <c r="N9" s="6"/>
      <c r="O9" s="6"/>
      <c r="P9" s="6"/>
      <c r="Q9" s="6"/>
      <c r="R9" s="6"/>
    </row>
    <row r="10" customFormat="false" ht="12.5" hidden="false" customHeight="false" outlineLevel="0" collapsed="false">
      <c r="C10" s="15"/>
      <c r="D10" s="15"/>
      <c r="E10" s="15"/>
      <c r="F10" s="15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customFormat="false" ht="12.5" hidden="false" customHeight="false" outlineLevel="0" collapsed="false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customFormat="false" ht="13" hidden="false" customHeight="false" outlineLevel="0" collapsed="false">
      <c r="O12" s="17"/>
      <c r="P12" s="17"/>
      <c r="Q12" s="17"/>
      <c r="R12" s="17"/>
    </row>
    <row r="13" customFormat="false" ht="13" hidden="false" customHeight="false" outlineLevel="0" collapsed="false">
      <c r="L13" s="18"/>
      <c r="M13" s="9"/>
      <c r="N13" s="6"/>
      <c r="O13" s="6"/>
      <c r="P13" s="6"/>
      <c r="Q13" s="6"/>
      <c r="R13" s="6"/>
    </row>
    <row r="14" customFormat="false" ht="26" hidden="false" customHeight="false" outlineLevel="0" collapsed="false">
      <c r="C14" s="19" t="s">
        <v>17</v>
      </c>
      <c r="D14" s="19" t="s">
        <v>18</v>
      </c>
      <c r="E14" s="19" t="s">
        <v>19</v>
      </c>
      <c r="F14" s="19" t="s">
        <v>20</v>
      </c>
      <c r="G14" s="20" t="s">
        <v>21</v>
      </c>
      <c r="H14" s="20" t="s">
        <v>22</v>
      </c>
      <c r="I14" s="21" t="s">
        <v>23</v>
      </c>
      <c r="J14" s="22" t="s">
        <v>24</v>
      </c>
      <c r="K14" s="23" t="s">
        <v>25</v>
      </c>
      <c r="L14" s="23" t="s">
        <v>26</v>
      </c>
      <c r="M14" s="9"/>
      <c r="N14" s="24" t="s">
        <v>27</v>
      </c>
      <c r="O14" s="24" t="s">
        <v>28</v>
      </c>
      <c r="P14" s="6"/>
      <c r="Q14" s="23" t="s">
        <v>29</v>
      </c>
      <c r="R14" s="25" t="s">
        <v>30</v>
      </c>
    </row>
    <row r="15" customFormat="false" ht="13" hidden="false" customHeight="false" outlineLevel="0" collapsed="false">
      <c r="C15" s="26" t="n">
        <v>23345</v>
      </c>
      <c r="D15" s="26" t="s">
        <v>31</v>
      </c>
      <c r="E15" s="26" t="s">
        <v>32</v>
      </c>
      <c r="F15" s="26" t="s">
        <v>33</v>
      </c>
      <c r="G15" s="26" t="s">
        <v>34</v>
      </c>
      <c r="H15" s="27" t="n">
        <v>41150</v>
      </c>
      <c r="I15" s="28" t="n">
        <f aca="false">VALUE(MONTH(H15))</f>
        <v>8</v>
      </c>
      <c r="J15" s="29" t="n">
        <v>208</v>
      </c>
      <c r="K15" s="30" t="n">
        <v>14.5</v>
      </c>
      <c r="L15" s="31" t="n">
        <f aca="false">K15*J15</f>
        <v>3016</v>
      </c>
      <c r="M15" s="32"/>
      <c r="N15" s="33" t="n">
        <f aca="false">J15/$J$123</f>
        <v>0.0195727862990496</v>
      </c>
      <c r="O15" s="33" t="n">
        <f aca="false">L15/$L$123</f>
        <v>0.0420743608526531</v>
      </c>
      <c r="P15" s="34"/>
      <c r="Q15" s="35" t="n">
        <v>3016</v>
      </c>
      <c r="R15" s="36" t="n">
        <f aca="false">IF(Q15=L15,0,1)</f>
        <v>0</v>
      </c>
    </row>
    <row r="16" customFormat="false" ht="13" hidden="false" customHeight="false" outlineLevel="0" collapsed="false">
      <c r="C16" s="26" t="n">
        <v>23278</v>
      </c>
      <c r="D16" s="26" t="s">
        <v>35</v>
      </c>
      <c r="E16" s="26" t="s">
        <v>36</v>
      </c>
      <c r="F16" s="26" t="s">
        <v>33</v>
      </c>
      <c r="G16" s="26" t="s">
        <v>37</v>
      </c>
      <c r="H16" s="27" t="n">
        <v>41145</v>
      </c>
      <c r="I16" s="28" t="n">
        <f aca="false">VALUE(MONTH(H16))</f>
        <v>8</v>
      </c>
      <c r="J16" s="29" t="n">
        <v>197</v>
      </c>
      <c r="K16" s="30" t="n">
        <v>14.5</v>
      </c>
      <c r="L16" s="31" t="n">
        <f aca="false">K16*J16</f>
        <v>2856.5</v>
      </c>
      <c r="M16" s="32"/>
      <c r="N16" s="33" t="n">
        <f aca="false">J16/$J$123</f>
        <v>0.0185376870236191</v>
      </c>
      <c r="O16" s="33" t="n">
        <f aca="false">L16/$L$123</f>
        <v>0.039849274461407</v>
      </c>
      <c r="P16" s="34"/>
      <c r="Q16" s="35" t="n">
        <v>2856.5</v>
      </c>
      <c r="R16" s="36" t="n">
        <f aca="false">IF(Q16=L16,0,1)</f>
        <v>0</v>
      </c>
    </row>
    <row r="17" customFormat="false" ht="13" hidden="false" customHeight="false" outlineLevel="0" collapsed="false">
      <c r="C17" s="26" t="n">
        <v>23303</v>
      </c>
      <c r="D17" s="26" t="s">
        <v>38</v>
      </c>
      <c r="E17" s="37" t="s">
        <v>39</v>
      </c>
      <c r="F17" s="37" t="s">
        <v>33</v>
      </c>
      <c r="G17" s="26" t="s">
        <v>40</v>
      </c>
      <c r="H17" s="27" t="n">
        <v>41138</v>
      </c>
      <c r="I17" s="28" t="n">
        <f aca="false">VALUE(MONTH(H17))</f>
        <v>8</v>
      </c>
      <c r="J17" s="29" t="n">
        <v>176</v>
      </c>
      <c r="K17" s="30" t="n">
        <v>14.5</v>
      </c>
      <c r="L17" s="31" t="n">
        <f aca="false">K17*J17</f>
        <v>2552</v>
      </c>
      <c r="M17" s="32"/>
      <c r="N17" s="33" t="n">
        <f aca="false">J17/$J$123</f>
        <v>0.0165615884068881</v>
      </c>
      <c r="O17" s="33" t="n">
        <f aca="false">L17/$L$123</f>
        <v>0.0356013822599373</v>
      </c>
      <c r="P17" s="34"/>
      <c r="Q17" s="35" t="n">
        <v>2552</v>
      </c>
      <c r="R17" s="36" t="n">
        <f aca="false">IF(Q17=L17,0,1)</f>
        <v>0</v>
      </c>
    </row>
    <row r="18" customFormat="false" ht="13" hidden="false" customHeight="false" outlineLevel="0" collapsed="false">
      <c r="C18" s="38" t="n">
        <v>23353</v>
      </c>
      <c r="D18" s="38" t="s">
        <v>41</v>
      </c>
      <c r="E18" s="39" t="s">
        <v>42</v>
      </c>
      <c r="F18" s="39" t="s">
        <v>33</v>
      </c>
      <c r="G18" s="26" t="s">
        <v>37</v>
      </c>
      <c r="H18" s="27" t="n">
        <v>41070</v>
      </c>
      <c r="I18" s="28" t="n">
        <f aca="false">VALUE(MONTH(H18))</f>
        <v>6</v>
      </c>
      <c r="J18" s="29" t="n">
        <v>168</v>
      </c>
      <c r="K18" s="30" t="n">
        <v>14.5</v>
      </c>
      <c r="L18" s="31" t="n">
        <f aca="false">K18*J18</f>
        <v>2436</v>
      </c>
      <c r="M18" s="32"/>
      <c r="N18" s="33" t="n">
        <f aca="false">J18/$J$123</f>
        <v>0.0158087889338477</v>
      </c>
      <c r="O18" s="33" t="n">
        <f aca="false">L18/$L$123</f>
        <v>0.0339831376117583</v>
      </c>
      <c r="P18" s="34"/>
      <c r="Q18" s="35" t="n">
        <v>2436</v>
      </c>
      <c r="R18" s="36" t="n">
        <f aca="false">IF(Q18=L18,0,1)</f>
        <v>0</v>
      </c>
    </row>
    <row r="19" customFormat="false" ht="13" hidden="false" customHeight="false" outlineLevel="0" collapsed="false">
      <c r="C19" s="26" t="n">
        <v>23289</v>
      </c>
      <c r="D19" s="26" t="s">
        <v>43</v>
      </c>
      <c r="E19" s="37" t="s">
        <v>44</v>
      </c>
      <c r="F19" s="37" t="s">
        <v>33</v>
      </c>
      <c r="G19" s="26" t="s">
        <v>40</v>
      </c>
      <c r="H19" s="27" t="n">
        <v>41123</v>
      </c>
      <c r="I19" s="28" t="n">
        <f aca="false">VALUE(MONTH(H19))</f>
        <v>8</v>
      </c>
      <c r="J19" s="29" t="n">
        <v>166</v>
      </c>
      <c r="K19" s="30" t="n">
        <v>14.5</v>
      </c>
      <c r="L19" s="31" t="n">
        <f aca="false">K19*J19</f>
        <v>2407</v>
      </c>
      <c r="M19" s="32"/>
      <c r="N19" s="33" t="n">
        <f aca="false">J19/$J$123</f>
        <v>0.0156205890655877</v>
      </c>
      <c r="O19" s="33" t="n">
        <f aca="false">L19/$L$123</f>
        <v>0.0335785764497135</v>
      </c>
      <c r="P19" s="34"/>
      <c r="Q19" s="35" t="n">
        <v>2407</v>
      </c>
      <c r="R19" s="36" t="n">
        <f aca="false">IF(Q19=L19,0,1)</f>
        <v>0</v>
      </c>
    </row>
    <row r="20" customFormat="false" ht="13" hidden="false" customHeight="false" outlineLevel="0" collapsed="false">
      <c r="C20" s="26" t="n">
        <v>23378</v>
      </c>
      <c r="D20" s="26" t="s">
        <v>45</v>
      </c>
      <c r="E20" s="37" t="s">
        <v>46</v>
      </c>
      <c r="F20" s="37" t="s">
        <v>33</v>
      </c>
      <c r="G20" s="26" t="s">
        <v>34</v>
      </c>
      <c r="H20" s="27" t="n">
        <v>41078</v>
      </c>
      <c r="I20" s="28" t="n">
        <f aca="false">VALUE(MONTH(H20))</f>
        <v>6</v>
      </c>
      <c r="J20" s="29" t="n">
        <v>157</v>
      </c>
      <c r="K20" s="30" t="n">
        <v>14.5</v>
      </c>
      <c r="L20" s="31" t="n">
        <f aca="false">K20*J20</f>
        <v>2276.5</v>
      </c>
      <c r="M20" s="32"/>
      <c r="N20" s="33" t="n">
        <f aca="false">J20/$J$123</f>
        <v>0.0147736896584172</v>
      </c>
      <c r="O20" s="33" t="n">
        <f aca="false">L20/$L$123</f>
        <v>0.0317580512205122</v>
      </c>
      <c r="P20" s="34"/>
      <c r="Q20" s="35" t="n">
        <v>2276.5</v>
      </c>
      <c r="R20" s="36" t="n">
        <f aca="false">IF(Q20=L20,0,1)</f>
        <v>0</v>
      </c>
    </row>
    <row r="21" customFormat="false" ht="13" hidden="false" customHeight="false" outlineLevel="0" collapsed="false">
      <c r="C21" s="26" t="n">
        <v>23283</v>
      </c>
      <c r="D21" s="26" t="s">
        <v>47</v>
      </c>
      <c r="E21" s="37" t="s">
        <v>48</v>
      </c>
      <c r="F21" s="37" t="s">
        <v>33</v>
      </c>
      <c r="G21" s="26" t="s">
        <v>34</v>
      </c>
      <c r="H21" s="27" t="n">
        <v>41084</v>
      </c>
      <c r="I21" s="28" t="n">
        <f aca="false">VALUE(MONTH(H21))</f>
        <v>6</v>
      </c>
      <c r="J21" s="29" t="n">
        <v>142</v>
      </c>
      <c r="K21" s="30" t="n">
        <v>14.5</v>
      </c>
      <c r="L21" s="31" t="n">
        <f aca="false">K21*J21</f>
        <v>2059</v>
      </c>
      <c r="M21" s="32"/>
      <c r="N21" s="33" t="n">
        <f aca="false">J21/$J$123</f>
        <v>0.0133621906464665</v>
      </c>
      <c r="O21" s="33" t="n">
        <f aca="false">L21/$L$123</f>
        <v>0.0287238425051766</v>
      </c>
      <c r="P21" s="34"/>
      <c r="Q21" s="35" t="n">
        <v>2059</v>
      </c>
      <c r="R21" s="36" t="n">
        <f aca="false">IF(Q21=L21,0,1)</f>
        <v>0</v>
      </c>
    </row>
    <row r="22" customFormat="false" ht="13" hidden="false" customHeight="false" outlineLevel="0" collapsed="false">
      <c r="C22" s="40" t="n">
        <v>23324</v>
      </c>
      <c r="D22" s="40" t="s">
        <v>49</v>
      </c>
      <c r="E22" s="40" t="s">
        <v>50</v>
      </c>
      <c r="F22" s="40" t="s">
        <v>51</v>
      </c>
      <c r="G22" s="26" t="s">
        <v>40</v>
      </c>
      <c r="H22" s="27" t="n">
        <v>41134</v>
      </c>
      <c r="I22" s="28" t="n">
        <f aca="false">VALUE(MONTH(H22))</f>
        <v>8</v>
      </c>
      <c r="J22" s="29" t="n">
        <v>193</v>
      </c>
      <c r="K22" s="30" t="n">
        <v>9.99</v>
      </c>
      <c r="L22" s="31" t="n">
        <f aca="false">K22*J22</f>
        <v>1928.07</v>
      </c>
      <c r="M22" s="32"/>
      <c r="N22" s="33" t="n">
        <f aca="false">J22/$J$123</f>
        <v>0.0181612872870989</v>
      </c>
      <c r="O22" s="33" t="n">
        <f aca="false">L22/$L$123</f>
        <v>0.0268973186104691</v>
      </c>
      <c r="P22" s="34"/>
      <c r="Q22" s="35" t="n">
        <v>1928.07</v>
      </c>
      <c r="R22" s="36" t="n">
        <f aca="false">IF(Q22=L22,0,1)</f>
        <v>0</v>
      </c>
    </row>
    <row r="23" customFormat="false" ht="13" hidden="false" customHeight="false" outlineLevel="0" collapsed="false">
      <c r="C23" s="26" t="n">
        <v>23264</v>
      </c>
      <c r="D23" s="26" t="s">
        <v>52</v>
      </c>
      <c r="E23" s="37" t="s">
        <v>53</v>
      </c>
      <c r="F23" s="37" t="s">
        <v>54</v>
      </c>
      <c r="G23" s="26" t="s">
        <v>34</v>
      </c>
      <c r="H23" s="27" t="n">
        <v>41139</v>
      </c>
      <c r="I23" s="28" t="n">
        <f aca="false">VALUE(MONTH(H23))</f>
        <v>8</v>
      </c>
      <c r="J23" s="29" t="n">
        <v>205</v>
      </c>
      <c r="K23" s="30" t="n">
        <v>9</v>
      </c>
      <c r="L23" s="31" t="n">
        <f aca="false">K23*J23</f>
        <v>1845</v>
      </c>
      <c r="M23" s="32"/>
      <c r="N23" s="33" t="n">
        <f aca="false">J23/$J$123</f>
        <v>0.0192904864966595</v>
      </c>
      <c r="O23" s="33" t="n">
        <f aca="false">L23/$L$123</f>
        <v>0.0257384601369844</v>
      </c>
      <c r="P23" s="34"/>
      <c r="Q23" s="35" t="n">
        <v>1845</v>
      </c>
      <c r="R23" s="36" t="n">
        <f aca="false">IF(Q23=L23,0,1)</f>
        <v>0</v>
      </c>
    </row>
    <row r="24" customFormat="false" ht="13" hidden="false" customHeight="false" outlineLevel="0" collapsed="false">
      <c r="C24" s="26" t="n">
        <v>23291</v>
      </c>
      <c r="D24" s="26" t="s">
        <v>55</v>
      </c>
      <c r="E24" s="37" t="s">
        <v>56</v>
      </c>
      <c r="F24" s="37" t="s">
        <v>54</v>
      </c>
      <c r="G24" s="26" t="s">
        <v>40</v>
      </c>
      <c r="H24" s="27" t="n">
        <v>41139</v>
      </c>
      <c r="I24" s="28" t="n">
        <f aca="false">VALUE(MONTH(H24))</f>
        <v>8</v>
      </c>
      <c r="J24" s="29" t="n">
        <v>199</v>
      </c>
      <c r="K24" s="30" t="n">
        <v>9</v>
      </c>
      <c r="L24" s="31" t="n">
        <f aca="false">K24*J24</f>
        <v>1791</v>
      </c>
      <c r="M24" s="32"/>
      <c r="N24" s="33" t="n">
        <f aca="false">J24/$J$123</f>
        <v>0.0187258868918792</v>
      </c>
      <c r="O24" s="33" t="n">
        <f aca="false">L24/$L$123</f>
        <v>0.0249851393524873</v>
      </c>
      <c r="P24" s="34"/>
      <c r="Q24" s="35" t="n">
        <v>1791</v>
      </c>
      <c r="R24" s="36" t="n">
        <f aca="false">IF(Q24=L24,0,1)</f>
        <v>0</v>
      </c>
    </row>
    <row r="25" customFormat="false" ht="13" hidden="false" customHeight="false" outlineLevel="0" collapsed="false">
      <c r="C25" s="26" t="n">
        <v>23305</v>
      </c>
      <c r="D25" s="26" t="s">
        <v>57</v>
      </c>
      <c r="E25" s="26" t="s">
        <v>58</v>
      </c>
      <c r="F25" s="26" t="s">
        <v>54</v>
      </c>
      <c r="G25" s="26" t="s">
        <v>34</v>
      </c>
      <c r="H25" s="27" t="n">
        <v>41147</v>
      </c>
      <c r="I25" s="28" t="n">
        <f aca="false">VALUE(MONTH(H25))</f>
        <v>8</v>
      </c>
      <c r="J25" s="29" t="n">
        <v>188</v>
      </c>
      <c r="K25" s="30" t="n">
        <v>9</v>
      </c>
      <c r="L25" s="31" t="n">
        <f aca="false">K25*J25</f>
        <v>1692</v>
      </c>
      <c r="M25" s="32"/>
      <c r="N25" s="33" t="n">
        <f aca="false">J25/$J$123</f>
        <v>0.0176907876164487</v>
      </c>
      <c r="O25" s="33" t="n">
        <f aca="false">L25/$L$123</f>
        <v>0.0236040512475759</v>
      </c>
      <c r="P25" s="34"/>
      <c r="Q25" s="35" t="n">
        <v>1692</v>
      </c>
      <c r="R25" s="36" t="n">
        <f aca="false">IF(Q25=L25,0,1)</f>
        <v>0</v>
      </c>
    </row>
    <row r="26" customFormat="false" ht="13" hidden="false" customHeight="false" outlineLevel="0" collapsed="false">
      <c r="C26" s="26" t="n">
        <v>23350</v>
      </c>
      <c r="D26" s="26" t="s">
        <v>59</v>
      </c>
      <c r="E26" s="26" t="s">
        <v>60</v>
      </c>
      <c r="F26" s="26" t="s">
        <v>54</v>
      </c>
      <c r="G26" s="26" t="s">
        <v>34</v>
      </c>
      <c r="H26" s="27" t="n">
        <v>41085</v>
      </c>
      <c r="I26" s="28" t="n">
        <f aca="false">VALUE(MONTH(H26))</f>
        <v>6</v>
      </c>
      <c r="J26" s="29" t="n">
        <v>188</v>
      </c>
      <c r="K26" s="30" t="n">
        <v>9</v>
      </c>
      <c r="L26" s="31" t="n">
        <f aca="false">K26*J26</f>
        <v>1692</v>
      </c>
      <c r="M26" s="32"/>
      <c r="N26" s="33" t="n">
        <f aca="false">J26/$J$123</f>
        <v>0.0176907876164487</v>
      </c>
      <c r="O26" s="33" t="n">
        <f aca="false">L26/$L$123</f>
        <v>0.0236040512475759</v>
      </c>
      <c r="P26" s="34"/>
      <c r="Q26" s="35" t="n">
        <v>1692</v>
      </c>
      <c r="R26" s="36" t="n">
        <f aca="false">IF(Q26=L26,0,1)</f>
        <v>0</v>
      </c>
    </row>
    <row r="27" customFormat="false" ht="13" hidden="false" customHeight="false" outlineLevel="0" collapsed="false">
      <c r="C27" s="26" t="n">
        <v>23300</v>
      </c>
      <c r="D27" s="26" t="s">
        <v>61</v>
      </c>
      <c r="E27" s="26" t="s">
        <v>62</v>
      </c>
      <c r="F27" s="26" t="s">
        <v>51</v>
      </c>
      <c r="G27" s="26" t="s">
        <v>34</v>
      </c>
      <c r="H27" s="27" t="n">
        <v>40915</v>
      </c>
      <c r="I27" s="28" t="n">
        <f aca="false">VALUE(MONTH(H27))</f>
        <v>1</v>
      </c>
      <c r="J27" s="29" t="n">
        <v>167</v>
      </c>
      <c r="K27" s="30" t="n">
        <v>9.99</v>
      </c>
      <c r="L27" s="31" t="n">
        <f aca="false">K27*J27</f>
        <v>1668.33</v>
      </c>
      <c r="M27" s="32"/>
      <c r="N27" s="33" t="n">
        <f aca="false">J27/$J$123</f>
        <v>0.0157146889997177</v>
      </c>
      <c r="O27" s="33" t="n">
        <f aca="false">L27/$L$123</f>
        <v>0.0232738456370381</v>
      </c>
      <c r="P27" s="34"/>
      <c r="Q27" s="35" t="n">
        <v>1668.33</v>
      </c>
      <c r="R27" s="36" t="n">
        <f aca="false">IF(Q27=L27,0,1)</f>
        <v>0</v>
      </c>
    </row>
    <row r="28" customFormat="false" ht="13" hidden="false" customHeight="false" outlineLevel="0" collapsed="false">
      <c r="C28" s="26" t="n">
        <v>23348</v>
      </c>
      <c r="D28" s="26" t="s">
        <v>63</v>
      </c>
      <c r="E28" s="26" t="s">
        <v>64</v>
      </c>
      <c r="F28" s="26" t="s">
        <v>51</v>
      </c>
      <c r="G28" s="26" t="s">
        <v>40</v>
      </c>
      <c r="H28" s="27" t="n">
        <v>41146</v>
      </c>
      <c r="I28" s="28" t="n">
        <f aca="false">VALUE(MONTH(H28))</f>
        <v>8</v>
      </c>
      <c r="J28" s="29" t="n">
        <v>163</v>
      </c>
      <c r="K28" s="30" t="n">
        <v>9.99</v>
      </c>
      <c r="L28" s="31" t="n">
        <f aca="false">K28*J28</f>
        <v>1628.37</v>
      </c>
      <c r="M28" s="32"/>
      <c r="N28" s="33" t="n">
        <f aca="false">J28/$J$123</f>
        <v>0.0153382892631975</v>
      </c>
      <c r="O28" s="33" t="n">
        <f aca="false">L28/$L$123</f>
        <v>0.0227163882565102</v>
      </c>
      <c r="P28" s="34"/>
      <c r="Q28" s="35" t="n">
        <v>1628.37</v>
      </c>
      <c r="R28" s="36" t="n">
        <f aca="false">IF(Q28=L28,0,1)</f>
        <v>0</v>
      </c>
    </row>
    <row r="29" customFormat="false" ht="13" hidden="false" customHeight="false" outlineLevel="0" collapsed="false">
      <c r="C29" s="26" t="n">
        <v>23290</v>
      </c>
      <c r="D29" s="26" t="s">
        <v>65</v>
      </c>
      <c r="E29" s="26" t="s">
        <v>66</v>
      </c>
      <c r="F29" s="26" t="s">
        <v>54</v>
      </c>
      <c r="G29" s="26" t="s">
        <v>34</v>
      </c>
      <c r="H29" s="27" t="n">
        <v>41132</v>
      </c>
      <c r="I29" s="28" t="n">
        <f aca="false">VALUE(MONTH(H29))</f>
        <v>8</v>
      </c>
      <c r="J29" s="29" t="n">
        <v>170</v>
      </c>
      <c r="K29" s="30" t="n">
        <v>9</v>
      </c>
      <c r="L29" s="31" t="n">
        <f aca="false">K29*J29</f>
        <v>1530</v>
      </c>
      <c r="M29" s="32"/>
      <c r="N29" s="33" t="n">
        <f aca="false">J29/$J$123</f>
        <v>0.0159969888021078</v>
      </c>
      <c r="O29" s="33" t="n">
        <f aca="false">L29/$L$123</f>
        <v>0.0213440888940846</v>
      </c>
      <c r="P29" s="34"/>
      <c r="Q29" s="35" t="n">
        <v>1530</v>
      </c>
      <c r="R29" s="36" t="n">
        <f aca="false">IF(Q29=L29,0,1)</f>
        <v>0</v>
      </c>
    </row>
    <row r="30" customFormat="false" ht="13" hidden="false" customHeight="false" outlineLevel="0" collapsed="false">
      <c r="C30" s="26" t="n">
        <v>23328</v>
      </c>
      <c r="D30" s="26" t="s">
        <v>67</v>
      </c>
      <c r="E30" s="26" t="s">
        <v>68</v>
      </c>
      <c r="F30" s="26" t="s">
        <v>33</v>
      </c>
      <c r="G30" s="26" t="s">
        <v>40</v>
      </c>
      <c r="H30" s="27" t="n">
        <v>40923</v>
      </c>
      <c r="I30" s="28" t="n">
        <f aca="false">VALUE(MONTH(H30))</f>
        <v>1</v>
      </c>
      <c r="J30" s="29" t="n">
        <v>102</v>
      </c>
      <c r="K30" s="30" t="n">
        <v>14.5</v>
      </c>
      <c r="L30" s="31" t="n">
        <f aca="false">K30*J30</f>
        <v>1479</v>
      </c>
      <c r="M30" s="32"/>
      <c r="N30" s="33" t="n">
        <f aca="false">J30/$J$123</f>
        <v>0.0095981932812647</v>
      </c>
      <c r="O30" s="33" t="n">
        <f aca="false">L30/$L$123</f>
        <v>0.0206326192642818</v>
      </c>
      <c r="P30" s="34"/>
      <c r="Q30" s="35" t="n">
        <v>1479</v>
      </c>
      <c r="R30" s="36" t="n">
        <f aca="false">IF(Q30=L30,0,1)</f>
        <v>0</v>
      </c>
    </row>
    <row r="31" customFormat="false" ht="13" hidden="false" customHeight="false" outlineLevel="0" collapsed="false">
      <c r="C31" s="26" t="n">
        <v>23294</v>
      </c>
      <c r="D31" s="26" t="s">
        <v>69</v>
      </c>
      <c r="E31" s="26" t="s">
        <v>70</v>
      </c>
      <c r="F31" s="26" t="s">
        <v>54</v>
      </c>
      <c r="G31" s="26" t="s">
        <v>40</v>
      </c>
      <c r="H31" s="27" t="n">
        <v>41082</v>
      </c>
      <c r="I31" s="28" t="n">
        <f aca="false">VALUE(MONTH(H31))</f>
        <v>6</v>
      </c>
      <c r="J31" s="29" t="n">
        <v>160</v>
      </c>
      <c r="K31" s="30" t="n">
        <v>9</v>
      </c>
      <c r="L31" s="31" t="n">
        <f aca="false">K31*J31</f>
        <v>1440</v>
      </c>
      <c r="M31" s="32"/>
      <c r="N31" s="33" t="n">
        <f aca="false">J31/$J$123</f>
        <v>0.0150559894608074</v>
      </c>
      <c r="O31" s="33" t="n">
        <f aca="false">L31/$L$123</f>
        <v>0.0200885542532561</v>
      </c>
      <c r="P31" s="34"/>
      <c r="Q31" s="35" t="n">
        <v>1440</v>
      </c>
      <c r="R31" s="36" t="n">
        <f aca="false">IF(Q31=L31,0,1)</f>
        <v>0</v>
      </c>
    </row>
    <row r="32" customFormat="false" ht="13" hidden="false" customHeight="false" outlineLevel="0" collapsed="false">
      <c r="C32" s="26" t="n">
        <v>23371</v>
      </c>
      <c r="D32" s="26" t="s">
        <v>71</v>
      </c>
      <c r="E32" s="26" t="s">
        <v>72</v>
      </c>
      <c r="F32" s="26" t="s">
        <v>73</v>
      </c>
      <c r="G32" s="26" t="s">
        <v>34</v>
      </c>
      <c r="H32" s="27" t="n">
        <v>41136</v>
      </c>
      <c r="I32" s="28" t="n">
        <f aca="false">VALUE(MONTH(H32))</f>
        <v>8</v>
      </c>
      <c r="J32" s="29" t="n">
        <v>204</v>
      </c>
      <c r="K32" s="30" t="n">
        <v>6.99</v>
      </c>
      <c r="L32" s="31" t="n">
        <f aca="false">K32*J32</f>
        <v>1425.96</v>
      </c>
      <c r="M32" s="32"/>
      <c r="N32" s="33" t="n">
        <f aca="false">J32/$J$123</f>
        <v>0.0191963865625294</v>
      </c>
      <c r="O32" s="33" t="n">
        <f aca="false">L32/$L$123</f>
        <v>0.0198926908492869</v>
      </c>
      <c r="P32" s="34"/>
      <c r="Q32" s="35" t="n">
        <v>1425.96</v>
      </c>
      <c r="R32" s="36" t="n">
        <f aca="false">IF(Q32=L32,0,1)</f>
        <v>0</v>
      </c>
    </row>
    <row r="33" customFormat="false" ht="13" hidden="false" customHeight="false" outlineLevel="0" collapsed="false">
      <c r="C33" s="26" t="n">
        <v>23288</v>
      </c>
      <c r="D33" s="26" t="s">
        <v>74</v>
      </c>
      <c r="E33" s="26" t="s">
        <v>75</v>
      </c>
      <c r="F33" s="26" t="s">
        <v>51</v>
      </c>
      <c r="G33" s="26" t="s">
        <v>37</v>
      </c>
      <c r="H33" s="27" t="n">
        <v>41074</v>
      </c>
      <c r="I33" s="28" t="n">
        <f aca="false">VALUE(MONTH(H33))</f>
        <v>6</v>
      </c>
      <c r="J33" s="29" t="n">
        <v>141</v>
      </c>
      <c r="K33" s="30" t="n">
        <v>9.99</v>
      </c>
      <c r="L33" s="31" t="n">
        <f aca="false">K33*J33</f>
        <v>1408.59</v>
      </c>
      <c r="M33" s="32"/>
      <c r="N33" s="33" t="n">
        <f aca="false">J33/$J$123</f>
        <v>0.0132680907123365</v>
      </c>
      <c r="O33" s="33" t="n">
        <f aca="false">L33/$L$123</f>
        <v>0.019650372663607</v>
      </c>
      <c r="P33" s="34"/>
      <c r="Q33" s="35" t="n">
        <v>1408.59</v>
      </c>
      <c r="R33" s="36" t="n">
        <f aca="false">IF(Q33=L33,0,1)</f>
        <v>0</v>
      </c>
    </row>
    <row r="34" customFormat="false" ht="13" hidden="false" customHeight="false" outlineLevel="0" collapsed="false">
      <c r="C34" s="26" t="n">
        <v>23347</v>
      </c>
      <c r="D34" s="26" t="s">
        <v>76</v>
      </c>
      <c r="E34" s="26" t="s">
        <v>77</v>
      </c>
      <c r="F34" s="26" t="s">
        <v>54</v>
      </c>
      <c r="G34" s="26" t="s">
        <v>34</v>
      </c>
      <c r="H34" s="27" t="n">
        <v>41088</v>
      </c>
      <c r="I34" s="28" t="n">
        <f aca="false">VALUE(MONTH(H34))</f>
        <v>6</v>
      </c>
      <c r="J34" s="29" t="n">
        <v>147</v>
      </c>
      <c r="K34" s="30" t="n">
        <v>9</v>
      </c>
      <c r="L34" s="31" t="n">
        <f aca="false">K34*J34</f>
        <v>1323</v>
      </c>
      <c r="M34" s="32"/>
      <c r="N34" s="33" t="n">
        <f aca="false">J34/$J$123</f>
        <v>0.0138326903171168</v>
      </c>
      <c r="O34" s="33" t="n">
        <f aca="false">L34/$L$123</f>
        <v>0.0184563592201791</v>
      </c>
      <c r="P34" s="34"/>
      <c r="Q34" s="35" t="n">
        <v>1323</v>
      </c>
      <c r="R34" s="36" t="n">
        <f aca="false">IF(Q34=L34,0,1)</f>
        <v>0</v>
      </c>
    </row>
    <row r="35" customFormat="false" ht="13" hidden="false" customHeight="false" outlineLevel="0" collapsed="false">
      <c r="C35" s="26" t="n">
        <v>23361</v>
      </c>
      <c r="D35" s="26" t="s">
        <v>78</v>
      </c>
      <c r="E35" s="26" t="s">
        <v>79</v>
      </c>
      <c r="F35" s="26" t="s">
        <v>73</v>
      </c>
      <c r="G35" s="26" t="s">
        <v>34</v>
      </c>
      <c r="H35" s="27" t="n">
        <v>40915</v>
      </c>
      <c r="I35" s="28" t="n">
        <f aca="false">VALUE(MONTH(H35))</f>
        <v>1</v>
      </c>
      <c r="J35" s="29" t="n">
        <v>184</v>
      </c>
      <c r="K35" s="30" t="n">
        <v>6.99</v>
      </c>
      <c r="L35" s="31" t="n">
        <f aca="false">K35*J35</f>
        <v>1286.16</v>
      </c>
      <c r="M35" s="32"/>
      <c r="N35" s="33" t="n">
        <f aca="false">J35/$J$123</f>
        <v>0.0173143878799285</v>
      </c>
      <c r="O35" s="33" t="n">
        <f aca="false">L35/$L$123</f>
        <v>0.0179424270405333</v>
      </c>
      <c r="P35" s="34"/>
      <c r="Q35" s="35" t="n">
        <v>1286.16</v>
      </c>
      <c r="R35" s="36" t="n">
        <f aca="false">IF(Q35=L35,0,1)</f>
        <v>0</v>
      </c>
    </row>
    <row r="36" customFormat="false" ht="13" hidden="false" customHeight="false" outlineLevel="0" collapsed="false">
      <c r="C36" s="26" t="n">
        <v>23275</v>
      </c>
      <c r="D36" s="26" t="s">
        <v>80</v>
      </c>
      <c r="E36" s="26" t="s">
        <v>81</v>
      </c>
      <c r="F36" s="26" t="s">
        <v>54</v>
      </c>
      <c r="G36" s="26" t="s">
        <v>40</v>
      </c>
      <c r="H36" s="27" t="n">
        <v>40912</v>
      </c>
      <c r="I36" s="28" t="n">
        <f aca="false">VALUE(MONTH(H36))</f>
        <v>1</v>
      </c>
      <c r="J36" s="29" t="n">
        <v>141</v>
      </c>
      <c r="K36" s="30" t="n">
        <v>9</v>
      </c>
      <c r="L36" s="31" t="n">
        <f aca="false">K36*J36</f>
        <v>1269</v>
      </c>
      <c r="M36" s="32"/>
      <c r="N36" s="33" t="n">
        <f aca="false">J36/$J$123</f>
        <v>0.0132680907123365</v>
      </c>
      <c r="O36" s="33" t="n">
        <f aca="false">L36/$L$123</f>
        <v>0.017703038435682</v>
      </c>
      <c r="P36" s="34"/>
      <c r="Q36" s="35" t="n">
        <v>1269</v>
      </c>
      <c r="R36" s="36" t="n">
        <f aca="false">IF(Q36=L36,0,1)</f>
        <v>0</v>
      </c>
    </row>
    <row r="37" customFormat="false" ht="13" hidden="false" customHeight="false" outlineLevel="0" collapsed="false">
      <c r="C37" s="26" t="n">
        <v>23297</v>
      </c>
      <c r="D37" s="26" t="s">
        <v>82</v>
      </c>
      <c r="E37" s="26" t="s">
        <v>83</v>
      </c>
      <c r="F37" s="26" t="s">
        <v>54</v>
      </c>
      <c r="G37" s="26" t="s">
        <v>34</v>
      </c>
      <c r="H37" s="27" t="n">
        <v>41133</v>
      </c>
      <c r="I37" s="28" t="n">
        <f aca="false">VALUE(MONTH(H37))</f>
        <v>8</v>
      </c>
      <c r="J37" s="29" t="n">
        <v>135</v>
      </c>
      <c r="K37" s="30" t="n">
        <v>9</v>
      </c>
      <c r="L37" s="31" t="n">
        <f aca="false">K37*J37</f>
        <v>1215</v>
      </c>
      <c r="M37" s="32"/>
      <c r="N37" s="33" t="n">
        <f aca="false">J37/$J$123</f>
        <v>0.0127034911075562</v>
      </c>
      <c r="O37" s="33" t="n">
        <f aca="false">L37/$L$123</f>
        <v>0.0169497176511849</v>
      </c>
      <c r="P37" s="34"/>
      <c r="Q37" s="35" t="n">
        <v>1215</v>
      </c>
      <c r="R37" s="36" t="n">
        <f aca="false">IF(Q37=L37,0,1)</f>
        <v>0</v>
      </c>
    </row>
    <row r="38" customFormat="false" ht="13" hidden="false" customHeight="false" outlineLevel="0" collapsed="false">
      <c r="C38" s="26" t="n">
        <v>23327</v>
      </c>
      <c r="D38" s="26" t="s">
        <v>84</v>
      </c>
      <c r="E38" s="26" t="s">
        <v>85</v>
      </c>
      <c r="F38" s="26" t="s">
        <v>86</v>
      </c>
      <c r="G38" s="26" t="s">
        <v>40</v>
      </c>
      <c r="H38" s="27" t="n">
        <v>40939</v>
      </c>
      <c r="I38" s="28" t="n">
        <f aca="false">VALUE(MONTH(H38))</f>
        <v>1</v>
      </c>
      <c r="J38" s="29" t="n">
        <v>176</v>
      </c>
      <c r="K38" s="30" t="n">
        <v>6.5</v>
      </c>
      <c r="L38" s="31" t="n">
        <f aca="false">K38*J38</f>
        <v>1144</v>
      </c>
      <c r="M38" s="32"/>
      <c r="N38" s="33" t="n">
        <f aca="false">J38/$J$123</f>
        <v>0.0165615884068881</v>
      </c>
      <c r="O38" s="33" t="n">
        <f aca="false">L38/$L$123</f>
        <v>0.0159592403234201</v>
      </c>
      <c r="P38" s="34"/>
      <c r="Q38" s="35" t="n">
        <v>1144</v>
      </c>
      <c r="R38" s="36" t="n">
        <f aca="false">IF(Q38=L38,0,1)</f>
        <v>0</v>
      </c>
    </row>
    <row r="39" customFormat="false" ht="13" hidden="false" customHeight="false" outlineLevel="0" collapsed="false">
      <c r="C39" s="26" t="n">
        <v>23325</v>
      </c>
      <c r="D39" s="26" t="s">
        <v>87</v>
      </c>
      <c r="E39" s="26" t="s">
        <v>88</v>
      </c>
      <c r="F39" s="26" t="s">
        <v>89</v>
      </c>
      <c r="G39" s="26" t="s">
        <v>40</v>
      </c>
      <c r="H39" s="27" t="n">
        <v>41082</v>
      </c>
      <c r="I39" s="28" t="n">
        <f aca="false">VALUE(MONTH(H39))</f>
        <v>6</v>
      </c>
      <c r="J39" s="29" t="n">
        <v>184</v>
      </c>
      <c r="K39" s="30" t="n">
        <v>6</v>
      </c>
      <c r="L39" s="31" t="n">
        <f aca="false">K39*J39</f>
        <v>1104</v>
      </c>
      <c r="M39" s="32"/>
      <c r="N39" s="33" t="n">
        <f aca="false">J39/$J$123</f>
        <v>0.0173143878799285</v>
      </c>
      <c r="O39" s="33" t="n">
        <f aca="false">L39/$L$123</f>
        <v>0.0154012249274964</v>
      </c>
      <c r="P39" s="34"/>
      <c r="Q39" s="35" t="n">
        <v>1104</v>
      </c>
      <c r="R39" s="36" t="n">
        <f aca="false">IF(Q39=L39,0,1)</f>
        <v>0</v>
      </c>
    </row>
    <row r="40" customFormat="false" ht="13" hidden="false" customHeight="false" outlineLevel="0" collapsed="false">
      <c r="C40" s="26" t="n">
        <v>23292</v>
      </c>
      <c r="D40" s="26" t="s">
        <v>90</v>
      </c>
      <c r="E40" s="26" t="s">
        <v>91</v>
      </c>
      <c r="F40" s="26" t="s">
        <v>33</v>
      </c>
      <c r="G40" s="26" t="s">
        <v>34</v>
      </c>
      <c r="H40" s="27" t="n">
        <v>40911</v>
      </c>
      <c r="I40" s="28" t="n">
        <f aca="false">VALUE(MONTH(H40))</f>
        <v>1</v>
      </c>
      <c r="J40" s="29" t="n">
        <v>73</v>
      </c>
      <c r="K40" s="30" t="n">
        <v>14.5</v>
      </c>
      <c r="L40" s="31" t="n">
        <f aca="false">K40*J40</f>
        <v>1058.5</v>
      </c>
      <c r="M40" s="32"/>
      <c r="N40" s="33" t="n">
        <f aca="false">J40/$J$123</f>
        <v>0.00686929519149337</v>
      </c>
      <c r="O40" s="33" t="n">
        <f aca="false">L40/$L$123</f>
        <v>0.0147664824146331</v>
      </c>
      <c r="P40" s="34"/>
      <c r="Q40" s="35" t="n">
        <v>1058.5</v>
      </c>
      <c r="R40" s="36" t="n">
        <f aca="false">IF(Q40=L40,0,1)</f>
        <v>0</v>
      </c>
    </row>
    <row r="41" customFormat="false" ht="13" hidden="false" customHeight="false" outlineLevel="0" collapsed="false">
      <c r="C41" s="26" t="n">
        <v>23335</v>
      </c>
      <c r="D41" s="26" t="s">
        <v>92</v>
      </c>
      <c r="E41" s="26" t="s">
        <v>93</v>
      </c>
      <c r="F41" s="26" t="s">
        <v>54</v>
      </c>
      <c r="G41" s="26" t="s">
        <v>34</v>
      </c>
      <c r="H41" s="27" t="n">
        <v>41134</v>
      </c>
      <c r="I41" s="28" t="n">
        <f aca="false">VALUE(MONTH(H41))</f>
        <v>8</v>
      </c>
      <c r="J41" s="29" t="n">
        <v>116</v>
      </c>
      <c r="K41" s="30" t="n">
        <v>9</v>
      </c>
      <c r="L41" s="31" t="n">
        <f aca="false">K41*J41</f>
        <v>1044</v>
      </c>
      <c r="M41" s="32"/>
      <c r="N41" s="33" t="n">
        <f aca="false">J41/$J$123</f>
        <v>0.0109155923590853</v>
      </c>
      <c r="O41" s="33" t="n">
        <f aca="false">L41/$L$123</f>
        <v>0.0145642018336107</v>
      </c>
      <c r="P41" s="34"/>
      <c r="Q41" s="35" t="n">
        <v>1044</v>
      </c>
      <c r="R41" s="36" t="n">
        <f aca="false">IF(Q41=L41,0,1)</f>
        <v>0</v>
      </c>
    </row>
    <row r="42" customFormat="false" ht="13" hidden="false" customHeight="false" outlineLevel="0" collapsed="false">
      <c r="C42" s="26" t="n">
        <v>23314</v>
      </c>
      <c r="D42" s="26" t="s">
        <v>94</v>
      </c>
      <c r="E42" s="26" t="s">
        <v>95</v>
      </c>
      <c r="F42" s="26" t="s">
        <v>51</v>
      </c>
      <c r="G42" s="26" t="s">
        <v>40</v>
      </c>
      <c r="H42" s="27" t="n">
        <v>41131</v>
      </c>
      <c r="I42" s="28" t="n">
        <f aca="false">VALUE(MONTH(H42))</f>
        <v>8</v>
      </c>
      <c r="J42" s="29" t="n">
        <v>95</v>
      </c>
      <c r="K42" s="30" t="n">
        <v>9.99</v>
      </c>
      <c r="L42" s="31" t="n">
        <f aca="false">K42*J42</f>
        <v>949.05</v>
      </c>
      <c r="M42" s="32"/>
      <c r="N42" s="33" t="n">
        <f aca="false">J42/$J$123</f>
        <v>0.00893949374235438</v>
      </c>
      <c r="O42" s="33" t="n">
        <f aca="false">L42/$L$123</f>
        <v>0.0132396127875366</v>
      </c>
      <c r="P42" s="34"/>
      <c r="Q42" s="35" t="n">
        <v>949.05</v>
      </c>
      <c r="R42" s="36" t="n">
        <f aca="false">IF(Q42=L42,0,1)</f>
        <v>0</v>
      </c>
    </row>
    <row r="43" customFormat="false" ht="13" hidden="false" customHeight="false" outlineLevel="0" collapsed="false">
      <c r="C43" s="26" t="n">
        <v>23329</v>
      </c>
      <c r="D43" s="26" t="s">
        <v>96</v>
      </c>
      <c r="E43" s="26" t="s">
        <v>97</v>
      </c>
      <c r="F43" s="26" t="s">
        <v>98</v>
      </c>
      <c r="G43" s="26" t="s">
        <v>40</v>
      </c>
      <c r="H43" s="27" t="n">
        <v>40931</v>
      </c>
      <c r="I43" s="28" t="n">
        <f aca="false">VALUE(MONTH(H43))</f>
        <v>1</v>
      </c>
      <c r="J43" s="29" t="n">
        <v>203</v>
      </c>
      <c r="K43" s="30" t="n">
        <v>4.5</v>
      </c>
      <c r="L43" s="31" t="n">
        <f aca="false">K43*J43</f>
        <v>913.5</v>
      </c>
      <c r="M43" s="32"/>
      <c r="N43" s="33" t="n">
        <f aca="false">J43/$J$123</f>
        <v>0.0191022866283994</v>
      </c>
      <c r="O43" s="33" t="n">
        <f aca="false">L43/$L$123</f>
        <v>0.0127436766044094</v>
      </c>
      <c r="P43" s="34"/>
      <c r="Q43" s="35" t="n">
        <v>913.5</v>
      </c>
      <c r="R43" s="36" t="n">
        <f aca="false">IF(Q43=L43,0,1)</f>
        <v>0</v>
      </c>
    </row>
    <row r="44" customFormat="false" ht="13" hidden="false" customHeight="false" outlineLevel="0" collapsed="false">
      <c r="C44" s="26" t="n">
        <v>23332</v>
      </c>
      <c r="D44" s="26" t="s">
        <v>99</v>
      </c>
      <c r="E44" s="26" t="s">
        <v>100</v>
      </c>
      <c r="F44" s="26" t="s">
        <v>98</v>
      </c>
      <c r="G44" s="26" t="s">
        <v>37</v>
      </c>
      <c r="H44" s="27" t="n">
        <v>40950</v>
      </c>
      <c r="I44" s="28" t="n">
        <f aca="false">VALUE(MONTH(H44))</f>
        <v>2</v>
      </c>
      <c r="J44" s="29" t="n">
        <v>203</v>
      </c>
      <c r="K44" s="30" t="n">
        <v>4.5</v>
      </c>
      <c r="L44" s="31" t="n">
        <f aca="false">K44*J44</f>
        <v>913.5</v>
      </c>
      <c r="M44" s="32"/>
      <c r="N44" s="33" t="n">
        <f aca="false">J44/$J$123</f>
        <v>0.0191022866283994</v>
      </c>
      <c r="O44" s="33" t="n">
        <f aca="false">L44/$L$123</f>
        <v>0.0127436766044094</v>
      </c>
      <c r="P44" s="34"/>
      <c r="Q44" s="35" t="n">
        <v>913.5</v>
      </c>
      <c r="R44" s="36" t="n">
        <f aca="false">IF(Q44=L44,0,1)</f>
        <v>0</v>
      </c>
    </row>
    <row r="45" customFormat="false" ht="13" hidden="false" customHeight="false" outlineLevel="0" collapsed="false">
      <c r="C45" s="26" t="n">
        <v>23317</v>
      </c>
      <c r="D45" s="26" t="s">
        <v>101</v>
      </c>
      <c r="E45" s="26" t="s">
        <v>102</v>
      </c>
      <c r="F45" s="26" t="s">
        <v>98</v>
      </c>
      <c r="G45" s="26" t="s">
        <v>37</v>
      </c>
      <c r="H45" s="27" t="n">
        <v>40956</v>
      </c>
      <c r="I45" s="28" t="n">
        <f aca="false">VALUE(MONTH(H45))</f>
        <v>2</v>
      </c>
      <c r="J45" s="29" t="n">
        <v>196</v>
      </c>
      <c r="K45" s="30" t="n">
        <v>4.5</v>
      </c>
      <c r="L45" s="31" t="n">
        <f aca="false">K45*J45</f>
        <v>882</v>
      </c>
      <c r="M45" s="32"/>
      <c r="N45" s="33" t="n">
        <f aca="false">J45/$J$123</f>
        <v>0.018443587089489</v>
      </c>
      <c r="O45" s="33" t="n">
        <f aca="false">L45/$L$123</f>
        <v>0.0123042394801194</v>
      </c>
      <c r="P45" s="34"/>
      <c r="Q45" s="35" t="n">
        <v>882</v>
      </c>
      <c r="R45" s="36" t="n">
        <f aca="false">IF(Q45=L45,0,1)</f>
        <v>0</v>
      </c>
    </row>
    <row r="46" customFormat="false" ht="13" hidden="false" customHeight="false" outlineLevel="0" collapsed="false">
      <c r="C46" s="26" t="n">
        <v>23271</v>
      </c>
      <c r="D46" s="26" t="s">
        <v>103</v>
      </c>
      <c r="E46" s="26" t="s">
        <v>104</v>
      </c>
      <c r="F46" s="26" t="s">
        <v>73</v>
      </c>
      <c r="G46" s="26" t="s">
        <v>40</v>
      </c>
      <c r="H46" s="27" t="n">
        <v>40966</v>
      </c>
      <c r="I46" s="28" t="n">
        <f aca="false">VALUE(MONTH(H46))</f>
        <v>2</v>
      </c>
      <c r="J46" s="29" t="n">
        <v>125</v>
      </c>
      <c r="K46" s="30" t="n">
        <v>6.99</v>
      </c>
      <c r="L46" s="31" t="n">
        <f aca="false">K46*J46</f>
        <v>873.75</v>
      </c>
      <c r="M46" s="32"/>
      <c r="N46" s="33" t="n">
        <f aca="false">J46/$J$123</f>
        <v>0.0117624917662558</v>
      </c>
      <c r="O46" s="33" t="n">
        <f aca="false">L46/$L$123</f>
        <v>0.0121891488047101</v>
      </c>
      <c r="P46" s="34"/>
      <c r="Q46" s="35" t="n">
        <v>873.75</v>
      </c>
      <c r="R46" s="36" t="n">
        <f aca="false">IF(Q46=L46,0,1)</f>
        <v>0</v>
      </c>
    </row>
    <row r="47" customFormat="false" ht="13" hidden="false" customHeight="false" outlineLevel="0" collapsed="false">
      <c r="C47" s="26" t="n">
        <v>23287</v>
      </c>
      <c r="D47" s="26" t="s">
        <v>105</v>
      </c>
      <c r="E47" s="26" t="s">
        <v>106</v>
      </c>
      <c r="F47" s="26" t="s">
        <v>98</v>
      </c>
      <c r="G47" s="26" t="s">
        <v>40</v>
      </c>
      <c r="H47" s="27" t="n">
        <v>41077</v>
      </c>
      <c r="I47" s="28" t="n">
        <f aca="false">VALUE(MONTH(H47))</f>
        <v>6</v>
      </c>
      <c r="J47" s="29" t="n">
        <v>189</v>
      </c>
      <c r="K47" s="30" t="n">
        <v>4.5</v>
      </c>
      <c r="L47" s="31" t="n">
        <f aca="false">K47*J47</f>
        <v>850.5</v>
      </c>
      <c r="M47" s="32"/>
      <c r="N47" s="33" t="n">
        <f aca="false">J47/$J$123</f>
        <v>0.0177848875505787</v>
      </c>
      <c r="O47" s="33" t="n">
        <f aca="false">L47/$L$123</f>
        <v>0.0118648023558294</v>
      </c>
      <c r="P47" s="34"/>
      <c r="Q47" s="35" t="n">
        <v>850.5</v>
      </c>
      <c r="R47" s="36" t="n">
        <f aca="false">IF(Q47=L47,0,1)</f>
        <v>0</v>
      </c>
    </row>
    <row r="48" customFormat="false" ht="13" hidden="false" customHeight="false" outlineLevel="0" collapsed="false">
      <c r="C48" s="26" t="n">
        <v>23349</v>
      </c>
      <c r="D48" s="26" t="s">
        <v>107</v>
      </c>
      <c r="E48" s="26" t="s">
        <v>108</v>
      </c>
      <c r="F48" s="26" t="s">
        <v>86</v>
      </c>
      <c r="G48" s="26" t="s">
        <v>40</v>
      </c>
      <c r="H48" s="27" t="n">
        <v>41112</v>
      </c>
      <c r="I48" s="28" t="n">
        <f aca="false">VALUE(MONTH(H48))</f>
        <v>7</v>
      </c>
      <c r="J48" s="29" t="n">
        <v>126</v>
      </c>
      <c r="K48" s="30" t="n">
        <v>6.5</v>
      </c>
      <c r="L48" s="31" t="n">
        <f aca="false">K48*J48</f>
        <v>819</v>
      </c>
      <c r="M48" s="32"/>
      <c r="N48" s="33" t="n">
        <f aca="false">J48/$J$123</f>
        <v>0.0118565917003858</v>
      </c>
      <c r="O48" s="33" t="n">
        <f aca="false">L48/$L$123</f>
        <v>0.0114253652315394</v>
      </c>
      <c r="P48" s="34"/>
      <c r="Q48" s="35" t="n">
        <v>819</v>
      </c>
      <c r="R48" s="36" t="n">
        <f aca="false">IF(Q48=L48,0,1)</f>
        <v>0</v>
      </c>
    </row>
    <row r="49" customFormat="false" ht="13" hidden="false" customHeight="false" outlineLevel="0" collapsed="false">
      <c r="C49" s="26" t="n">
        <v>23309</v>
      </c>
      <c r="D49" s="26" t="s">
        <v>109</v>
      </c>
      <c r="E49" s="26" t="s">
        <v>110</v>
      </c>
      <c r="F49" s="26" t="s">
        <v>111</v>
      </c>
      <c r="G49" s="26" t="s">
        <v>34</v>
      </c>
      <c r="H49" s="27" t="n">
        <v>41083</v>
      </c>
      <c r="I49" s="28" t="n">
        <f aca="false">VALUE(MONTH(H49))</f>
        <v>6</v>
      </c>
      <c r="J49" s="29" t="n">
        <v>201</v>
      </c>
      <c r="K49" s="30" t="n">
        <v>3.99</v>
      </c>
      <c r="L49" s="31" t="n">
        <f aca="false">K49*J49</f>
        <v>801.99</v>
      </c>
      <c r="M49" s="32"/>
      <c r="N49" s="33" t="n">
        <f aca="false">J49/$J$123</f>
        <v>0.0189140867601393</v>
      </c>
      <c r="O49" s="33" t="n">
        <f aca="false">L49/$L$123</f>
        <v>0.0111880691844228</v>
      </c>
      <c r="P49" s="34"/>
      <c r="Q49" s="35" t="n">
        <v>801.99</v>
      </c>
      <c r="R49" s="36" t="n">
        <f aca="false">IF(Q49=L49,0,1)</f>
        <v>0</v>
      </c>
    </row>
    <row r="50" customFormat="false" ht="13" hidden="false" customHeight="false" outlineLevel="0" collapsed="false">
      <c r="C50" s="26" t="n">
        <v>23338</v>
      </c>
      <c r="D50" s="26" t="s">
        <v>112</v>
      </c>
      <c r="E50" s="26" t="s">
        <v>113</v>
      </c>
      <c r="F50" s="26" t="s">
        <v>98</v>
      </c>
      <c r="G50" s="26" t="s">
        <v>40</v>
      </c>
      <c r="H50" s="27" t="n">
        <v>41133</v>
      </c>
      <c r="I50" s="28" t="n">
        <f aca="false">VALUE(MONTH(H50))</f>
        <v>8</v>
      </c>
      <c r="J50" s="29" t="n">
        <v>178</v>
      </c>
      <c r="K50" s="30" t="n">
        <v>4.5</v>
      </c>
      <c r="L50" s="31" t="n">
        <f aca="false">K50*J50</f>
        <v>801</v>
      </c>
      <c r="M50" s="32"/>
      <c r="N50" s="33" t="n">
        <f aca="false">J50/$J$123</f>
        <v>0.0167497882751482</v>
      </c>
      <c r="O50" s="33" t="n">
        <f aca="false">L50/$L$123</f>
        <v>0.0111742583033737</v>
      </c>
      <c r="P50" s="34"/>
      <c r="Q50" s="35" t="n">
        <v>801</v>
      </c>
      <c r="R50" s="36" t="n">
        <f aca="false">IF(Q50=L50,0,1)</f>
        <v>0</v>
      </c>
    </row>
    <row r="51" customFormat="false" ht="13" hidden="false" customHeight="false" outlineLevel="0" collapsed="false">
      <c r="C51" s="26" t="n">
        <v>23301</v>
      </c>
      <c r="D51" s="26" t="s">
        <v>114</v>
      </c>
      <c r="E51" s="26" t="s">
        <v>115</v>
      </c>
      <c r="F51" s="26" t="s">
        <v>73</v>
      </c>
      <c r="G51" s="26" t="s">
        <v>40</v>
      </c>
      <c r="H51" s="27" t="n">
        <v>41109</v>
      </c>
      <c r="I51" s="28" t="n">
        <f aca="false">VALUE(MONTH(H51))</f>
        <v>7</v>
      </c>
      <c r="J51" s="29" t="n">
        <v>108</v>
      </c>
      <c r="K51" s="30" t="n">
        <v>6.99</v>
      </c>
      <c r="L51" s="31" t="n">
        <f aca="false">K51*J51</f>
        <v>754.92</v>
      </c>
      <c r="M51" s="32"/>
      <c r="N51" s="33" t="n">
        <f aca="false">J51/$J$123</f>
        <v>0.010162792886045</v>
      </c>
      <c r="O51" s="33" t="n">
        <f aca="false">L51/$L$123</f>
        <v>0.0105314245672695</v>
      </c>
      <c r="P51" s="34"/>
      <c r="Q51" s="35" t="n">
        <v>754.92</v>
      </c>
      <c r="R51" s="36" t="n">
        <f aca="false">IF(Q51=L51,0,1)</f>
        <v>0</v>
      </c>
    </row>
    <row r="52" customFormat="false" ht="13" hidden="false" customHeight="false" outlineLevel="0" collapsed="false">
      <c r="C52" s="26" t="n">
        <v>23320</v>
      </c>
      <c r="D52" s="26" t="s">
        <v>116</v>
      </c>
      <c r="E52" s="26" t="s">
        <v>117</v>
      </c>
      <c r="F52" s="26" t="s">
        <v>89</v>
      </c>
      <c r="G52" s="26" t="s">
        <v>37</v>
      </c>
      <c r="H52" s="27" t="n">
        <v>41075</v>
      </c>
      <c r="I52" s="28" t="n">
        <f aca="false">VALUE(MONTH(H52))</f>
        <v>6</v>
      </c>
      <c r="J52" s="29" t="n">
        <v>125</v>
      </c>
      <c r="K52" s="30" t="n">
        <v>6</v>
      </c>
      <c r="L52" s="31" t="n">
        <f aca="false">K52*J52</f>
        <v>750</v>
      </c>
      <c r="M52" s="32"/>
      <c r="N52" s="33" t="n">
        <f aca="false">J52/$J$123</f>
        <v>0.0117624917662558</v>
      </c>
      <c r="O52" s="33" t="n">
        <f aca="false">L52/$L$123</f>
        <v>0.0104627886735709</v>
      </c>
      <c r="P52" s="34"/>
      <c r="Q52" s="35" t="n">
        <v>750</v>
      </c>
      <c r="R52" s="36" t="n">
        <f aca="false">IF(Q52=L52,0,1)</f>
        <v>0</v>
      </c>
    </row>
    <row r="53" customFormat="false" ht="13" hidden="false" customHeight="false" outlineLevel="0" collapsed="false">
      <c r="C53" s="26" t="n">
        <v>23365</v>
      </c>
      <c r="D53" s="26" t="s">
        <v>118</v>
      </c>
      <c r="E53" s="26" t="s">
        <v>119</v>
      </c>
      <c r="F53" s="26" t="s">
        <v>120</v>
      </c>
      <c r="G53" s="26" t="s">
        <v>40</v>
      </c>
      <c r="H53" s="27" t="n">
        <v>41099</v>
      </c>
      <c r="I53" s="28" t="n">
        <f aca="false">VALUE(MONTH(H53))</f>
        <v>7</v>
      </c>
      <c r="J53" s="29" t="n">
        <v>165</v>
      </c>
      <c r="K53" s="30" t="n">
        <v>4.5</v>
      </c>
      <c r="L53" s="31" t="n">
        <f aca="false">K53*J53</f>
        <v>742.5</v>
      </c>
      <c r="M53" s="32"/>
      <c r="N53" s="33" t="n">
        <f aca="false">J53/$J$123</f>
        <v>0.0155264891314576</v>
      </c>
      <c r="O53" s="33" t="n">
        <f aca="false">L53/$L$123</f>
        <v>0.0103581607868352</v>
      </c>
      <c r="P53" s="34"/>
      <c r="Q53" s="35" t="n">
        <v>742.5</v>
      </c>
      <c r="R53" s="36" t="n">
        <f aca="false">IF(Q53=L53,0,1)</f>
        <v>0</v>
      </c>
    </row>
    <row r="54" customFormat="false" ht="13" hidden="false" customHeight="false" outlineLevel="0" collapsed="false">
      <c r="C54" s="26" t="n">
        <v>23302</v>
      </c>
      <c r="D54" s="26" t="s">
        <v>121</v>
      </c>
      <c r="E54" s="26" t="s">
        <v>95</v>
      </c>
      <c r="F54" s="26" t="s">
        <v>122</v>
      </c>
      <c r="G54" s="26" t="s">
        <v>34</v>
      </c>
      <c r="H54" s="27" t="n">
        <v>41117</v>
      </c>
      <c r="I54" s="28" t="n">
        <f aca="false">VALUE(MONTH(H54))</f>
        <v>7</v>
      </c>
      <c r="J54" s="29" t="n">
        <v>105</v>
      </c>
      <c r="K54" s="30" t="n">
        <v>6.5</v>
      </c>
      <c r="L54" s="31" t="n">
        <f aca="false">K54*J54</f>
        <v>682.5</v>
      </c>
      <c r="M54" s="32"/>
      <c r="N54" s="33" t="n">
        <f aca="false">J54/$J$123</f>
        <v>0.00988049308365484</v>
      </c>
      <c r="O54" s="33" t="n">
        <f aca="false">L54/$L$123</f>
        <v>0.00952113769294952</v>
      </c>
      <c r="P54" s="34"/>
      <c r="Q54" s="35" t="n">
        <v>682.5</v>
      </c>
      <c r="R54" s="36" t="n">
        <f aca="false">IF(Q54=L54,0,1)</f>
        <v>0</v>
      </c>
    </row>
    <row r="55" customFormat="false" ht="13" hidden="false" customHeight="false" outlineLevel="0" collapsed="false">
      <c r="C55" s="26" t="n">
        <v>23266</v>
      </c>
      <c r="D55" s="26" t="s">
        <v>123</v>
      </c>
      <c r="E55" s="26" t="s">
        <v>124</v>
      </c>
      <c r="F55" s="26" t="s">
        <v>111</v>
      </c>
      <c r="G55" s="26" t="s">
        <v>34</v>
      </c>
      <c r="H55" s="27" t="n">
        <v>41132</v>
      </c>
      <c r="I55" s="28" t="n">
        <f aca="false">VALUE(MONTH(H55))</f>
        <v>8</v>
      </c>
      <c r="J55" s="29" t="n">
        <v>170</v>
      </c>
      <c r="K55" s="30" t="n">
        <v>3.99</v>
      </c>
      <c r="L55" s="31" t="n">
        <f aca="false">K55*J55</f>
        <v>678.3</v>
      </c>
      <c r="M55" s="32"/>
      <c r="N55" s="33" t="n">
        <f aca="false">J55/$J$123</f>
        <v>0.0159969888021078</v>
      </c>
      <c r="O55" s="33" t="n">
        <f aca="false">L55/$L$123</f>
        <v>0.00946254607637752</v>
      </c>
      <c r="P55" s="34"/>
      <c r="Q55" s="35" t="n">
        <v>678.3</v>
      </c>
      <c r="R55" s="36" t="n">
        <f aca="false">IF(Q55=L55,0,1)</f>
        <v>0</v>
      </c>
    </row>
    <row r="56" customFormat="false" ht="13" hidden="false" customHeight="false" outlineLevel="0" collapsed="false">
      <c r="C56" s="26" t="n">
        <v>23307</v>
      </c>
      <c r="D56" s="26" t="s">
        <v>125</v>
      </c>
      <c r="E56" s="26" t="s">
        <v>126</v>
      </c>
      <c r="F56" s="26" t="s">
        <v>89</v>
      </c>
      <c r="G56" s="26" t="s">
        <v>40</v>
      </c>
      <c r="H56" s="27" t="n">
        <v>41094</v>
      </c>
      <c r="I56" s="28" t="n">
        <f aca="false">VALUE(MONTH(H56))</f>
        <v>7</v>
      </c>
      <c r="J56" s="29" t="n">
        <v>113</v>
      </c>
      <c r="K56" s="30" t="n">
        <v>6</v>
      </c>
      <c r="L56" s="31" t="n">
        <f aca="false">K56*J56</f>
        <v>678</v>
      </c>
      <c r="M56" s="32"/>
      <c r="N56" s="33" t="n">
        <f aca="false">J56/$J$123</f>
        <v>0.0106332925566952</v>
      </c>
      <c r="O56" s="33" t="n">
        <f aca="false">L56/$L$123</f>
        <v>0.00945836096090809</v>
      </c>
      <c r="P56" s="34"/>
      <c r="Q56" s="35" t="n">
        <v>678</v>
      </c>
      <c r="R56" s="36" t="n">
        <f aca="false">IF(Q56=L56,0,1)</f>
        <v>0</v>
      </c>
    </row>
    <row r="57" customFormat="false" ht="13" hidden="false" customHeight="false" outlineLevel="0" collapsed="false">
      <c r="C57" s="26" t="n">
        <v>23368</v>
      </c>
      <c r="D57" s="26" t="s">
        <v>127</v>
      </c>
      <c r="E57" s="26" t="s">
        <v>128</v>
      </c>
      <c r="F57" s="26" t="s">
        <v>120</v>
      </c>
      <c r="G57" s="26" t="s">
        <v>40</v>
      </c>
      <c r="H57" s="27" t="n">
        <v>41146</v>
      </c>
      <c r="I57" s="28" t="n">
        <f aca="false">VALUE(MONTH(H57))</f>
        <v>8</v>
      </c>
      <c r="J57" s="29" t="n">
        <v>150</v>
      </c>
      <c r="K57" s="30" t="n">
        <v>4.5</v>
      </c>
      <c r="L57" s="31" t="n">
        <f aca="false">K57*J57</f>
        <v>675</v>
      </c>
      <c r="M57" s="32"/>
      <c r="N57" s="33" t="n">
        <f aca="false">J57/$J$123</f>
        <v>0.0141149901195069</v>
      </c>
      <c r="O57" s="33" t="n">
        <f aca="false">L57/$L$123</f>
        <v>0.00941650980621381</v>
      </c>
      <c r="P57" s="34"/>
      <c r="Q57" s="35" t="n">
        <v>675</v>
      </c>
      <c r="R57" s="36" t="n">
        <f aca="false">IF(Q57=L57,0,1)</f>
        <v>0</v>
      </c>
    </row>
    <row r="58" customFormat="false" ht="13" hidden="false" customHeight="false" outlineLevel="0" collapsed="false">
      <c r="C58" s="26" t="n">
        <v>23286</v>
      </c>
      <c r="D58" s="26" t="s">
        <v>129</v>
      </c>
      <c r="E58" s="26" t="s">
        <v>130</v>
      </c>
      <c r="F58" s="26" t="s">
        <v>54</v>
      </c>
      <c r="G58" s="26" t="s">
        <v>34</v>
      </c>
      <c r="H58" s="27" t="n">
        <v>41129</v>
      </c>
      <c r="I58" s="28" t="n">
        <f aca="false">VALUE(MONTH(H58))</f>
        <v>8</v>
      </c>
      <c r="J58" s="29" t="n">
        <v>69</v>
      </c>
      <c r="K58" s="30" t="n">
        <v>9</v>
      </c>
      <c r="L58" s="31" t="n">
        <f aca="false">K58*J58</f>
        <v>621</v>
      </c>
      <c r="M58" s="32"/>
      <c r="N58" s="33" t="n">
        <f aca="false">J58/$J$123</f>
        <v>0.00649289545497318</v>
      </c>
      <c r="O58" s="33" t="n">
        <f aca="false">L58/$L$123</f>
        <v>0.0086631890217167</v>
      </c>
      <c r="P58" s="34"/>
      <c r="Q58" s="35" t="n">
        <v>621</v>
      </c>
      <c r="R58" s="36" t="n">
        <f aca="false">IF(Q58=L58,0,1)</f>
        <v>0</v>
      </c>
    </row>
    <row r="59" customFormat="false" ht="13" hidden="false" customHeight="false" outlineLevel="0" collapsed="false">
      <c r="C59" s="26" t="n">
        <v>23373</v>
      </c>
      <c r="D59" s="26" t="s">
        <v>131</v>
      </c>
      <c r="E59" s="26" t="s">
        <v>132</v>
      </c>
      <c r="F59" s="26" t="s">
        <v>86</v>
      </c>
      <c r="G59" s="26" t="s">
        <v>34</v>
      </c>
      <c r="H59" s="27" t="n">
        <v>41114</v>
      </c>
      <c r="I59" s="28" t="n">
        <f aca="false">VALUE(MONTH(H59))</f>
        <v>7</v>
      </c>
      <c r="J59" s="29" t="n">
        <v>95</v>
      </c>
      <c r="K59" s="30" t="n">
        <v>6.5</v>
      </c>
      <c r="L59" s="31" t="n">
        <f aca="false">K59*J59</f>
        <v>617.5</v>
      </c>
      <c r="M59" s="32"/>
      <c r="N59" s="33" t="n">
        <f aca="false">J59/$J$123</f>
        <v>0.00893949374235438</v>
      </c>
      <c r="O59" s="33" t="n">
        <f aca="false">L59/$L$123</f>
        <v>0.00861436267457338</v>
      </c>
      <c r="P59" s="34"/>
      <c r="Q59" s="35" t="n">
        <v>617.5</v>
      </c>
      <c r="R59" s="36" t="n">
        <f aca="false">IF(Q59=L59,0,1)</f>
        <v>0</v>
      </c>
    </row>
    <row r="60" customFormat="false" ht="13" hidden="false" customHeight="false" outlineLevel="0" collapsed="false">
      <c r="C60" s="26" t="n">
        <v>23380</v>
      </c>
      <c r="D60" s="26" t="s">
        <v>133</v>
      </c>
      <c r="E60" s="26" t="s">
        <v>134</v>
      </c>
      <c r="F60" s="26" t="s">
        <v>122</v>
      </c>
      <c r="G60" s="26" t="s">
        <v>40</v>
      </c>
      <c r="H60" s="27" t="n">
        <v>41112</v>
      </c>
      <c r="I60" s="28" t="n">
        <f aca="false">VALUE(MONTH(H60))</f>
        <v>7</v>
      </c>
      <c r="J60" s="29" t="n">
        <v>95</v>
      </c>
      <c r="K60" s="30" t="n">
        <v>6.5</v>
      </c>
      <c r="L60" s="31" t="n">
        <f aca="false">K60*J60</f>
        <v>617.5</v>
      </c>
      <c r="M60" s="32"/>
      <c r="N60" s="33" t="n">
        <f aca="false">J60/$J$123</f>
        <v>0.00893949374235438</v>
      </c>
      <c r="O60" s="33" t="n">
        <f aca="false">L60/$L$123</f>
        <v>0.00861436267457338</v>
      </c>
      <c r="P60" s="34"/>
      <c r="Q60" s="35" t="n">
        <v>617.5</v>
      </c>
      <c r="R60" s="36" t="n">
        <f aca="false">IF(Q60=L60,0,1)</f>
        <v>0</v>
      </c>
    </row>
    <row r="61" customFormat="false" ht="13" hidden="false" customHeight="false" outlineLevel="0" collapsed="false">
      <c r="C61" s="26" t="n">
        <v>23284</v>
      </c>
      <c r="D61" s="26" t="s">
        <v>135</v>
      </c>
      <c r="E61" s="26" t="s">
        <v>136</v>
      </c>
      <c r="F61" s="26" t="s">
        <v>98</v>
      </c>
      <c r="G61" s="26" t="s">
        <v>40</v>
      </c>
      <c r="H61" s="27" t="n">
        <v>41077</v>
      </c>
      <c r="I61" s="28" t="n">
        <f aca="false">VALUE(MONTH(H61))</f>
        <v>6</v>
      </c>
      <c r="J61" s="29" t="n">
        <v>135</v>
      </c>
      <c r="K61" s="30" t="n">
        <v>4.5</v>
      </c>
      <c r="L61" s="31" t="n">
        <f aca="false">K61*J61</f>
        <v>607.5</v>
      </c>
      <c r="M61" s="32"/>
      <c r="N61" s="33" t="n">
        <f aca="false">J61/$J$123</f>
        <v>0.0127034911075562</v>
      </c>
      <c r="O61" s="33" t="n">
        <f aca="false">L61/$L$123</f>
        <v>0.00847485882559243</v>
      </c>
      <c r="P61" s="34"/>
      <c r="Q61" s="35" t="n">
        <v>607.5</v>
      </c>
      <c r="R61" s="36" t="n">
        <f aca="false">IF(Q61=L61,0,1)</f>
        <v>0</v>
      </c>
    </row>
    <row r="62" customFormat="false" ht="13" hidden="false" customHeight="false" outlineLevel="0" collapsed="false">
      <c r="C62" s="26" t="n">
        <v>23306</v>
      </c>
      <c r="D62" s="26" t="s">
        <v>137</v>
      </c>
      <c r="E62" s="26" t="s">
        <v>138</v>
      </c>
      <c r="F62" s="26" t="s">
        <v>86</v>
      </c>
      <c r="G62" s="26" t="s">
        <v>34</v>
      </c>
      <c r="H62" s="27" t="n">
        <v>41068</v>
      </c>
      <c r="I62" s="28" t="n">
        <f aca="false">VALUE(MONTH(H62))</f>
        <v>6</v>
      </c>
      <c r="J62" s="29" t="n">
        <v>93</v>
      </c>
      <c r="K62" s="30" t="n">
        <v>6.5</v>
      </c>
      <c r="L62" s="31" t="n">
        <f aca="false">K62*J62</f>
        <v>604.5</v>
      </c>
      <c r="M62" s="32"/>
      <c r="N62" s="33" t="n">
        <f aca="false">J62/$J$123</f>
        <v>0.00875129387409429</v>
      </c>
      <c r="O62" s="33" t="n">
        <f aca="false">L62/$L$123</f>
        <v>0.00843300767089815</v>
      </c>
      <c r="P62" s="34"/>
      <c r="Q62" s="35" t="n">
        <v>604.5</v>
      </c>
      <c r="R62" s="36" t="n">
        <f aca="false">IF(Q62=L62,0,1)</f>
        <v>0</v>
      </c>
    </row>
    <row r="63" customFormat="false" ht="13" hidden="false" customHeight="false" outlineLevel="0" collapsed="false">
      <c r="C63" s="26" t="n">
        <v>23281</v>
      </c>
      <c r="D63" s="26" t="s">
        <v>139</v>
      </c>
      <c r="E63" s="26" t="s">
        <v>140</v>
      </c>
      <c r="F63" s="26" t="s">
        <v>120</v>
      </c>
      <c r="G63" s="26" t="s">
        <v>40</v>
      </c>
      <c r="H63" s="27" t="n">
        <v>41103</v>
      </c>
      <c r="I63" s="28" t="n">
        <f aca="false">VALUE(MONTH(H63))</f>
        <v>7</v>
      </c>
      <c r="J63" s="29" t="n">
        <v>134</v>
      </c>
      <c r="K63" s="30" t="n">
        <v>4.5</v>
      </c>
      <c r="L63" s="31" t="n">
        <f aca="false">K63*J63</f>
        <v>603</v>
      </c>
      <c r="M63" s="32"/>
      <c r="N63" s="33" t="n">
        <f aca="false">J63/$J$123</f>
        <v>0.0126093911734262</v>
      </c>
      <c r="O63" s="33" t="n">
        <f aca="false">L63/$L$123</f>
        <v>0.008412082093551</v>
      </c>
      <c r="P63" s="34"/>
      <c r="Q63" s="35" t="n">
        <v>603</v>
      </c>
      <c r="R63" s="36" t="n">
        <f aca="false">IF(Q63=L63,0,1)</f>
        <v>0</v>
      </c>
    </row>
    <row r="64" customFormat="false" ht="13" hidden="false" customHeight="false" outlineLevel="0" collapsed="false">
      <c r="C64" s="26" t="n">
        <v>23351</v>
      </c>
      <c r="D64" s="26" t="s">
        <v>141</v>
      </c>
      <c r="E64" s="26" t="s">
        <v>142</v>
      </c>
      <c r="F64" s="26" t="s">
        <v>111</v>
      </c>
      <c r="G64" s="26" t="s">
        <v>34</v>
      </c>
      <c r="H64" s="27" t="n">
        <v>41124</v>
      </c>
      <c r="I64" s="28" t="n">
        <f aca="false">VALUE(MONTH(H64))</f>
        <v>8</v>
      </c>
      <c r="J64" s="29" t="n">
        <v>151</v>
      </c>
      <c r="K64" s="30" t="n">
        <v>3.99</v>
      </c>
      <c r="L64" s="31" t="n">
        <f aca="false">K64*J64</f>
        <v>602.49</v>
      </c>
      <c r="M64" s="32"/>
      <c r="N64" s="33" t="n">
        <f aca="false">J64/$J$123</f>
        <v>0.014209090053637</v>
      </c>
      <c r="O64" s="33" t="n">
        <f aca="false">L64/$L$123</f>
        <v>0.00840496739725298</v>
      </c>
      <c r="P64" s="34"/>
      <c r="Q64" s="35" t="n">
        <v>602.49</v>
      </c>
      <c r="R64" s="36" t="n">
        <f aca="false">IF(Q64=L64,0,1)</f>
        <v>0</v>
      </c>
    </row>
    <row r="65" customFormat="false" ht="13" hidden="false" customHeight="false" outlineLevel="0" collapsed="false">
      <c r="C65" s="26" t="n">
        <v>23282</v>
      </c>
      <c r="D65" s="26" t="s">
        <v>143</v>
      </c>
      <c r="E65" s="26" t="s">
        <v>144</v>
      </c>
      <c r="F65" s="26" t="s">
        <v>89</v>
      </c>
      <c r="G65" s="26" t="s">
        <v>40</v>
      </c>
      <c r="H65" s="27" t="n">
        <v>41142</v>
      </c>
      <c r="I65" s="28" t="n">
        <f aca="false">VALUE(MONTH(H65))</f>
        <v>8</v>
      </c>
      <c r="J65" s="29" t="n">
        <v>100</v>
      </c>
      <c r="K65" s="30" t="n">
        <v>6</v>
      </c>
      <c r="L65" s="31" t="n">
        <f aca="false">K65*J65</f>
        <v>600</v>
      </c>
      <c r="M65" s="32"/>
      <c r="N65" s="33" t="n">
        <f aca="false">J65/$J$123</f>
        <v>0.00940999341300461</v>
      </c>
      <c r="O65" s="33" t="n">
        <f aca="false">L65/$L$123</f>
        <v>0.00837023093885672</v>
      </c>
      <c r="P65" s="34"/>
      <c r="Q65" s="35" t="n">
        <v>600</v>
      </c>
      <c r="R65" s="36" t="n">
        <f aca="false">IF(Q65=L65,0,1)</f>
        <v>0</v>
      </c>
    </row>
    <row r="66" customFormat="false" ht="13" hidden="false" customHeight="false" outlineLevel="0" collapsed="false">
      <c r="C66" s="26" t="n">
        <v>23376</v>
      </c>
      <c r="D66" s="26" t="s">
        <v>145</v>
      </c>
      <c r="E66" s="26" t="s">
        <v>146</v>
      </c>
      <c r="F66" s="26" t="s">
        <v>73</v>
      </c>
      <c r="G66" s="26" t="s">
        <v>37</v>
      </c>
      <c r="H66" s="27" t="n">
        <v>41113</v>
      </c>
      <c r="I66" s="28" t="n">
        <f aca="false">VALUE(MONTH(H66))</f>
        <v>7</v>
      </c>
      <c r="J66" s="29" t="n">
        <v>85</v>
      </c>
      <c r="K66" s="30" t="n">
        <v>6.99</v>
      </c>
      <c r="L66" s="31" t="n">
        <f aca="false">K66*J66</f>
        <v>594.15</v>
      </c>
      <c r="M66" s="32"/>
      <c r="N66" s="33" t="n">
        <f aca="false">J66/$J$123</f>
        <v>0.00799849440105392</v>
      </c>
      <c r="O66" s="33" t="n">
        <f aca="false">L66/$L$123</f>
        <v>0.00828862118720287</v>
      </c>
      <c r="P66" s="34"/>
      <c r="Q66" s="35" t="n">
        <v>594.15</v>
      </c>
      <c r="R66" s="36" t="n">
        <f aca="false">IF(Q66=L66,0,1)</f>
        <v>0</v>
      </c>
    </row>
    <row r="67" customFormat="false" ht="13" hidden="false" customHeight="false" outlineLevel="0" collapsed="false">
      <c r="C67" s="26" t="n">
        <v>23354</v>
      </c>
      <c r="D67" s="26" t="s">
        <v>147</v>
      </c>
      <c r="E67" s="26" t="s">
        <v>148</v>
      </c>
      <c r="F67" s="26" t="s">
        <v>73</v>
      </c>
      <c r="G67" s="26" t="s">
        <v>34</v>
      </c>
      <c r="H67" s="27" t="n">
        <v>41124</v>
      </c>
      <c r="I67" s="28" t="n">
        <f aca="false">VALUE(MONTH(H67))</f>
        <v>8</v>
      </c>
      <c r="J67" s="29" t="n">
        <v>84</v>
      </c>
      <c r="K67" s="30" t="n">
        <v>6.99</v>
      </c>
      <c r="L67" s="31" t="n">
        <f aca="false">K67*J67</f>
        <v>587.16</v>
      </c>
      <c r="M67" s="32"/>
      <c r="N67" s="33" t="n">
        <f aca="false">J67/$J$123</f>
        <v>0.00790439446692387</v>
      </c>
      <c r="O67" s="33" t="n">
        <f aca="false">L67/$L$123</f>
        <v>0.00819110799676519</v>
      </c>
      <c r="P67" s="34"/>
      <c r="Q67" s="35" t="n">
        <v>587.16</v>
      </c>
      <c r="R67" s="36" t="n">
        <f aca="false">IF(Q67=L67,0,1)</f>
        <v>0</v>
      </c>
    </row>
    <row r="68" customFormat="false" ht="13" hidden="false" customHeight="false" outlineLevel="0" collapsed="false">
      <c r="C68" s="26" t="n">
        <v>23337</v>
      </c>
      <c r="D68" s="26" t="s">
        <v>149</v>
      </c>
      <c r="E68" s="26" t="s">
        <v>150</v>
      </c>
      <c r="F68" s="26" t="s">
        <v>73</v>
      </c>
      <c r="G68" s="26" t="s">
        <v>40</v>
      </c>
      <c r="H68" s="27" t="n">
        <v>41097</v>
      </c>
      <c r="I68" s="28" t="n">
        <f aca="false">VALUE(MONTH(H68))</f>
        <v>7</v>
      </c>
      <c r="J68" s="29" t="n">
        <v>82</v>
      </c>
      <c r="K68" s="30" t="n">
        <v>6.99</v>
      </c>
      <c r="L68" s="31" t="n">
        <f aca="false">K68*J68</f>
        <v>573.18</v>
      </c>
      <c r="M68" s="32"/>
      <c r="N68" s="33" t="n">
        <f aca="false">J68/$J$123</f>
        <v>0.00771619459866378</v>
      </c>
      <c r="O68" s="33" t="n">
        <f aca="false">L68/$L$123</f>
        <v>0.00799608161588983</v>
      </c>
      <c r="P68" s="34"/>
      <c r="Q68" s="35" t="n">
        <v>573.18</v>
      </c>
      <c r="R68" s="36" t="n">
        <f aca="false">IF(Q68=L68,0,1)</f>
        <v>0</v>
      </c>
    </row>
    <row r="69" customFormat="false" ht="13" hidden="false" customHeight="false" outlineLevel="0" collapsed="false">
      <c r="C69" s="26" t="n">
        <v>23326</v>
      </c>
      <c r="D69" s="26" t="s">
        <v>151</v>
      </c>
      <c r="E69" s="26" t="s">
        <v>152</v>
      </c>
      <c r="F69" s="26" t="s">
        <v>120</v>
      </c>
      <c r="G69" s="26" t="s">
        <v>40</v>
      </c>
      <c r="H69" s="27" t="n">
        <v>41142</v>
      </c>
      <c r="I69" s="28" t="n">
        <f aca="false">VALUE(MONTH(H69))</f>
        <v>8</v>
      </c>
      <c r="J69" s="29" t="n">
        <v>126</v>
      </c>
      <c r="K69" s="30" t="n">
        <v>4.5</v>
      </c>
      <c r="L69" s="31" t="n">
        <f aca="false">K69*J69</f>
        <v>567</v>
      </c>
      <c r="M69" s="32"/>
      <c r="N69" s="33" t="n">
        <f aca="false">J69/$J$123</f>
        <v>0.0118565917003858</v>
      </c>
      <c r="O69" s="33" t="n">
        <f aca="false">L69/$L$123</f>
        <v>0.0079098682372196</v>
      </c>
      <c r="P69" s="34"/>
      <c r="Q69" s="35" t="n">
        <v>567</v>
      </c>
      <c r="R69" s="36" t="n">
        <f aca="false">IF(Q69=L69,0,1)</f>
        <v>0</v>
      </c>
    </row>
    <row r="70" customFormat="false" ht="13" hidden="false" customHeight="false" outlineLevel="0" collapsed="false">
      <c r="C70" s="26" t="n">
        <v>23316</v>
      </c>
      <c r="D70" s="26" t="s">
        <v>153</v>
      </c>
      <c r="E70" s="26" t="s">
        <v>154</v>
      </c>
      <c r="F70" s="26" t="s">
        <v>111</v>
      </c>
      <c r="G70" s="26" t="s">
        <v>40</v>
      </c>
      <c r="H70" s="27" t="n">
        <v>41061</v>
      </c>
      <c r="I70" s="28" t="n">
        <f aca="false">VALUE(MONTH(H70))</f>
        <v>6</v>
      </c>
      <c r="J70" s="29" t="n">
        <v>137</v>
      </c>
      <c r="K70" s="30" t="n">
        <v>3.99</v>
      </c>
      <c r="L70" s="31" t="n">
        <f aca="false">K70*J70</f>
        <v>546.63</v>
      </c>
      <c r="M70" s="32"/>
      <c r="N70" s="33" t="n">
        <f aca="false">J70/$J$123</f>
        <v>0.0128916909758163</v>
      </c>
      <c r="O70" s="33" t="n">
        <f aca="false">L70/$L$123</f>
        <v>0.00762569889684542</v>
      </c>
      <c r="P70" s="34"/>
      <c r="Q70" s="35" t="n">
        <v>546.63</v>
      </c>
      <c r="R70" s="36" t="n">
        <f aca="false">IF(Q70=L70,0,1)</f>
        <v>0</v>
      </c>
    </row>
    <row r="71" customFormat="false" ht="13" hidden="false" customHeight="false" outlineLevel="0" collapsed="false">
      <c r="C71" s="26" t="n">
        <v>23362</v>
      </c>
      <c r="D71" s="26" t="s">
        <v>155</v>
      </c>
      <c r="E71" s="26" t="s">
        <v>156</v>
      </c>
      <c r="F71" s="26" t="s">
        <v>157</v>
      </c>
      <c r="G71" s="26" t="s">
        <v>34</v>
      </c>
      <c r="H71" s="27" t="n">
        <v>41139</v>
      </c>
      <c r="I71" s="28" t="n">
        <f aca="false">VALUE(MONTH(H71))</f>
        <v>8</v>
      </c>
      <c r="J71" s="29" t="n">
        <v>179</v>
      </c>
      <c r="K71" s="30" t="n">
        <v>3</v>
      </c>
      <c r="L71" s="31" t="n">
        <f aca="false">K71*J71</f>
        <v>537</v>
      </c>
      <c r="M71" s="32"/>
      <c r="N71" s="33" t="n">
        <f aca="false">J71/$J$123</f>
        <v>0.0168438882092783</v>
      </c>
      <c r="O71" s="33" t="n">
        <f aca="false">L71/$L$123</f>
        <v>0.00749135669027676</v>
      </c>
      <c r="P71" s="34"/>
      <c r="Q71" s="35" t="n">
        <v>537</v>
      </c>
      <c r="R71" s="36" t="n">
        <f aca="false">IF(Q71=L71,0,1)</f>
        <v>0</v>
      </c>
    </row>
    <row r="72" customFormat="false" ht="13" hidden="false" customHeight="false" outlineLevel="0" collapsed="false">
      <c r="C72" s="26" t="n">
        <v>23296</v>
      </c>
      <c r="D72" s="26" t="s">
        <v>158</v>
      </c>
      <c r="E72" s="26" t="s">
        <v>159</v>
      </c>
      <c r="F72" s="26" t="s">
        <v>33</v>
      </c>
      <c r="G72" s="26" t="s">
        <v>40</v>
      </c>
      <c r="H72" s="27" t="n">
        <v>41068</v>
      </c>
      <c r="I72" s="28" t="n">
        <f aca="false">VALUE(MONTH(H72))</f>
        <v>6</v>
      </c>
      <c r="J72" s="29" t="n">
        <v>37</v>
      </c>
      <c r="K72" s="30" t="n">
        <v>14.5</v>
      </c>
      <c r="L72" s="31" t="n">
        <f aca="false">K72*J72</f>
        <v>536.5</v>
      </c>
      <c r="M72" s="32"/>
      <c r="N72" s="33" t="n">
        <f aca="false">J72/$J$123</f>
        <v>0.00348169756281171</v>
      </c>
      <c r="O72" s="33" t="n">
        <f aca="false">L72/$L$123</f>
        <v>0.00748438149782772</v>
      </c>
      <c r="P72" s="34"/>
      <c r="Q72" s="35" t="n">
        <v>536.5</v>
      </c>
      <c r="R72" s="36" t="n">
        <f aca="false">IF(Q72=L72,0,1)</f>
        <v>0</v>
      </c>
    </row>
    <row r="73" customFormat="false" ht="13" hidden="false" customHeight="false" outlineLevel="0" collapsed="false">
      <c r="C73" s="26" t="n">
        <v>23352</v>
      </c>
      <c r="D73" s="26" t="s">
        <v>160</v>
      </c>
      <c r="E73" s="26" t="s">
        <v>161</v>
      </c>
      <c r="F73" s="26" t="s">
        <v>89</v>
      </c>
      <c r="G73" s="26" t="s">
        <v>34</v>
      </c>
      <c r="H73" s="27" t="n">
        <v>41097</v>
      </c>
      <c r="I73" s="28" t="n">
        <f aca="false">VALUE(MONTH(H73))</f>
        <v>7</v>
      </c>
      <c r="J73" s="29" t="n">
        <v>89</v>
      </c>
      <c r="K73" s="30" t="n">
        <v>6</v>
      </c>
      <c r="L73" s="31" t="n">
        <f aca="false">K73*J73</f>
        <v>534</v>
      </c>
      <c r="M73" s="32"/>
      <c r="N73" s="33" t="n">
        <f aca="false">J73/$J$123</f>
        <v>0.0083748941375741</v>
      </c>
      <c r="O73" s="33" t="n">
        <f aca="false">L73/$L$123</f>
        <v>0.00744950553558248</v>
      </c>
      <c r="P73" s="34"/>
      <c r="Q73" s="35" t="n">
        <v>534</v>
      </c>
      <c r="R73" s="36" t="n">
        <f aca="false">IF(Q73=L73,0,1)</f>
        <v>0</v>
      </c>
    </row>
    <row r="74" customFormat="false" ht="13" hidden="false" customHeight="false" outlineLevel="0" collapsed="false">
      <c r="C74" s="26" t="n">
        <v>23304</v>
      </c>
      <c r="D74" s="26" t="s">
        <v>162</v>
      </c>
      <c r="E74" s="26" t="s">
        <v>163</v>
      </c>
      <c r="F74" s="26" t="s">
        <v>111</v>
      </c>
      <c r="G74" s="26" t="s">
        <v>40</v>
      </c>
      <c r="H74" s="27" t="n">
        <v>41061</v>
      </c>
      <c r="I74" s="28" t="n">
        <f aca="false">VALUE(MONTH(H74))</f>
        <v>6</v>
      </c>
      <c r="J74" s="29" t="n">
        <v>131</v>
      </c>
      <c r="K74" s="30" t="n">
        <v>3.99</v>
      </c>
      <c r="L74" s="31" t="n">
        <f aca="false">K74*J74</f>
        <v>522.69</v>
      </c>
      <c r="M74" s="32"/>
      <c r="N74" s="33" t="n">
        <f aca="false">J74/$J$123</f>
        <v>0.012327091371036</v>
      </c>
      <c r="O74" s="33" t="n">
        <f aca="false">L74/$L$123</f>
        <v>0.00729172668238503</v>
      </c>
      <c r="P74" s="34"/>
      <c r="Q74" s="35" t="n">
        <v>522.69</v>
      </c>
      <c r="R74" s="36" t="n">
        <f aca="false">IF(Q74=L74,0,1)</f>
        <v>0</v>
      </c>
    </row>
    <row r="75" customFormat="false" ht="13" hidden="false" customHeight="false" outlineLevel="0" collapsed="false">
      <c r="C75" s="26" t="n">
        <v>23369</v>
      </c>
      <c r="D75" s="26" t="s">
        <v>164</v>
      </c>
      <c r="E75" s="26" t="s">
        <v>165</v>
      </c>
      <c r="F75" s="26" t="s">
        <v>122</v>
      </c>
      <c r="G75" s="26" t="s">
        <v>40</v>
      </c>
      <c r="H75" s="27" t="n">
        <v>41092</v>
      </c>
      <c r="I75" s="28" t="n">
        <f aca="false">VALUE(MONTH(H75))</f>
        <v>7</v>
      </c>
      <c r="J75" s="29" t="n">
        <v>77</v>
      </c>
      <c r="K75" s="30" t="n">
        <v>6.5</v>
      </c>
      <c r="L75" s="31" t="n">
        <f aca="false">K75*J75</f>
        <v>500.5</v>
      </c>
      <c r="M75" s="32"/>
      <c r="N75" s="33" t="n">
        <f aca="false">J75/$J$123</f>
        <v>0.00724569492801355</v>
      </c>
      <c r="O75" s="33" t="n">
        <f aca="false">L75/$L$123</f>
        <v>0.00698216764149631</v>
      </c>
      <c r="P75" s="34"/>
      <c r="Q75" s="35" t="n">
        <v>500.5</v>
      </c>
      <c r="R75" s="36" t="n">
        <f aca="false">IF(Q75=L75,0,1)</f>
        <v>0</v>
      </c>
    </row>
    <row r="76" customFormat="false" ht="13" hidden="false" customHeight="false" outlineLevel="0" collapsed="false">
      <c r="C76" s="26" t="n">
        <v>23268</v>
      </c>
      <c r="D76" s="26" t="s">
        <v>166</v>
      </c>
      <c r="E76" s="26" t="s">
        <v>167</v>
      </c>
      <c r="F76" s="26" t="s">
        <v>89</v>
      </c>
      <c r="G76" s="26" t="s">
        <v>34</v>
      </c>
      <c r="H76" s="27" t="n">
        <v>41102</v>
      </c>
      <c r="I76" s="28" t="n">
        <f aca="false">VALUE(MONTH(H76))</f>
        <v>7</v>
      </c>
      <c r="J76" s="29" t="n">
        <v>82</v>
      </c>
      <c r="K76" s="30" t="n">
        <v>6</v>
      </c>
      <c r="L76" s="31" t="n">
        <f aca="false">K76*J76</f>
        <v>492</v>
      </c>
      <c r="M76" s="32"/>
      <c r="N76" s="33" t="n">
        <f aca="false">J76/$J$123</f>
        <v>0.00771619459866378</v>
      </c>
      <c r="O76" s="33" t="n">
        <f aca="false">L76/$L$123</f>
        <v>0.00686358936986251</v>
      </c>
      <c r="P76" s="34"/>
      <c r="Q76" s="35" t="n">
        <v>492</v>
      </c>
      <c r="R76" s="36" t="n">
        <f aca="false">IF(Q76=L76,0,1)</f>
        <v>0</v>
      </c>
    </row>
    <row r="77" customFormat="false" ht="13" hidden="false" customHeight="false" outlineLevel="0" collapsed="false">
      <c r="C77" s="26" t="n">
        <v>23315</v>
      </c>
      <c r="D77" s="26" t="s">
        <v>168</v>
      </c>
      <c r="E77" s="26" t="s">
        <v>50</v>
      </c>
      <c r="F77" s="26" t="s">
        <v>98</v>
      </c>
      <c r="G77" s="26" t="s">
        <v>40</v>
      </c>
      <c r="H77" s="27" t="n">
        <v>41102</v>
      </c>
      <c r="I77" s="28" t="n">
        <f aca="false">VALUE(MONTH(H77))</f>
        <v>7</v>
      </c>
      <c r="J77" s="29" t="n">
        <v>109</v>
      </c>
      <c r="K77" s="30" t="n">
        <v>4.5</v>
      </c>
      <c r="L77" s="31" t="n">
        <f aca="false">K77*J77</f>
        <v>490.5</v>
      </c>
      <c r="M77" s="32"/>
      <c r="N77" s="33" t="n">
        <f aca="false">J77/$J$123</f>
        <v>0.010256892820175</v>
      </c>
      <c r="O77" s="33" t="n">
        <f aca="false">L77/$L$123</f>
        <v>0.00684266379251537</v>
      </c>
      <c r="P77" s="34"/>
      <c r="Q77" s="35" t="n">
        <v>490.5</v>
      </c>
      <c r="R77" s="36" t="n">
        <f aca="false">IF(Q77=L77,0,1)</f>
        <v>0</v>
      </c>
    </row>
    <row r="78" customFormat="false" ht="13" hidden="false" customHeight="false" outlineLevel="0" collapsed="false">
      <c r="C78" s="26" t="n">
        <v>23342</v>
      </c>
      <c r="D78" s="26" t="s">
        <v>169</v>
      </c>
      <c r="E78" s="26" t="s">
        <v>170</v>
      </c>
      <c r="F78" s="26" t="s">
        <v>111</v>
      </c>
      <c r="G78" s="26" t="s">
        <v>34</v>
      </c>
      <c r="H78" s="27" t="n">
        <v>41088</v>
      </c>
      <c r="I78" s="28" t="n">
        <f aca="false">VALUE(MONTH(H78))</f>
        <v>6</v>
      </c>
      <c r="J78" s="29" t="n">
        <v>122</v>
      </c>
      <c r="K78" s="30" t="n">
        <v>3.99</v>
      </c>
      <c r="L78" s="31" t="n">
        <f aca="false">K78*J78</f>
        <v>486.78</v>
      </c>
      <c r="M78" s="32"/>
      <c r="N78" s="33" t="n">
        <f aca="false">J78/$J$123</f>
        <v>0.0114801919638656</v>
      </c>
      <c r="O78" s="33" t="n">
        <f aca="false">L78/$L$123</f>
        <v>0.00679076836069446</v>
      </c>
      <c r="P78" s="34"/>
      <c r="Q78" s="35" t="n">
        <v>486.78</v>
      </c>
      <c r="R78" s="36" t="n">
        <f aca="false">IF(Q78=L78,0,1)</f>
        <v>0</v>
      </c>
    </row>
    <row r="79" customFormat="false" ht="13" hidden="false" customHeight="false" outlineLevel="0" collapsed="false">
      <c r="C79" s="26" t="n">
        <v>23333</v>
      </c>
      <c r="D79" s="26" t="s">
        <v>171</v>
      </c>
      <c r="E79" s="26" t="s">
        <v>102</v>
      </c>
      <c r="F79" s="26" t="s">
        <v>98</v>
      </c>
      <c r="G79" s="26" t="s">
        <v>34</v>
      </c>
      <c r="H79" s="27" t="n">
        <v>41126</v>
      </c>
      <c r="I79" s="28" t="n">
        <f aca="false">VALUE(MONTH(H79))</f>
        <v>8</v>
      </c>
      <c r="J79" s="29" t="n">
        <v>106</v>
      </c>
      <c r="K79" s="30" t="n">
        <v>4.5</v>
      </c>
      <c r="L79" s="31" t="n">
        <f aca="false">K79*J79</f>
        <v>477</v>
      </c>
      <c r="M79" s="32"/>
      <c r="N79" s="33" t="n">
        <f aca="false">J79/$J$123</f>
        <v>0.00997459301778489</v>
      </c>
      <c r="O79" s="33" t="n">
        <f aca="false">L79/$L$123</f>
        <v>0.00665433359639109</v>
      </c>
      <c r="P79" s="34"/>
      <c r="Q79" s="35" t="n">
        <v>477</v>
      </c>
      <c r="R79" s="36" t="n">
        <f aca="false">IF(Q79=L79,0,1)</f>
        <v>0</v>
      </c>
    </row>
    <row r="80" customFormat="false" ht="13" hidden="false" customHeight="false" outlineLevel="0" collapsed="false">
      <c r="C80" s="26" t="n">
        <v>23263</v>
      </c>
      <c r="D80" s="26" t="s">
        <v>172</v>
      </c>
      <c r="E80" s="26" t="s">
        <v>95</v>
      </c>
      <c r="F80" s="26" t="s">
        <v>86</v>
      </c>
      <c r="G80" s="26" t="s">
        <v>34</v>
      </c>
      <c r="H80" s="27" t="n">
        <v>41096</v>
      </c>
      <c r="I80" s="28" t="n">
        <f aca="false">VALUE(MONTH(H80))</f>
        <v>7</v>
      </c>
      <c r="J80" s="29" t="n">
        <v>73</v>
      </c>
      <c r="K80" s="30" t="n">
        <v>6.5</v>
      </c>
      <c r="L80" s="31" t="n">
        <f aca="false">K80*J80</f>
        <v>474.5</v>
      </c>
      <c r="M80" s="32"/>
      <c r="N80" s="33" t="n">
        <f aca="false">J80/$J$123</f>
        <v>0.00686929519149337</v>
      </c>
      <c r="O80" s="33" t="n">
        <f aca="false">L80/$L$123</f>
        <v>0.00661945763414586</v>
      </c>
      <c r="P80" s="34"/>
      <c r="Q80" s="35" t="n">
        <v>474.5</v>
      </c>
      <c r="R80" s="36" t="n">
        <f aca="false">IF(Q80=L80,0,1)</f>
        <v>0</v>
      </c>
    </row>
    <row r="81" customFormat="false" ht="13" hidden="false" customHeight="false" outlineLevel="0" collapsed="false">
      <c r="C81" s="26" t="n">
        <v>23270</v>
      </c>
      <c r="D81" s="26" t="s">
        <v>173</v>
      </c>
      <c r="E81" s="26" t="s">
        <v>174</v>
      </c>
      <c r="F81" s="26" t="s">
        <v>73</v>
      </c>
      <c r="G81" s="26" t="s">
        <v>40</v>
      </c>
      <c r="H81" s="27" t="n">
        <v>41067</v>
      </c>
      <c r="I81" s="28" t="n">
        <f aca="false">VALUE(MONTH(H81))</f>
        <v>6</v>
      </c>
      <c r="J81" s="29" t="n">
        <v>67</v>
      </c>
      <c r="K81" s="30" t="n">
        <v>6.99</v>
      </c>
      <c r="L81" s="31" t="n">
        <f aca="false">K81*J81</f>
        <v>468.33</v>
      </c>
      <c r="M81" s="32"/>
      <c r="N81" s="33" t="n">
        <f aca="false">J81/$J$123</f>
        <v>0.00630469558671309</v>
      </c>
      <c r="O81" s="33" t="n">
        <f aca="false">L81/$L$123</f>
        <v>0.00653338375932461</v>
      </c>
      <c r="P81" s="34"/>
      <c r="Q81" s="35" t="n">
        <v>468.33</v>
      </c>
      <c r="R81" s="36" t="n">
        <f aca="false">IF(Q81=L81,0,1)</f>
        <v>0</v>
      </c>
    </row>
    <row r="82" customFormat="false" ht="13" hidden="false" customHeight="false" outlineLevel="0" collapsed="false">
      <c r="C82" s="26" t="n">
        <v>23272</v>
      </c>
      <c r="D82" s="26" t="s">
        <v>175</v>
      </c>
      <c r="E82" s="26" t="s">
        <v>176</v>
      </c>
      <c r="F82" s="26" t="s">
        <v>86</v>
      </c>
      <c r="G82" s="26" t="s">
        <v>37</v>
      </c>
      <c r="H82" s="27" t="n">
        <v>41121</v>
      </c>
      <c r="I82" s="28" t="n">
        <f aca="false">VALUE(MONTH(H82))</f>
        <v>7</v>
      </c>
      <c r="J82" s="29" t="n">
        <v>71</v>
      </c>
      <c r="K82" s="30" t="n">
        <v>6.5</v>
      </c>
      <c r="L82" s="31" t="n">
        <f aca="false">K82*J82</f>
        <v>461.5</v>
      </c>
      <c r="M82" s="32"/>
      <c r="N82" s="33" t="n">
        <f aca="false">J82/$J$123</f>
        <v>0.00668109532323327</v>
      </c>
      <c r="O82" s="33" t="n">
        <f aca="false">L82/$L$123</f>
        <v>0.00643810263047063</v>
      </c>
      <c r="P82" s="34"/>
      <c r="Q82" s="35" t="n">
        <v>461.5</v>
      </c>
      <c r="R82" s="36" t="n">
        <f aca="false">IF(Q82=L82,0,1)</f>
        <v>0</v>
      </c>
    </row>
    <row r="83" customFormat="false" ht="13" hidden="false" customHeight="false" outlineLevel="0" collapsed="false">
      <c r="C83" s="26" t="n">
        <v>23274</v>
      </c>
      <c r="D83" s="26" t="s">
        <v>177</v>
      </c>
      <c r="E83" s="26" t="s">
        <v>178</v>
      </c>
      <c r="F83" s="26" t="s">
        <v>157</v>
      </c>
      <c r="G83" s="26" t="s">
        <v>40</v>
      </c>
      <c r="H83" s="27" t="n">
        <v>41143</v>
      </c>
      <c r="I83" s="28" t="n">
        <f aca="false">VALUE(MONTH(H83))</f>
        <v>8</v>
      </c>
      <c r="J83" s="29" t="n">
        <v>153</v>
      </c>
      <c r="K83" s="30" t="n">
        <v>3</v>
      </c>
      <c r="L83" s="31" t="n">
        <f aca="false">K83*J83</f>
        <v>459</v>
      </c>
      <c r="M83" s="32"/>
      <c r="N83" s="33" t="n">
        <f aca="false">J83/$J$123</f>
        <v>0.0143972899218971</v>
      </c>
      <c r="O83" s="33" t="n">
        <f aca="false">L83/$L$123</f>
        <v>0.00640322666822539</v>
      </c>
      <c r="P83" s="34"/>
      <c r="Q83" s="35" t="n">
        <v>459</v>
      </c>
      <c r="R83" s="36" t="n">
        <f aca="false">IF(Q83=L83,0,1)</f>
        <v>0</v>
      </c>
    </row>
    <row r="84" customFormat="false" ht="13" hidden="false" customHeight="false" outlineLevel="0" collapsed="false">
      <c r="C84" s="26" t="n">
        <v>23364</v>
      </c>
      <c r="D84" s="26" t="s">
        <v>179</v>
      </c>
      <c r="E84" s="26" t="s">
        <v>180</v>
      </c>
      <c r="F84" s="26" t="s">
        <v>54</v>
      </c>
      <c r="G84" s="26" t="s">
        <v>34</v>
      </c>
      <c r="H84" s="27" t="n">
        <v>41093</v>
      </c>
      <c r="I84" s="28" t="n">
        <f aca="false">VALUE(MONTH(H84))</f>
        <v>7</v>
      </c>
      <c r="J84" s="29" t="n">
        <v>47</v>
      </c>
      <c r="K84" s="30" t="n">
        <v>9</v>
      </c>
      <c r="L84" s="31" t="n">
        <f aca="false">K84*J84</f>
        <v>423</v>
      </c>
      <c r="M84" s="32"/>
      <c r="N84" s="33" t="n">
        <f aca="false">J84/$J$123</f>
        <v>0.00442269690411217</v>
      </c>
      <c r="O84" s="33" t="n">
        <f aca="false">L84/$L$123</f>
        <v>0.00590101281189399</v>
      </c>
      <c r="P84" s="34"/>
      <c r="Q84" s="35" t="n">
        <v>423</v>
      </c>
      <c r="R84" s="36" t="n">
        <f aca="false">IF(Q84=L84,0,1)</f>
        <v>0</v>
      </c>
    </row>
    <row r="85" customFormat="false" ht="13" hidden="false" customHeight="false" outlineLevel="0" collapsed="false">
      <c r="C85" s="26" t="n">
        <v>23276</v>
      </c>
      <c r="D85" s="26" t="s">
        <v>181</v>
      </c>
      <c r="E85" s="26" t="s">
        <v>182</v>
      </c>
      <c r="F85" s="26" t="s">
        <v>122</v>
      </c>
      <c r="G85" s="26" t="s">
        <v>34</v>
      </c>
      <c r="H85" s="27" t="n">
        <v>41122</v>
      </c>
      <c r="I85" s="28" t="n">
        <f aca="false">VALUE(MONTH(H85))</f>
        <v>8</v>
      </c>
      <c r="J85" s="29" t="n">
        <v>65</v>
      </c>
      <c r="K85" s="30" t="n">
        <v>6.5</v>
      </c>
      <c r="L85" s="31" t="n">
        <f aca="false">K85*J85</f>
        <v>422.5</v>
      </c>
      <c r="M85" s="32"/>
      <c r="N85" s="33" t="n">
        <f aca="false">J85/$J$123</f>
        <v>0.006116495718453</v>
      </c>
      <c r="O85" s="33" t="n">
        <f aca="false">L85/$L$123</f>
        <v>0.00589403761944494</v>
      </c>
      <c r="P85" s="34"/>
      <c r="Q85" s="35" t="n">
        <v>422.5</v>
      </c>
      <c r="R85" s="36" t="n">
        <f aca="false">IF(Q85=L85,0,1)</f>
        <v>0</v>
      </c>
    </row>
    <row r="86" customFormat="false" ht="13" hidden="false" customHeight="false" outlineLevel="0" collapsed="false">
      <c r="C86" s="26" t="n">
        <v>23343</v>
      </c>
      <c r="D86" s="26" t="s">
        <v>183</v>
      </c>
      <c r="E86" s="26" t="s">
        <v>132</v>
      </c>
      <c r="F86" s="26" t="s">
        <v>51</v>
      </c>
      <c r="G86" s="26" t="s">
        <v>34</v>
      </c>
      <c r="H86" s="27" t="n">
        <v>41144</v>
      </c>
      <c r="I86" s="28" t="n">
        <f aca="false">VALUE(MONTH(H86))</f>
        <v>8</v>
      </c>
      <c r="J86" s="29" t="n">
        <v>42</v>
      </c>
      <c r="K86" s="30" t="n">
        <v>9.99</v>
      </c>
      <c r="L86" s="31" t="n">
        <f aca="false">K86*J86</f>
        <v>419.58</v>
      </c>
      <c r="M86" s="32"/>
      <c r="N86" s="33" t="n">
        <f aca="false">J86/$J$123</f>
        <v>0.00395219723346194</v>
      </c>
      <c r="O86" s="33" t="n">
        <f aca="false">L86/$L$123</f>
        <v>0.0058533024955425</v>
      </c>
      <c r="P86" s="34"/>
      <c r="Q86" s="35" t="n">
        <v>419.58</v>
      </c>
      <c r="R86" s="36" t="n">
        <f aca="false">IF(Q86=L86,0,1)</f>
        <v>0</v>
      </c>
    </row>
    <row r="87" customFormat="false" ht="13" hidden="false" customHeight="false" outlineLevel="0" collapsed="false">
      <c r="C87" s="26" t="n">
        <v>23344</v>
      </c>
      <c r="D87" s="26" t="s">
        <v>184</v>
      </c>
      <c r="E87" s="26" t="s">
        <v>185</v>
      </c>
      <c r="F87" s="26" t="s">
        <v>86</v>
      </c>
      <c r="G87" s="26" t="s">
        <v>34</v>
      </c>
      <c r="H87" s="27" t="n">
        <v>41265</v>
      </c>
      <c r="I87" s="28" t="n">
        <f aca="false">VALUE(MONTH(H87))</f>
        <v>12</v>
      </c>
      <c r="J87" s="29" t="n">
        <v>64</v>
      </c>
      <c r="K87" s="30" t="n">
        <v>6.5</v>
      </c>
      <c r="L87" s="31" t="n">
        <f aca="false">K87*J87</f>
        <v>416</v>
      </c>
      <c r="M87" s="32"/>
      <c r="N87" s="33" t="n">
        <f aca="false">J87/$J$123</f>
        <v>0.00602239578432295</v>
      </c>
      <c r="O87" s="33" t="n">
        <f aca="false">L87/$L$123</f>
        <v>0.00580336011760733</v>
      </c>
      <c r="P87" s="34"/>
      <c r="Q87" s="35" t="n">
        <v>416</v>
      </c>
      <c r="R87" s="36" t="n">
        <f aca="false">IF(Q87=L87,0,1)</f>
        <v>0</v>
      </c>
    </row>
    <row r="88" customFormat="false" ht="13" hidden="false" customHeight="false" outlineLevel="0" collapsed="false">
      <c r="C88" s="26" t="n">
        <v>23299</v>
      </c>
      <c r="D88" s="26" t="s">
        <v>186</v>
      </c>
      <c r="E88" s="26" t="s">
        <v>146</v>
      </c>
      <c r="F88" s="26" t="s">
        <v>111</v>
      </c>
      <c r="G88" s="26" t="s">
        <v>40</v>
      </c>
      <c r="H88" s="27" t="n">
        <v>41087</v>
      </c>
      <c r="I88" s="28" t="n">
        <f aca="false">VALUE(MONTH(H88))</f>
        <v>6</v>
      </c>
      <c r="J88" s="29" t="n">
        <v>104</v>
      </c>
      <c r="K88" s="30" t="n">
        <v>3.99</v>
      </c>
      <c r="L88" s="31" t="n">
        <f aca="false">K88*J88</f>
        <v>414.96</v>
      </c>
      <c r="M88" s="32"/>
      <c r="N88" s="33" t="n">
        <f aca="false">J88/$J$123</f>
        <v>0.0097863931495248</v>
      </c>
      <c r="O88" s="33" t="n">
        <f aca="false">L88/$L$123</f>
        <v>0.00578885171731331</v>
      </c>
      <c r="P88" s="34"/>
      <c r="Q88" s="35" t="n">
        <v>414.96</v>
      </c>
      <c r="R88" s="36" t="n">
        <f aca="false">IF(Q88=L88,0,1)</f>
        <v>0</v>
      </c>
    </row>
    <row r="89" customFormat="false" ht="13" hidden="false" customHeight="false" outlineLevel="0" collapsed="false">
      <c r="C89" s="26" t="n">
        <v>23310</v>
      </c>
      <c r="D89" s="26" t="s">
        <v>187</v>
      </c>
      <c r="E89" s="26" t="s">
        <v>42</v>
      </c>
      <c r="F89" s="26" t="s">
        <v>51</v>
      </c>
      <c r="G89" s="26" t="s">
        <v>34</v>
      </c>
      <c r="H89" s="27" t="n">
        <v>41077</v>
      </c>
      <c r="I89" s="28" t="n">
        <f aca="false">VALUE(MONTH(H89))</f>
        <v>6</v>
      </c>
      <c r="J89" s="29" t="n">
        <v>41</v>
      </c>
      <c r="K89" s="30" t="n">
        <v>9.99</v>
      </c>
      <c r="L89" s="31" t="n">
        <f aca="false">K89*J89</f>
        <v>409.59</v>
      </c>
      <c r="M89" s="32"/>
      <c r="N89" s="33" t="n">
        <f aca="false">J89/$J$123</f>
        <v>0.00385809729933189</v>
      </c>
      <c r="O89" s="33" t="n">
        <f aca="false">L89/$L$123</f>
        <v>0.00571393815041054</v>
      </c>
      <c r="P89" s="34"/>
      <c r="Q89" s="35" t="n">
        <v>409.59</v>
      </c>
      <c r="R89" s="36" t="n">
        <f aca="false">IF(Q89=L89,0,1)</f>
        <v>0</v>
      </c>
    </row>
    <row r="90" customFormat="false" ht="13" hidden="false" customHeight="false" outlineLevel="0" collapsed="false">
      <c r="C90" s="26" t="n">
        <v>23358</v>
      </c>
      <c r="D90" s="26" t="s">
        <v>188</v>
      </c>
      <c r="E90" s="26" t="s">
        <v>189</v>
      </c>
      <c r="F90" s="26" t="s">
        <v>51</v>
      </c>
      <c r="G90" s="26" t="s">
        <v>40</v>
      </c>
      <c r="H90" s="27" t="n">
        <v>41071</v>
      </c>
      <c r="I90" s="28" t="n">
        <f aca="false">VALUE(MONTH(H90))</f>
        <v>6</v>
      </c>
      <c r="J90" s="29" t="n">
        <v>41</v>
      </c>
      <c r="K90" s="30" t="n">
        <v>9.99</v>
      </c>
      <c r="L90" s="31" t="n">
        <f aca="false">K90*J90</f>
        <v>409.59</v>
      </c>
      <c r="M90" s="32"/>
      <c r="N90" s="33" t="n">
        <f aca="false">J90/$J$123</f>
        <v>0.00385809729933189</v>
      </c>
      <c r="O90" s="33" t="n">
        <f aca="false">L90/$L$123</f>
        <v>0.00571393815041054</v>
      </c>
      <c r="P90" s="34"/>
      <c r="Q90" s="35" t="n">
        <v>409.59</v>
      </c>
      <c r="R90" s="36" t="n">
        <f aca="false">IF(Q90=L90,0,1)</f>
        <v>0</v>
      </c>
    </row>
    <row r="91" customFormat="false" ht="13" hidden="false" customHeight="false" outlineLevel="0" collapsed="false">
      <c r="C91" s="26" t="n">
        <v>23323</v>
      </c>
      <c r="D91" s="26" t="s">
        <v>190</v>
      </c>
      <c r="E91" s="26" t="s">
        <v>191</v>
      </c>
      <c r="F91" s="26" t="s">
        <v>157</v>
      </c>
      <c r="G91" s="26" t="s">
        <v>34</v>
      </c>
      <c r="H91" s="27" t="n">
        <v>41272</v>
      </c>
      <c r="I91" s="28" t="n">
        <f aca="false">VALUE(MONTH(H91))</f>
        <v>12</v>
      </c>
      <c r="J91" s="29" t="n">
        <v>135</v>
      </c>
      <c r="K91" s="30" t="n">
        <v>3</v>
      </c>
      <c r="L91" s="31" t="n">
        <f aca="false">K91*J91</f>
        <v>405</v>
      </c>
      <c r="M91" s="32"/>
      <c r="N91" s="33" t="n">
        <f aca="false">J91/$J$123</f>
        <v>0.0127034911075562</v>
      </c>
      <c r="O91" s="33" t="n">
        <f aca="false">L91/$L$123</f>
        <v>0.00564990588372829</v>
      </c>
      <c r="P91" s="34"/>
      <c r="Q91" s="35" t="n">
        <v>405</v>
      </c>
      <c r="R91" s="36" t="n">
        <f aca="false">IF(Q91=L91,0,1)</f>
        <v>0</v>
      </c>
    </row>
    <row r="92" customFormat="false" ht="13" hidden="false" customHeight="false" outlineLevel="0" collapsed="false">
      <c r="C92" s="26" t="n">
        <v>23267</v>
      </c>
      <c r="D92" s="26" t="s">
        <v>192</v>
      </c>
      <c r="E92" s="26" t="s">
        <v>193</v>
      </c>
      <c r="F92" s="26" t="s">
        <v>157</v>
      </c>
      <c r="G92" s="26" t="s">
        <v>34</v>
      </c>
      <c r="H92" s="27" t="n">
        <v>41101</v>
      </c>
      <c r="I92" s="28" t="n">
        <f aca="false">VALUE(MONTH(H92))</f>
        <v>7</v>
      </c>
      <c r="J92" s="29" t="n">
        <v>129</v>
      </c>
      <c r="K92" s="30" t="n">
        <v>3</v>
      </c>
      <c r="L92" s="31" t="n">
        <f aca="false">K92*J92</f>
        <v>387</v>
      </c>
      <c r="M92" s="32"/>
      <c r="N92" s="33" t="n">
        <f aca="false">J92/$J$123</f>
        <v>0.0121388915027759</v>
      </c>
      <c r="O92" s="33" t="n">
        <f aca="false">L92/$L$123</f>
        <v>0.00539879895556259</v>
      </c>
      <c r="P92" s="34"/>
      <c r="Q92" s="35" t="n">
        <v>387</v>
      </c>
      <c r="R92" s="36" t="n">
        <f aca="false">IF(Q92=L92,0,1)</f>
        <v>0</v>
      </c>
    </row>
    <row r="93" customFormat="false" ht="13" hidden="false" customHeight="false" outlineLevel="0" collapsed="false">
      <c r="C93" s="26" t="n">
        <v>23340</v>
      </c>
      <c r="D93" s="26" t="s">
        <v>194</v>
      </c>
      <c r="E93" s="26" t="s">
        <v>195</v>
      </c>
      <c r="F93" s="26" t="s">
        <v>120</v>
      </c>
      <c r="G93" s="26" t="s">
        <v>34</v>
      </c>
      <c r="H93" s="27" t="n">
        <v>41095</v>
      </c>
      <c r="I93" s="28" t="n">
        <f aca="false">VALUE(MONTH(H93))</f>
        <v>7</v>
      </c>
      <c r="J93" s="29" t="n">
        <v>85</v>
      </c>
      <c r="K93" s="30" t="n">
        <v>4.5</v>
      </c>
      <c r="L93" s="31" t="n">
        <f aca="false">K93*J93</f>
        <v>382.5</v>
      </c>
      <c r="M93" s="32"/>
      <c r="N93" s="33" t="n">
        <f aca="false">J93/$J$123</f>
        <v>0.00799849440105392</v>
      </c>
      <c r="O93" s="33" t="n">
        <f aca="false">L93/$L$123</f>
        <v>0.00533602222352116</v>
      </c>
      <c r="P93" s="34"/>
      <c r="Q93" s="35" t="n">
        <v>382.5</v>
      </c>
      <c r="R93" s="36" t="n">
        <f aca="false">IF(Q93=L93,0,1)</f>
        <v>0</v>
      </c>
    </row>
    <row r="94" customFormat="false" ht="13" hidden="false" customHeight="false" outlineLevel="0" collapsed="false">
      <c r="C94" s="26" t="n">
        <v>23269</v>
      </c>
      <c r="D94" s="26" t="s">
        <v>196</v>
      </c>
      <c r="E94" s="26" t="s">
        <v>178</v>
      </c>
      <c r="F94" s="26" t="s">
        <v>157</v>
      </c>
      <c r="G94" s="26" t="s">
        <v>34</v>
      </c>
      <c r="H94" s="27" t="n">
        <v>41063</v>
      </c>
      <c r="I94" s="28" t="n">
        <f aca="false">VALUE(MONTH(H94))</f>
        <v>6</v>
      </c>
      <c r="J94" s="29" t="n">
        <v>116</v>
      </c>
      <c r="K94" s="30" t="n">
        <v>3</v>
      </c>
      <c r="L94" s="31" t="n">
        <f aca="false">K94*J94</f>
        <v>348</v>
      </c>
      <c r="M94" s="32"/>
      <c r="N94" s="33" t="n">
        <f aca="false">J94/$J$123</f>
        <v>0.0109155923590853</v>
      </c>
      <c r="O94" s="33" t="n">
        <f aca="false">L94/$L$123</f>
        <v>0.0048547339445369</v>
      </c>
      <c r="P94" s="34"/>
      <c r="Q94" s="35" t="n">
        <v>348</v>
      </c>
      <c r="R94" s="36" t="n">
        <f aca="false">IF(Q94=L94,0,1)</f>
        <v>0</v>
      </c>
    </row>
    <row r="95" customFormat="false" ht="13" hidden="false" customHeight="false" outlineLevel="0" collapsed="false">
      <c r="C95" s="26" t="n">
        <v>23308</v>
      </c>
      <c r="D95" s="26" t="s">
        <v>197</v>
      </c>
      <c r="E95" s="26" t="s">
        <v>198</v>
      </c>
      <c r="F95" s="26" t="s">
        <v>157</v>
      </c>
      <c r="G95" s="26" t="s">
        <v>40</v>
      </c>
      <c r="H95" s="27" t="n">
        <v>41099</v>
      </c>
      <c r="I95" s="28" t="n">
        <f aca="false">VALUE(MONTH(H95))</f>
        <v>7</v>
      </c>
      <c r="J95" s="29" t="n">
        <v>112</v>
      </c>
      <c r="K95" s="30" t="n">
        <v>3</v>
      </c>
      <c r="L95" s="31" t="n">
        <f aca="false">K95*J95</f>
        <v>336</v>
      </c>
      <c r="M95" s="32"/>
      <c r="N95" s="33" t="n">
        <f aca="false">J95/$J$123</f>
        <v>0.0105391926225652</v>
      </c>
      <c r="O95" s="33" t="n">
        <f aca="false">L95/$L$123</f>
        <v>0.00468732932575976</v>
      </c>
      <c r="P95" s="34"/>
      <c r="Q95" s="35" t="n">
        <v>336</v>
      </c>
      <c r="R95" s="36" t="n">
        <f aca="false">IF(Q95=L95,0,1)</f>
        <v>0</v>
      </c>
    </row>
    <row r="96" customFormat="false" ht="13" hidden="false" customHeight="false" outlineLevel="0" collapsed="false">
      <c r="C96" s="26" t="n">
        <v>23356</v>
      </c>
      <c r="D96" s="26" t="s">
        <v>199</v>
      </c>
      <c r="E96" s="26" t="s">
        <v>200</v>
      </c>
      <c r="F96" s="26" t="s">
        <v>111</v>
      </c>
      <c r="G96" s="26" t="s">
        <v>34</v>
      </c>
      <c r="H96" s="27" t="n">
        <v>41081</v>
      </c>
      <c r="I96" s="28" t="n">
        <f aca="false">VALUE(MONTH(H96))</f>
        <v>6</v>
      </c>
      <c r="J96" s="29" t="n">
        <v>80</v>
      </c>
      <c r="K96" s="30" t="n">
        <v>3.99</v>
      </c>
      <c r="L96" s="31" t="n">
        <f aca="false">K96*J96</f>
        <v>319.2</v>
      </c>
      <c r="M96" s="32"/>
      <c r="N96" s="33" t="n">
        <f aca="false">J96/$J$123</f>
        <v>0.00752799473040369</v>
      </c>
      <c r="O96" s="33" t="n">
        <f aca="false">L96/$L$123</f>
        <v>0.00445296285947178</v>
      </c>
      <c r="P96" s="34"/>
      <c r="Q96" s="35" t="n">
        <v>319.2</v>
      </c>
      <c r="R96" s="36" t="n">
        <f aca="false">IF(Q96=L96,0,1)</f>
        <v>0</v>
      </c>
    </row>
    <row r="97" customFormat="false" ht="13" hidden="false" customHeight="false" outlineLevel="0" collapsed="false">
      <c r="C97" s="26" t="n">
        <v>23318</v>
      </c>
      <c r="D97" s="26" t="s">
        <v>201</v>
      </c>
      <c r="E97" s="26" t="s">
        <v>202</v>
      </c>
      <c r="F97" s="26" t="s">
        <v>86</v>
      </c>
      <c r="G97" s="26" t="s">
        <v>34</v>
      </c>
      <c r="H97" s="27" t="n">
        <v>41099</v>
      </c>
      <c r="I97" s="28" t="n">
        <f aca="false">VALUE(MONTH(H97))</f>
        <v>7</v>
      </c>
      <c r="J97" s="29" t="n">
        <v>48</v>
      </c>
      <c r="K97" s="30" t="n">
        <v>6.5</v>
      </c>
      <c r="L97" s="31" t="n">
        <f aca="false">K97*J97</f>
        <v>312</v>
      </c>
      <c r="M97" s="32"/>
      <c r="N97" s="33" t="n">
        <f aca="false">J97/$J$123</f>
        <v>0.00451679683824221</v>
      </c>
      <c r="O97" s="33" t="n">
        <f aca="false">L97/$L$123</f>
        <v>0.00435252008820549</v>
      </c>
      <c r="P97" s="34"/>
      <c r="Q97" s="35" t="n">
        <v>312</v>
      </c>
      <c r="R97" s="36" t="n">
        <f aca="false">IF(Q97=L97,0,1)</f>
        <v>0</v>
      </c>
    </row>
    <row r="98" customFormat="false" ht="13" hidden="false" customHeight="false" outlineLevel="0" collapsed="false">
      <c r="C98" s="26" t="n">
        <v>23357</v>
      </c>
      <c r="D98" s="26" t="s">
        <v>203</v>
      </c>
      <c r="E98" s="26" t="s">
        <v>159</v>
      </c>
      <c r="F98" s="26" t="s">
        <v>89</v>
      </c>
      <c r="G98" s="26" t="s">
        <v>40</v>
      </c>
      <c r="H98" s="27" t="n">
        <v>41107</v>
      </c>
      <c r="I98" s="28" t="n">
        <f aca="false">VALUE(MONTH(H98))</f>
        <v>7</v>
      </c>
      <c r="J98" s="29" t="n">
        <v>50</v>
      </c>
      <c r="K98" s="30" t="n">
        <v>6</v>
      </c>
      <c r="L98" s="31" t="n">
        <f aca="false">K98*J98</f>
        <v>300</v>
      </c>
      <c r="M98" s="32"/>
      <c r="N98" s="33" t="n">
        <f aca="false">J98/$J$123</f>
        <v>0.00470499670650231</v>
      </c>
      <c r="O98" s="33" t="n">
        <f aca="false">L98/$L$123</f>
        <v>0.00418511546942836</v>
      </c>
      <c r="P98" s="34"/>
      <c r="Q98" s="35" t="n">
        <v>300</v>
      </c>
      <c r="R98" s="36" t="n">
        <f aca="false">IF(Q98=L98,0,1)</f>
        <v>0</v>
      </c>
    </row>
    <row r="99" customFormat="false" ht="13" hidden="false" customHeight="false" outlineLevel="0" collapsed="false">
      <c r="C99" s="26" t="n">
        <v>23377</v>
      </c>
      <c r="D99" s="26" t="s">
        <v>204</v>
      </c>
      <c r="E99" s="26" t="s">
        <v>148</v>
      </c>
      <c r="F99" s="26" t="s">
        <v>122</v>
      </c>
      <c r="G99" s="26" t="s">
        <v>34</v>
      </c>
      <c r="H99" s="27" t="n">
        <v>41075</v>
      </c>
      <c r="I99" s="28" t="n">
        <f aca="false">VALUE(MONTH(H99))</f>
        <v>6</v>
      </c>
      <c r="J99" s="29" t="n">
        <v>43</v>
      </c>
      <c r="K99" s="30" t="n">
        <v>6.5</v>
      </c>
      <c r="L99" s="31" t="n">
        <f aca="false">K99*J99</f>
        <v>279.5</v>
      </c>
      <c r="M99" s="32"/>
      <c r="N99" s="33" t="n">
        <f aca="false">J99/$J$123</f>
        <v>0.00404629716759198</v>
      </c>
      <c r="O99" s="33" t="n">
        <f aca="false">L99/$L$123</f>
        <v>0.00389913257901742</v>
      </c>
      <c r="P99" s="34"/>
      <c r="Q99" s="35" t="n">
        <v>279.5</v>
      </c>
      <c r="R99" s="36" t="n">
        <f aca="false">IF(Q99=L99,0,1)</f>
        <v>0</v>
      </c>
    </row>
    <row r="100" customFormat="false" ht="13" hidden="false" customHeight="false" outlineLevel="0" collapsed="false">
      <c r="C100" s="26" t="n">
        <v>23311</v>
      </c>
      <c r="D100" s="26" t="s">
        <v>205</v>
      </c>
      <c r="E100" s="26" t="s">
        <v>206</v>
      </c>
      <c r="F100" s="26" t="s">
        <v>33</v>
      </c>
      <c r="G100" s="26" t="s">
        <v>40</v>
      </c>
      <c r="H100" s="27" t="n">
        <v>41072</v>
      </c>
      <c r="I100" s="28" t="n">
        <f aca="false">VALUE(MONTH(H100))</f>
        <v>6</v>
      </c>
      <c r="J100" s="29" t="n">
        <v>18</v>
      </c>
      <c r="K100" s="30" t="n">
        <v>14.5</v>
      </c>
      <c r="L100" s="31" t="n">
        <f aca="false">K100*J100</f>
        <v>261</v>
      </c>
      <c r="M100" s="32"/>
      <c r="N100" s="33" t="n">
        <f aca="false">J100/$J$123</f>
        <v>0.00169379881434083</v>
      </c>
      <c r="O100" s="33" t="n">
        <f aca="false">L100/$L$123</f>
        <v>0.00364105045840267</v>
      </c>
      <c r="P100" s="34"/>
      <c r="Q100" s="35" t="n">
        <v>261</v>
      </c>
      <c r="R100" s="36" t="n">
        <f aca="false">IF(Q100=L100,0,1)</f>
        <v>0</v>
      </c>
    </row>
    <row r="101" customFormat="false" ht="13" hidden="false" customHeight="false" outlineLevel="0" collapsed="false">
      <c r="C101" s="26" t="n">
        <v>23379</v>
      </c>
      <c r="D101" s="26" t="s">
        <v>207</v>
      </c>
      <c r="E101" s="26" t="s">
        <v>208</v>
      </c>
      <c r="F101" s="26" t="s">
        <v>111</v>
      </c>
      <c r="G101" s="26" t="s">
        <v>34</v>
      </c>
      <c r="H101" s="27" t="n">
        <v>41270</v>
      </c>
      <c r="I101" s="28" t="n">
        <f aca="false">VALUE(MONTH(H101))</f>
        <v>12</v>
      </c>
      <c r="J101" s="29" t="n">
        <v>65</v>
      </c>
      <c r="K101" s="30" t="n">
        <v>3.99</v>
      </c>
      <c r="L101" s="31" t="n">
        <f aca="false">K101*J101</f>
        <v>259.35</v>
      </c>
      <c r="M101" s="32"/>
      <c r="N101" s="33" t="n">
        <f aca="false">J101/$J$123</f>
        <v>0.006116495718453</v>
      </c>
      <c r="O101" s="33" t="n">
        <f aca="false">L101/$L$123</f>
        <v>0.00361803232332082</v>
      </c>
      <c r="P101" s="34"/>
      <c r="Q101" s="35" t="n">
        <v>259.35</v>
      </c>
      <c r="R101" s="36" t="n">
        <f aca="false">IF(Q101=L101,0,1)</f>
        <v>0</v>
      </c>
    </row>
    <row r="102" customFormat="false" ht="13" hidden="false" customHeight="false" outlineLevel="0" collapsed="false">
      <c r="C102" s="26" t="n">
        <v>23360</v>
      </c>
      <c r="D102" s="26" t="s">
        <v>209</v>
      </c>
      <c r="E102" s="26" t="s">
        <v>193</v>
      </c>
      <c r="F102" s="26" t="s">
        <v>73</v>
      </c>
      <c r="G102" s="26" t="s">
        <v>34</v>
      </c>
      <c r="H102" s="27" t="n">
        <v>41073</v>
      </c>
      <c r="I102" s="28" t="n">
        <f aca="false">VALUE(MONTH(H102))</f>
        <v>6</v>
      </c>
      <c r="J102" s="29" t="n">
        <v>37</v>
      </c>
      <c r="K102" s="30" t="n">
        <v>6.99</v>
      </c>
      <c r="L102" s="31" t="n">
        <f aca="false">K102*J102</f>
        <v>258.63</v>
      </c>
      <c r="M102" s="32"/>
      <c r="N102" s="33" t="n">
        <f aca="false">J102/$J$123</f>
        <v>0.00348169756281171</v>
      </c>
      <c r="O102" s="33" t="n">
        <f aca="false">L102/$L$123</f>
        <v>0.00360798804619419</v>
      </c>
      <c r="P102" s="34"/>
      <c r="Q102" s="35" t="n">
        <v>258.63</v>
      </c>
      <c r="R102" s="36" t="n">
        <f aca="false">IF(Q102=L102,0,1)</f>
        <v>0</v>
      </c>
    </row>
    <row r="103" customFormat="false" ht="13" hidden="false" customHeight="false" outlineLevel="0" collapsed="false">
      <c r="C103" s="26" t="n">
        <v>23339</v>
      </c>
      <c r="D103" s="26" t="s">
        <v>210</v>
      </c>
      <c r="E103" s="26" t="s">
        <v>211</v>
      </c>
      <c r="F103" s="26" t="s">
        <v>89</v>
      </c>
      <c r="G103" s="26" t="s">
        <v>34</v>
      </c>
      <c r="H103" s="27" t="n">
        <v>41101</v>
      </c>
      <c r="I103" s="28" t="n">
        <f aca="false">VALUE(MONTH(H103))</f>
        <v>7</v>
      </c>
      <c r="J103" s="29" t="n">
        <v>41</v>
      </c>
      <c r="K103" s="30" t="n">
        <v>6</v>
      </c>
      <c r="L103" s="31" t="n">
        <f aca="false">K103*J103</f>
        <v>246</v>
      </c>
      <c r="M103" s="32"/>
      <c r="N103" s="33" t="n">
        <f aca="false">J103/$J$123</f>
        <v>0.00385809729933189</v>
      </c>
      <c r="O103" s="33" t="n">
        <f aca="false">L103/$L$123</f>
        <v>0.00343179468493125</v>
      </c>
      <c r="P103" s="34"/>
      <c r="Q103" s="35" t="n">
        <v>246</v>
      </c>
      <c r="R103" s="36" t="n">
        <f aca="false">IF(Q103=L103,0,1)</f>
        <v>0</v>
      </c>
    </row>
    <row r="104" customFormat="false" ht="13" hidden="false" customHeight="false" outlineLevel="0" collapsed="false">
      <c r="C104" s="26" t="n">
        <v>23341</v>
      </c>
      <c r="D104" s="26" t="s">
        <v>212</v>
      </c>
      <c r="E104" s="26" t="s">
        <v>213</v>
      </c>
      <c r="F104" s="26" t="s">
        <v>157</v>
      </c>
      <c r="G104" s="26" t="s">
        <v>40</v>
      </c>
      <c r="H104" s="27" t="n">
        <v>41026</v>
      </c>
      <c r="I104" s="28" t="n">
        <f aca="false">VALUE(MONTH(H104))</f>
        <v>4</v>
      </c>
      <c r="J104" s="29" t="n">
        <v>77</v>
      </c>
      <c r="K104" s="30" t="n">
        <v>3</v>
      </c>
      <c r="L104" s="31" t="n">
        <f aca="false">K104*J104</f>
        <v>231</v>
      </c>
      <c r="M104" s="32"/>
      <c r="N104" s="33" t="n">
        <f aca="false">J104/$J$123</f>
        <v>0.00724569492801355</v>
      </c>
      <c r="O104" s="33" t="n">
        <f aca="false">L104/$L$123</f>
        <v>0.00322253891145984</v>
      </c>
      <c r="P104" s="34"/>
      <c r="Q104" s="35" t="n">
        <v>231</v>
      </c>
      <c r="R104" s="36" t="n">
        <f aca="false">IF(Q104=L104,0,1)</f>
        <v>0</v>
      </c>
    </row>
    <row r="105" customFormat="false" ht="13" hidden="false" customHeight="false" outlineLevel="0" collapsed="false">
      <c r="C105" s="26" t="n">
        <v>23374</v>
      </c>
      <c r="D105" s="26" t="s">
        <v>214</v>
      </c>
      <c r="E105" s="26" t="s">
        <v>215</v>
      </c>
      <c r="F105" s="26" t="s">
        <v>111</v>
      </c>
      <c r="G105" s="26" t="s">
        <v>34</v>
      </c>
      <c r="H105" s="27" t="n">
        <v>41257</v>
      </c>
      <c r="I105" s="28" t="n">
        <f aca="false">VALUE(MONTH(H105))</f>
        <v>12</v>
      </c>
      <c r="J105" s="29" t="n">
        <v>57</v>
      </c>
      <c r="K105" s="30" t="n">
        <v>3.99</v>
      </c>
      <c r="L105" s="31" t="n">
        <f aca="false">K105*J105</f>
        <v>227.43</v>
      </c>
      <c r="M105" s="32"/>
      <c r="N105" s="33" t="n">
        <f aca="false">J105/$J$123</f>
        <v>0.00536369624541263</v>
      </c>
      <c r="O105" s="33" t="n">
        <f aca="false">L105/$L$123</f>
        <v>0.00317273603737364</v>
      </c>
      <c r="P105" s="34"/>
      <c r="Q105" s="35" t="n">
        <v>227.43</v>
      </c>
      <c r="R105" s="36" t="n">
        <f aca="false">IF(Q105=L105,0,1)</f>
        <v>0</v>
      </c>
    </row>
    <row r="106" customFormat="false" ht="13" hidden="false" customHeight="false" outlineLevel="0" collapsed="false">
      <c r="C106" s="26" t="n">
        <v>23273</v>
      </c>
      <c r="D106" s="26" t="s">
        <v>216</v>
      </c>
      <c r="E106" s="26" t="s">
        <v>217</v>
      </c>
      <c r="F106" s="26" t="s">
        <v>51</v>
      </c>
      <c r="G106" s="26" t="s">
        <v>34</v>
      </c>
      <c r="H106" s="27" t="n">
        <v>41256</v>
      </c>
      <c r="I106" s="28" t="n">
        <f aca="false">VALUE(MONTH(H106))</f>
        <v>12</v>
      </c>
      <c r="J106" s="29" t="n">
        <v>22</v>
      </c>
      <c r="K106" s="30" t="n">
        <v>9.99</v>
      </c>
      <c r="L106" s="31" t="n">
        <f aca="false">K106*J106</f>
        <v>219.78</v>
      </c>
      <c r="M106" s="32"/>
      <c r="N106" s="33" t="n">
        <f aca="false">J106/$J$123</f>
        <v>0.00207019855086101</v>
      </c>
      <c r="O106" s="33" t="n">
        <f aca="false">L106/$L$123</f>
        <v>0.00306601559290322</v>
      </c>
      <c r="P106" s="34"/>
      <c r="Q106" s="35" t="n">
        <v>219.78</v>
      </c>
      <c r="R106" s="36" t="n">
        <f aca="false">IF(Q106=L106,0,1)</f>
        <v>0</v>
      </c>
    </row>
    <row r="107" customFormat="false" ht="13" hidden="false" customHeight="false" outlineLevel="0" collapsed="false">
      <c r="C107" s="26" t="n">
        <v>23280</v>
      </c>
      <c r="D107" s="26" t="s">
        <v>218</v>
      </c>
      <c r="E107" s="26" t="s">
        <v>50</v>
      </c>
      <c r="F107" s="26" t="s">
        <v>73</v>
      </c>
      <c r="G107" s="26" t="s">
        <v>34</v>
      </c>
      <c r="H107" s="27" t="n">
        <v>41002</v>
      </c>
      <c r="I107" s="28" t="n">
        <f aca="false">VALUE(MONTH(H107))</f>
        <v>4</v>
      </c>
      <c r="J107" s="29" t="n">
        <v>30</v>
      </c>
      <c r="K107" s="30" t="n">
        <v>6.99</v>
      </c>
      <c r="L107" s="31" t="n">
        <f aca="false">K107*J107</f>
        <v>209.7</v>
      </c>
      <c r="M107" s="32"/>
      <c r="N107" s="33" t="n">
        <f aca="false">J107/$J$123</f>
        <v>0.00282299802390138</v>
      </c>
      <c r="O107" s="33" t="n">
        <f aca="false">L107/$L$123</f>
        <v>0.00292539571313042</v>
      </c>
      <c r="P107" s="34"/>
      <c r="Q107" s="35" t="n">
        <v>209.7</v>
      </c>
      <c r="R107" s="36" t="n">
        <f aca="false">IF(Q107=L107,0,1)</f>
        <v>0</v>
      </c>
    </row>
    <row r="108" customFormat="false" ht="13" hidden="false" customHeight="false" outlineLevel="0" collapsed="false">
      <c r="C108" s="26" t="n">
        <v>23370</v>
      </c>
      <c r="D108" s="26" t="s">
        <v>219</v>
      </c>
      <c r="E108" s="26" t="s">
        <v>88</v>
      </c>
      <c r="F108" s="26" t="s">
        <v>157</v>
      </c>
      <c r="G108" s="26" t="s">
        <v>40</v>
      </c>
      <c r="H108" s="27" t="n">
        <v>41028</v>
      </c>
      <c r="I108" s="28" t="n">
        <f aca="false">VALUE(MONTH(H108))</f>
        <v>4</v>
      </c>
      <c r="J108" s="29" t="n">
        <v>63</v>
      </c>
      <c r="K108" s="30" t="n">
        <v>3</v>
      </c>
      <c r="L108" s="31" t="n">
        <f aca="false">K108*J108</f>
        <v>189</v>
      </c>
      <c r="M108" s="32"/>
      <c r="N108" s="33" t="n">
        <f aca="false">J108/$J$123</f>
        <v>0.00592829585019291</v>
      </c>
      <c r="O108" s="33" t="n">
        <f aca="false">L108/$L$123</f>
        <v>0.00263662274573987</v>
      </c>
      <c r="P108" s="34"/>
      <c r="Q108" s="35" t="n">
        <v>189</v>
      </c>
      <c r="R108" s="36" t="n">
        <f aca="false">IF(Q108=L108,0,1)</f>
        <v>0</v>
      </c>
    </row>
    <row r="109" customFormat="false" ht="13" hidden="false" customHeight="false" outlineLevel="0" collapsed="false">
      <c r="C109" s="26" t="n">
        <v>23372</v>
      </c>
      <c r="D109" s="26" t="s">
        <v>220</v>
      </c>
      <c r="E109" s="26" t="s">
        <v>221</v>
      </c>
      <c r="F109" s="26" t="s">
        <v>122</v>
      </c>
      <c r="G109" s="26" t="s">
        <v>34</v>
      </c>
      <c r="H109" s="27" t="n">
        <v>41255</v>
      </c>
      <c r="I109" s="28" t="n">
        <f aca="false">VALUE(MONTH(H109))</f>
        <v>12</v>
      </c>
      <c r="J109" s="29" t="n">
        <v>22</v>
      </c>
      <c r="K109" s="30" t="n">
        <v>6.5</v>
      </c>
      <c r="L109" s="31" t="n">
        <f aca="false">K109*J109</f>
        <v>143</v>
      </c>
      <c r="M109" s="32"/>
      <c r="N109" s="33" t="n">
        <f aca="false">J109/$J$123</f>
        <v>0.00207019855086101</v>
      </c>
      <c r="O109" s="33" t="n">
        <f aca="false">L109/$L$123</f>
        <v>0.00199490504042752</v>
      </c>
      <c r="P109" s="34"/>
      <c r="Q109" s="35" t="n">
        <v>143</v>
      </c>
      <c r="R109" s="36" t="n">
        <f aca="false">IF(Q109=L109,0,1)</f>
        <v>0</v>
      </c>
    </row>
    <row r="110" customFormat="false" ht="13" hidden="false" customHeight="false" outlineLevel="0" collapsed="false">
      <c r="C110" s="26" t="n">
        <v>23265</v>
      </c>
      <c r="D110" s="26" t="s">
        <v>222</v>
      </c>
      <c r="E110" s="26" t="s">
        <v>223</v>
      </c>
      <c r="F110" s="26" t="s">
        <v>51</v>
      </c>
      <c r="G110" s="26" t="s">
        <v>40</v>
      </c>
      <c r="H110" s="27" t="n">
        <v>41248</v>
      </c>
      <c r="I110" s="28" t="n">
        <f aca="false">VALUE(MONTH(H110))</f>
        <v>12</v>
      </c>
      <c r="J110" s="29" t="n">
        <v>14</v>
      </c>
      <c r="K110" s="30" t="n">
        <v>9.99</v>
      </c>
      <c r="L110" s="31" t="n">
        <f aca="false">K110*J110</f>
        <v>139.86</v>
      </c>
      <c r="M110" s="32"/>
      <c r="N110" s="33" t="n">
        <f aca="false">J110/$J$123</f>
        <v>0.00131739907782065</v>
      </c>
      <c r="O110" s="33" t="n">
        <f aca="false">L110/$L$123</f>
        <v>0.0019511008318475</v>
      </c>
      <c r="P110" s="34"/>
      <c r="Q110" s="35" t="n">
        <v>139.86</v>
      </c>
      <c r="R110" s="36" t="n">
        <f aca="false">IF(Q110=L110,0,1)</f>
        <v>0</v>
      </c>
    </row>
    <row r="111" customFormat="false" ht="13" hidden="false" customHeight="false" outlineLevel="0" collapsed="false">
      <c r="C111" s="26" t="n">
        <v>23346</v>
      </c>
      <c r="D111" s="26" t="s">
        <v>224</v>
      </c>
      <c r="E111" s="26" t="s">
        <v>140</v>
      </c>
      <c r="F111" s="26" t="s">
        <v>51</v>
      </c>
      <c r="G111" s="26" t="s">
        <v>34</v>
      </c>
      <c r="H111" s="27" t="n">
        <v>41119</v>
      </c>
      <c r="I111" s="28" t="n">
        <f aca="false">VALUE(MONTH(H111))</f>
        <v>7</v>
      </c>
      <c r="J111" s="29" t="n">
        <v>13</v>
      </c>
      <c r="K111" s="30" t="n">
        <v>9.99</v>
      </c>
      <c r="L111" s="31" t="n">
        <f aca="false">K111*J111</f>
        <v>129.87</v>
      </c>
      <c r="M111" s="32"/>
      <c r="N111" s="33" t="n">
        <f aca="false">J111/$J$123</f>
        <v>0.0012232991436906</v>
      </c>
      <c r="O111" s="33" t="n">
        <f aca="false">L111/$L$123</f>
        <v>0.00181173648671554</v>
      </c>
      <c r="P111" s="34"/>
      <c r="Q111" s="35" t="n">
        <v>129.87</v>
      </c>
      <c r="R111" s="36" t="n">
        <f aca="false">IF(Q111=L111,0,1)</f>
        <v>0</v>
      </c>
    </row>
    <row r="112" customFormat="false" ht="13" hidden="false" customHeight="false" outlineLevel="0" collapsed="false">
      <c r="C112" s="26" t="n">
        <v>23312</v>
      </c>
      <c r="D112" s="26" t="s">
        <v>225</v>
      </c>
      <c r="E112" s="26" t="s">
        <v>226</v>
      </c>
      <c r="F112" s="26" t="s">
        <v>111</v>
      </c>
      <c r="G112" s="26" t="s">
        <v>34</v>
      </c>
      <c r="H112" s="27" t="n">
        <v>41096</v>
      </c>
      <c r="I112" s="28" t="n">
        <f aca="false">VALUE(MONTH(H112))</f>
        <v>7</v>
      </c>
      <c r="J112" s="29" t="n">
        <v>28</v>
      </c>
      <c r="K112" s="30" t="n">
        <v>3.99</v>
      </c>
      <c r="L112" s="31" t="n">
        <f aca="false">K112*J112</f>
        <v>111.72</v>
      </c>
      <c r="M112" s="32"/>
      <c r="N112" s="33" t="n">
        <f aca="false">J112/$J$123</f>
        <v>0.00263479815564129</v>
      </c>
      <c r="O112" s="33" t="n">
        <f aca="false">L112/$L$123</f>
        <v>0.00155853700081512</v>
      </c>
      <c r="P112" s="34"/>
      <c r="Q112" s="35" t="n">
        <v>111.72</v>
      </c>
      <c r="R112" s="36" t="n">
        <f aca="false">IF(Q112=L112,0,1)</f>
        <v>0</v>
      </c>
    </row>
    <row r="113" customFormat="false" ht="13" hidden="false" customHeight="false" outlineLevel="0" collapsed="false">
      <c r="C113" s="26" t="n">
        <v>23355</v>
      </c>
      <c r="D113" s="26" t="s">
        <v>227</v>
      </c>
      <c r="E113" s="26" t="s">
        <v>136</v>
      </c>
      <c r="F113" s="26" t="s">
        <v>98</v>
      </c>
      <c r="G113" s="26" t="s">
        <v>34</v>
      </c>
      <c r="H113" s="27" t="n">
        <v>41026</v>
      </c>
      <c r="I113" s="28" t="n">
        <f aca="false">VALUE(MONTH(H113))</f>
        <v>4</v>
      </c>
      <c r="J113" s="29" t="n">
        <v>16</v>
      </c>
      <c r="K113" s="30" t="n">
        <v>4.5</v>
      </c>
      <c r="L113" s="31" t="n">
        <f aca="false">K113*J113</f>
        <v>72</v>
      </c>
      <c r="M113" s="32"/>
      <c r="N113" s="33" t="n">
        <f aca="false">J113/$J$123</f>
        <v>0.00150559894608074</v>
      </c>
      <c r="O113" s="33" t="n">
        <f aca="false">L113/$L$123</f>
        <v>0.00100442771266281</v>
      </c>
      <c r="P113" s="34"/>
      <c r="Q113" s="35" t="n">
        <v>72</v>
      </c>
      <c r="R113" s="36" t="n">
        <f aca="false">IF(Q113=L113,0,1)</f>
        <v>0</v>
      </c>
    </row>
    <row r="114" customFormat="false" ht="13" hidden="false" customHeight="false" outlineLevel="0" collapsed="false">
      <c r="C114" s="26" t="n">
        <v>23322</v>
      </c>
      <c r="D114" s="26" t="s">
        <v>228</v>
      </c>
      <c r="E114" s="26" t="s">
        <v>100</v>
      </c>
      <c r="F114" s="26" t="s">
        <v>157</v>
      </c>
      <c r="G114" s="26" t="s">
        <v>40</v>
      </c>
      <c r="H114" s="27" t="n">
        <v>41009</v>
      </c>
      <c r="I114" s="28" t="n">
        <f aca="false">VALUE(MONTH(H114))</f>
        <v>4</v>
      </c>
      <c r="J114" s="29" t="n">
        <v>20</v>
      </c>
      <c r="K114" s="30" t="n">
        <v>3</v>
      </c>
      <c r="L114" s="31" t="n">
        <f aca="false">K114*J114</f>
        <v>60</v>
      </c>
      <c r="M114" s="32"/>
      <c r="N114" s="33" t="n">
        <f aca="false">J114/$J$123</f>
        <v>0.00188199868260092</v>
      </c>
      <c r="O114" s="33" t="n">
        <f aca="false">L114/$L$123</f>
        <v>0.000837023093885672</v>
      </c>
      <c r="P114" s="34"/>
      <c r="Q114" s="35" t="n">
        <v>60</v>
      </c>
      <c r="R114" s="36" t="n">
        <f aca="false">IF(Q114=L114,0,1)</f>
        <v>0</v>
      </c>
    </row>
    <row r="115" customFormat="false" ht="13" hidden="false" customHeight="false" outlineLevel="0" collapsed="false">
      <c r="C115" s="26" t="n">
        <v>23298</v>
      </c>
      <c r="D115" s="26" t="s">
        <v>229</v>
      </c>
      <c r="E115" s="26" t="s">
        <v>230</v>
      </c>
      <c r="F115" s="26" t="s">
        <v>98</v>
      </c>
      <c r="G115" s="26" t="s">
        <v>37</v>
      </c>
      <c r="H115" s="27" t="n">
        <v>41118</v>
      </c>
      <c r="I115" s="28" t="n">
        <f aca="false">VALUE(MONTH(H115))</f>
        <v>7</v>
      </c>
      <c r="J115" s="29" t="n">
        <v>12</v>
      </c>
      <c r="K115" s="30" t="n">
        <v>4.5</v>
      </c>
      <c r="L115" s="31" t="n">
        <f aca="false">K115*J115</f>
        <v>54</v>
      </c>
      <c r="M115" s="32"/>
      <c r="N115" s="33" t="n">
        <f aca="false">J115/$J$123</f>
        <v>0.00112919920956055</v>
      </c>
      <c r="O115" s="33" t="n">
        <f aca="false">L115/$L$123</f>
        <v>0.000753320784497105</v>
      </c>
      <c r="P115" s="34"/>
      <c r="Q115" s="35" t="n">
        <v>54</v>
      </c>
      <c r="R115" s="36" t="n">
        <f aca="false">IF(Q115=L115,0,1)</f>
        <v>0</v>
      </c>
    </row>
    <row r="116" customFormat="false" ht="13" hidden="false" customHeight="false" outlineLevel="0" collapsed="false">
      <c r="C116" s="26" t="n">
        <v>23367</v>
      </c>
      <c r="D116" s="26" t="s">
        <v>231</v>
      </c>
      <c r="E116" s="26" t="s">
        <v>232</v>
      </c>
      <c r="F116" s="26" t="s">
        <v>98</v>
      </c>
      <c r="G116" s="26" t="s">
        <v>40</v>
      </c>
      <c r="H116" s="27" t="n">
        <v>41023</v>
      </c>
      <c r="I116" s="28" t="n">
        <f aca="false">VALUE(MONTH(H116))</f>
        <v>4</v>
      </c>
      <c r="J116" s="29" t="n">
        <v>10</v>
      </c>
      <c r="K116" s="30" t="n">
        <v>4.5</v>
      </c>
      <c r="L116" s="31" t="n">
        <f aca="false">K116*J116</f>
        <v>45</v>
      </c>
      <c r="M116" s="32"/>
      <c r="N116" s="33" t="n">
        <f aca="false">J116/$J$123</f>
        <v>0.000940999341300461</v>
      </c>
      <c r="O116" s="33" t="n">
        <f aca="false">L116/$L$123</f>
        <v>0.000627767320414254</v>
      </c>
      <c r="P116" s="34"/>
      <c r="Q116" s="35" t="n">
        <v>45</v>
      </c>
      <c r="R116" s="36" t="n">
        <f aca="false">IF(Q116=L116,0,1)</f>
        <v>0</v>
      </c>
    </row>
    <row r="117" customFormat="false" ht="13" hidden="false" customHeight="false" outlineLevel="0" collapsed="false">
      <c r="C117" s="26" t="n">
        <v>23334</v>
      </c>
      <c r="D117" s="26" t="s">
        <v>233</v>
      </c>
      <c r="E117" s="26" t="s">
        <v>128</v>
      </c>
      <c r="F117" s="26" t="s">
        <v>157</v>
      </c>
      <c r="G117" s="26" t="s">
        <v>34</v>
      </c>
      <c r="H117" s="27" t="n">
        <v>41260</v>
      </c>
      <c r="I117" s="28" t="n">
        <f aca="false">VALUE(MONTH(H117))</f>
        <v>12</v>
      </c>
      <c r="J117" s="29" t="n">
        <v>14</v>
      </c>
      <c r="K117" s="30" t="n">
        <v>3</v>
      </c>
      <c r="L117" s="31" t="n">
        <f aca="false">K117*J117</f>
        <v>42</v>
      </c>
      <c r="M117" s="32"/>
      <c r="N117" s="33" t="n">
        <f aca="false">J117/$J$123</f>
        <v>0.00131739907782065</v>
      </c>
      <c r="O117" s="33" t="n">
        <f aca="false">L117/$L$123</f>
        <v>0.00058591616571997</v>
      </c>
      <c r="P117" s="34"/>
      <c r="Q117" s="35" t="n">
        <v>42</v>
      </c>
      <c r="R117" s="36" t="n">
        <f aca="false">IF(Q117=L117,0,1)</f>
        <v>0</v>
      </c>
    </row>
    <row r="118" customFormat="false" ht="13" hidden="false" customHeight="false" outlineLevel="0" collapsed="false">
      <c r="C118" s="26" t="n">
        <v>23285</v>
      </c>
      <c r="D118" s="26" t="s">
        <v>234</v>
      </c>
      <c r="E118" s="26" t="s">
        <v>148</v>
      </c>
      <c r="F118" s="26" t="s">
        <v>120</v>
      </c>
      <c r="G118" s="26" t="s">
        <v>40</v>
      </c>
      <c r="H118" s="27" t="n">
        <v>41114</v>
      </c>
      <c r="I118" s="28" t="n">
        <f aca="false">VALUE(MONTH(H118))</f>
        <v>7</v>
      </c>
      <c r="J118" s="29" t="n">
        <v>9</v>
      </c>
      <c r="K118" s="30" t="n">
        <v>4.5</v>
      </c>
      <c r="L118" s="31" t="n">
        <f aca="false">K118*J118</f>
        <v>40.5</v>
      </c>
      <c r="M118" s="32"/>
      <c r="N118" s="33" t="n">
        <f aca="false">J118/$J$123</f>
        <v>0.000846899407170415</v>
      </c>
      <c r="O118" s="33" t="n">
        <f aca="false">L118/$L$123</f>
        <v>0.000564990588372829</v>
      </c>
      <c r="P118" s="34"/>
      <c r="Q118" s="35" t="n">
        <v>40.5</v>
      </c>
      <c r="R118" s="36" t="n">
        <f aca="false">IF(Q118=L118,0,1)</f>
        <v>0</v>
      </c>
    </row>
    <row r="119" customFormat="false" ht="13" hidden="false" customHeight="false" outlineLevel="0" collapsed="false">
      <c r="C119" s="26" t="n">
        <v>23375</v>
      </c>
      <c r="D119" s="26" t="s">
        <v>235</v>
      </c>
      <c r="E119" s="26" t="s">
        <v>136</v>
      </c>
      <c r="F119" s="26" t="s">
        <v>73</v>
      </c>
      <c r="G119" s="26" t="s">
        <v>40</v>
      </c>
      <c r="H119" s="27" t="n">
        <v>41029</v>
      </c>
      <c r="I119" s="28" t="n">
        <f aca="false">VALUE(MONTH(H119))</f>
        <v>4</v>
      </c>
      <c r="J119" s="29" t="n">
        <v>5</v>
      </c>
      <c r="K119" s="30" t="n">
        <v>6.99</v>
      </c>
      <c r="L119" s="31" t="n">
        <f aca="false">K119*J119</f>
        <v>34.95</v>
      </c>
      <c r="M119" s="32"/>
      <c r="N119" s="33" t="n">
        <f aca="false">J119/$J$123</f>
        <v>0.000470499670650231</v>
      </c>
      <c r="O119" s="33" t="n">
        <f aca="false">L119/$L$123</f>
        <v>0.000487565952188404</v>
      </c>
      <c r="P119" s="34"/>
      <c r="Q119" s="35" t="n">
        <v>34.95</v>
      </c>
      <c r="R119" s="36" t="n">
        <f aca="false">IF(Q119=L119,0,1)</f>
        <v>0</v>
      </c>
    </row>
    <row r="120" customFormat="false" ht="13" hidden="false" customHeight="false" outlineLevel="0" collapsed="false">
      <c r="C120" s="26" t="n">
        <v>23336</v>
      </c>
      <c r="D120" s="26" t="s">
        <v>236</v>
      </c>
      <c r="E120" s="26" t="s">
        <v>237</v>
      </c>
      <c r="F120" s="26" t="s">
        <v>120</v>
      </c>
      <c r="G120" s="26" t="s">
        <v>40</v>
      </c>
      <c r="H120" s="27" t="n">
        <v>41091</v>
      </c>
      <c r="I120" s="28" t="n">
        <f aca="false">VALUE(MONTH(H120))</f>
        <v>7</v>
      </c>
      <c r="J120" s="29" t="n">
        <v>7</v>
      </c>
      <c r="K120" s="30" t="n">
        <v>4.5</v>
      </c>
      <c r="L120" s="31" t="n">
        <f aca="false">K120*J120</f>
        <v>31.5</v>
      </c>
      <c r="M120" s="32"/>
      <c r="N120" s="33" t="n">
        <f aca="false">J120/$J$123</f>
        <v>0.000658699538910323</v>
      </c>
      <c r="O120" s="33" t="n">
        <f aca="false">L120/$L$123</f>
        <v>0.000439437124289978</v>
      </c>
      <c r="P120" s="34"/>
      <c r="Q120" s="35" t="n">
        <v>31.5</v>
      </c>
      <c r="R120" s="36" t="n">
        <f aca="false">IF(Q120=L120,0,1)</f>
        <v>0</v>
      </c>
    </row>
    <row r="121" customFormat="false" ht="13" hidden="false" customHeight="false" outlineLevel="0" collapsed="false">
      <c r="C121" s="26" t="n">
        <v>23279</v>
      </c>
      <c r="D121" s="26" t="s">
        <v>238</v>
      </c>
      <c r="E121" s="26" t="s">
        <v>211</v>
      </c>
      <c r="F121" s="26" t="s">
        <v>157</v>
      </c>
      <c r="G121" s="26" t="s">
        <v>34</v>
      </c>
      <c r="H121" s="27" t="n">
        <v>41020</v>
      </c>
      <c r="I121" s="28" t="n">
        <f aca="false">VALUE(MONTH(H121))</f>
        <v>4</v>
      </c>
      <c r="J121" s="29" t="n">
        <v>10</v>
      </c>
      <c r="K121" s="30" t="n">
        <v>3</v>
      </c>
      <c r="L121" s="31" t="n">
        <f aca="false">K121*J121</f>
        <v>30</v>
      </c>
      <c r="M121" s="32"/>
      <c r="N121" s="33" t="n">
        <f aca="false">J121/$J$123</f>
        <v>0.000940999341300461</v>
      </c>
      <c r="O121" s="33" t="n">
        <f aca="false">L121/$L$123</f>
        <v>0.000418511546942836</v>
      </c>
      <c r="P121" s="34"/>
      <c r="Q121" s="35" t="n">
        <v>30</v>
      </c>
      <c r="R121" s="36" t="n">
        <f aca="false">IF(Q121=L121,0,1)</f>
        <v>0</v>
      </c>
    </row>
    <row r="122" customFormat="false" ht="13" hidden="false" customHeight="false" outlineLevel="0" collapsed="false">
      <c r="C122" s="41"/>
      <c r="D122" s="41"/>
      <c r="E122" s="41"/>
      <c r="F122" s="41"/>
      <c r="G122" s="41"/>
      <c r="H122" s="41"/>
      <c r="I122" s="41"/>
      <c r="J122" s="42"/>
      <c r="K122" s="41"/>
      <c r="L122" s="41"/>
      <c r="M122" s="9"/>
      <c r="N122" s="41"/>
      <c r="O122" s="41"/>
      <c r="P122" s="9"/>
      <c r="Q122" s="41"/>
      <c r="R122" s="43"/>
    </row>
    <row r="123" customFormat="false" ht="13.5" hidden="false" customHeight="false" outlineLevel="0" collapsed="false">
      <c r="C123" s="44" t="s">
        <v>15</v>
      </c>
      <c r="D123" s="44"/>
      <c r="E123" s="44"/>
      <c r="F123" s="44"/>
      <c r="G123" s="44"/>
      <c r="H123" s="44"/>
      <c r="I123" s="44"/>
      <c r="J123" s="45" t="n">
        <f aca="false">SUM(D1_Quantity_Sold)</f>
        <v>10627</v>
      </c>
      <c r="K123" s="46" t="n">
        <f aca="false">L123/J123</f>
        <v>6.74532887926978</v>
      </c>
      <c r="L123" s="47" t="n">
        <f aca="false">SUM(D1_Revenue)</f>
        <v>71682.61</v>
      </c>
      <c r="M123" s="9"/>
      <c r="N123" s="48" t="n">
        <f aca="false">SUM(D1_Percent_Quantity)</f>
        <v>1</v>
      </c>
      <c r="O123" s="48" t="n">
        <f aca="false">SUM(D1_Percent_Revenue)</f>
        <v>1</v>
      </c>
      <c r="P123" s="6"/>
      <c r="Q123" s="47" t="n">
        <v>82543.11</v>
      </c>
      <c r="R123" s="49" t="n">
        <f aca="false">Q123=L8</f>
        <v>0</v>
      </c>
    </row>
    <row r="124" customFormat="false" ht="13" hidden="false" customHeight="false" outlineLevel="0" collapsed="false">
      <c r="C124" s="50" t="s">
        <v>30</v>
      </c>
      <c r="D124" s="51"/>
      <c r="E124" s="51"/>
      <c r="F124" s="51"/>
      <c r="G124" s="51"/>
      <c r="H124" s="51"/>
      <c r="I124" s="51"/>
      <c r="J124" s="52"/>
      <c r="K124" s="52"/>
      <c r="L124" s="52" t="n">
        <f aca="false">L123=L8</f>
        <v>1</v>
      </c>
      <c r="M124" s="53"/>
      <c r="N124" s="51"/>
      <c r="O124" s="17"/>
      <c r="P124" s="17"/>
      <c r="Q124" s="52" t="n">
        <f aca="false">Q123=L123</f>
        <v>0</v>
      </c>
      <c r="R124" s="6"/>
    </row>
  </sheetData>
  <autoFilter ref="C14:L121"/>
  <conditionalFormatting sqref="J9:L9 N15:O121 C15:L121">
    <cfRule type="expression" priority="2" aboveAverage="0" equalAverage="0" bottom="0" percent="0" rank="0" text="" dxfId="0">
      <formula>MOD(ROW(C9),2)</formula>
    </cfRule>
  </conditionalFormatting>
  <conditionalFormatting sqref="Q15:Q121">
    <cfRule type="expression" priority="3" aboveAverage="0" equalAverage="0" bottom="0" percent="0" rank="0" text="" dxfId="1">
      <formula>MOD(ROW(Q15),2)</formula>
    </cfRule>
  </conditionalFormatting>
  <conditionalFormatting sqref="J8:L8">
    <cfRule type="expression" priority="4" aboveAverage="0" equalAverage="0" bottom="0" percent="0" rank="0" text="" dxfId="2">
      <formula>MOD(ROW(J8),2)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8"/>
  <sheetViews>
    <sheetView showFormulas="false" showGridLines="false" showRowColHeaders="true" showZeros="true" rightToLeft="false" tabSelected="true" showOutlineSymbols="true" defaultGridColor="true" view="normal" topLeftCell="A109" colorId="64" zoomScale="85" zoomScaleNormal="85" zoomScalePageLayoutView="100" workbookViewId="0">
      <selection pane="topLeft" activeCell="C128" activeCellId="0" sqref="C128"/>
    </sheetView>
  </sheetViews>
  <sheetFormatPr defaultRowHeight="13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5.44"/>
    <col collapsed="false" customWidth="true" hidden="false" outlineLevel="0" max="3" min="3" style="4" width="23.77"/>
    <col collapsed="false" customWidth="true" hidden="false" outlineLevel="0" max="4" min="4" style="4" width="29.78"/>
    <col collapsed="false" customWidth="true" hidden="false" outlineLevel="0" max="5" min="5" style="4" width="33.44"/>
    <col collapsed="false" customWidth="true" hidden="false" outlineLevel="0" max="6" min="6" style="4" width="34.44"/>
    <col collapsed="false" customWidth="true" hidden="false" outlineLevel="0" max="7" min="7" style="4" width="16.45"/>
    <col collapsed="false" customWidth="true" hidden="false" outlineLevel="0" max="8" min="8" style="4" width="10.78"/>
    <col collapsed="false" customWidth="true" hidden="false" outlineLevel="0" max="9" min="9" style="4" width="3.44"/>
    <col collapsed="false" customWidth="true" hidden="false" outlineLevel="0" max="11" min="10" style="4" width="2.55"/>
    <col collapsed="false" customWidth="true" hidden="false" outlineLevel="0" max="12" min="12" style="0" width="97.44"/>
    <col collapsed="false" customWidth="true" hidden="false" outlineLevel="0" max="13" min="13" style="0" width="13.78"/>
    <col collapsed="false" customWidth="true" hidden="false" outlineLevel="0" max="14" min="14" style="0" width="113"/>
    <col collapsed="false" customWidth="true" hidden="false" outlineLevel="0" max="15" min="15" style="0" width="9.44"/>
    <col collapsed="false" customWidth="true" hidden="false" outlineLevel="0" max="1025" min="16" style="4" width="9.44"/>
  </cols>
  <sheetData>
    <row r="1" customFormat="false" ht="14.5" hidden="false" customHeight="false" outlineLevel="0" collapsed="false">
      <c r="A1" s="5" t="str">
        <f aca="false">'Cover Page'!A1</f>
        <v>Problem Solving With Excel </v>
      </c>
      <c r="F1" s="54"/>
    </row>
    <row r="2" customFormat="false" ht="14.5" hidden="false" customHeight="false" outlineLevel="0" collapsed="false">
      <c r="A2" s="5" t="str">
        <f aca="false">'Cover Page'!A2</f>
        <v>Week 2</v>
      </c>
      <c r="F2" s="55"/>
    </row>
    <row r="3" customFormat="false" ht="14.5" hidden="false" customHeight="false" outlineLevel="0" collapsed="false">
      <c r="A3" s="5" t="str">
        <f aca="false">'Cover Page'!A3</f>
        <v>Vlookup</v>
      </c>
      <c r="F3" s="54"/>
    </row>
    <row r="4" customFormat="false" ht="14.5" hidden="false" customHeight="false" outlineLevel="0" collapsed="false">
      <c r="A4" s="5" t="s">
        <v>8</v>
      </c>
      <c r="F4" s="56"/>
    </row>
    <row r="6" customFormat="false" ht="33" hidden="false" customHeight="true" outlineLevel="0" collapsed="false"/>
    <row r="7" customFormat="false" ht="18.5" hidden="false" customHeight="false" outlineLevel="0" collapsed="false">
      <c r="B7" s="57" t="s">
        <v>239</v>
      </c>
    </row>
    <row r="8" customFormat="false" ht="13" hidden="false" customHeight="false" outlineLevel="1" collapsed="false">
      <c r="B8" s="58"/>
      <c r="C8" s="58"/>
      <c r="D8" s="58"/>
    </row>
    <row r="9" customFormat="false" ht="13" hidden="false" customHeight="false" outlineLevel="1" collapsed="false">
      <c r="B9" s="59" t="s">
        <v>240</v>
      </c>
      <c r="C9" s="59"/>
      <c r="D9" s="60"/>
    </row>
    <row r="10" customFormat="false" ht="13" hidden="false" customHeight="false" outlineLevel="1" collapsed="false">
      <c r="B10" s="59"/>
      <c r="C10" s="60"/>
      <c r="D10" s="60"/>
    </row>
    <row r="11" customFormat="false" ht="13" hidden="false" customHeight="false" outlineLevel="1" collapsed="false">
      <c r="B11" s="61" t="n">
        <v>23265</v>
      </c>
      <c r="C11" s="61" t="s">
        <v>223</v>
      </c>
      <c r="D11" s="62" t="s">
        <v>222</v>
      </c>
    </row>
    <row r="12" customFormat="false" ht="13" hidden="false" customHeight="false" outlineLevel="1" collapsed="false">
      <c r="B12" s="63" t="n">
        <v>23315</v>
      </c>
      <c r="C12" s="63" t="s">
        <v>50</v>
      </c>
      <c r="D12" s="63" t="s">
        <v>168</v>
      </c>
    </row>
    <row r="13" customFormat="false" ht="13" hidden="false" customHeight="false" outlineLevel="1" collapsed="false">
      <c r="B13" s="63" t="n">
        <v>23326</v>
      </c>
      <c r="C13" s="63" t="s">
        <v>152</v>
      </c>
      <c r="D13" s="64" t="s">
        <v>151</v>
      </c>
    </row>
    <row r="14" customFormat="false" ht="13" hidden="false" customHeight="false" outlineLevel="1" collapsed="false">
      <c r="B14" s="63" t="n">
        <v>23367</v>
      </c>
      <c r="C14" s="63" t="s">
        <v>232</v>
      </c>
      <c r="D14" s="64" t="s">
        <v>231</v>
      </c>
    </row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>
      <c r="B17" s="59" t="s">
        <v>241</v>
      </c>
      <c r="C17" s="65"/>
      <c r="D17" s="65"/>
    </row>
    <row r="18" customFormat="false" ht="13" hidden="false" customHeight="false" outlineLevel="1" collapsed="false">
      <c r="B18" s="59" t="s">
        <v>242</v>
      </c>
      <c r="C18" s="60"/>
      <c r="D18" s="60"/>
    </row>
    <row r="19" customFormat="false" ht="13" hidden="false" customHeight="false" outlineLevel="1" collapsed="false">
      <c r="B19" s="66"/>
      <c r="C19" s="67"/>
      <c r="D19" s="67"/>
    </row>
    <row r="20" customFormat="false" ht="13" hidden="false" customHeight="false" outlineLevel="1" collapsed="false">
      <c r="B20" s="68" t="s">
        <v>17</v>
      </c>
      <c r="C20" s="68" t="s">
        <v>243</v>
      </c>
    </row>
    <row r="21" customFormat="false" ht="12.8" hidden="false" customHeight="false" outlineLevel="1" collapsed="false">
      <c r="B21" s="64" t="n">
        <v>23265</v>
      </c>
      <c r="C21" s="64" t="str">
        <f aca="false">VLOOKUP(B21,B11:D14,3,0)</f>
        <v>Uriel Benton</v>
      </c>
    </row>
    <row r="22" customFormat="false" ht="12.8" hidden="false" customHeight="false" outlineLevel="1" collapsed="false">
      <c r="B22" s="64" t="n">
        <v>23315</v>
      </c>
      <c r="C22" s="64" t="str">
        <f aca="false">VLOOKUP(B22,B12:D15,3,0)</f>
        <v>Anika Tillman</v>
      </c>
    </row>
    <row r="23" customFormat="false" ht="13" hidden="false" customHeight="false" outlineLevel="1" collapsed="false">
      <c r="B23" s="69"/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57" t="s">
        <v>244</v>
      </c>
    </row>
    <row r="27" customFormat="false" ht="18.5" hidden="false" customHeight="false" outlineLevel="1" collapsed="false">
      <c r="B27" s="57"/>
    </row>
    <row r="28" customFormat="false" ht="13" hidden="false" customHeight="false" outlineLevel="1" collapsed="false">
      <c r="B28" s="59" t="s">
        <v>245</v>
      </c>
    </row>
    <row r="29" customFormat="false" ht="18.5" hidden="false" customHeight="false" outlineLevel="1" collapsed="false">
      <c r="B29" s="57"/>
    </row>
    <row r="30" customFormat="false" ht="13" hidden="false" customHeight="false" outlineLevel="1" collapsed="false">
      <c r="B30" s="68" t="s">
        <v>17</v>
      </c>
      <c r="C30" s="68" t="s">
        <v>21</v>
      </c>
    </row>
    <row r="31" customFormat="false" ht="12.8" hidden="false" customHeight="false" outlineLevel="1" collapsed="false">
      <c r="B31" s="64" t="n">
        <v>23265</v>
      </c>
      <c r="C31" s="64" t="str">
        <f aca="false">VLOOKUP(B31,SALES_DATA,5,0)</f>
        <v>Retail</v>
      </c>
    </row>
    <row r="32" customFormat="false" ht="12.8" hidden="false" customHeight="false" outlineLevel="1" collapsed="false">
      <c r="B32" s="64" t="n">
        <v>23378</v>
      </c>
      <c r="C32" s="64" t="str">
        <f aca="false">VLOOKUP(B32,SALES_DATA,5,0)</f>
        <v>Online</v>
      </c>
    </row>
    <row r="33" customFormat="false" ht="12.8" hidden="false" customHeight="false" outlineLevel="1" collapsed="false">
      <c r="B33" s="64" t="n">
        <v>23288</v>
      </c>
      <c r="C33" s="64" t="str">
        <f aca="false">VLOOKUP(B33,SALES_DATA,5,0)</f>
        <v>Direct</v>
      </c>
    </row>
    <row r="34" customFormat="false" ht="12.8" hidden="false" customHeight="false" outlineLevel="1" collapsed="false">
      <c r="B34" s="64" t="n">
        <v>23347</v>
      </c>
      <c r="C34" s="64" t="str">
        <f aca="false">VLOOKUP(B34,SALES_DATA,5,0)</f>
        <v>Online</v>
      </c>
    </row>
    <row r="35" customFormat="false" ht="13" hidden="false" customHeight="false" outlineLevel="1" collapsed="false">
      <c r="B35" s="65"/>
      <c r="C35" s="65"/>
    </row>
    <row r="36" customFormat="false" ht="13" hidden="false" customHeight="false" outlineLevel="1" collapsed="false">
      <c r="B36" s="65"/>
      <c r="C36" s="65"/>
    </row>
    <row r="37" customFormat="false" ht="18.75" hidden="false" customHeight="true" outlineLevel="0" collapsed="false">
      <c r="B37" s="57" t="s">
        <v>246</v>
      </c>
      <c r="C37" s="65"/>
    </row>
    <row r="38" customFormat="false" ht="18.5" hidden="false" customHeight="false" outlineLevel="1" collapsed="false">
      <c r="B38" s="57"/>
    </row>
    <row r="39" customFormat="false" ht="13" hidden="false" customHeight="false" outlineLevel="1" collapsed="false">
      <c r="B39" s="70" t="s">
        <v>247</v>
      </c>
    </row>
    <row r="40" customFormat="false" ht="15.75" hidden="false" customHeight="true" outlineLevel="1" collapsed="false">
      <c r="B40" s="68" t="s">
        <v>248</v>
      </c>
      <c r="C40" s="68" t="s">
        <v>21</v>
      </c>
      <c r="D40" s="68" t="s">
        <v>17</v>
      </c>
      <c r="E40" s="68" t="s">
        <v>24</v>
      </c>
    </row>
    <row r="41" customFormat="false" ht="13" hidden="false" customHeight="false" outlineLevel="1" collapsed="false">
      <c r="B41" s="71"/>
      <c r="C41" s="64" t="s">
        <v>34</v>
      </c>
      <c r="D41" s="64" t="n">
        <v>23345</v>
      </c>
      <c r="E41" s="65" t="n">
        <v>208</v>
      </c>
    </row>
    <row r="42" customFormat="false" ht="13" hidden="false" customHeight="false" outlineLevel="1" collapsed="false">
      <c r="B42" s="71"/>
      <c r="C42" s="63" t="s">
        <v>37</v>
      </c>
      <c r="D42" s="63" t="n">
        <v>23278</v>
      </c>
      <c r="E42" s="63" t="n">
        <v>197</v>
      </c>
    </row>
    <row r="43" customFormat="false" ht="13" hidden="false" customHeight="false" outlineLevel="1" collapsed="false">
      <c r="B43" s="71"/>
      <c r="C43" s="63" t="s">
        <v>249</v>
      </c>
      <c r="D43" s="63" t="n">
        <v>23303</v>
      </c>
      <c r="E43" s="64" t="n">
        <v>176</v>
      </c>
    </row>
    <row r="44" customFormat="false" ht="13" hidden="false" customHeight="false" outlineLevel="1" collapsed="false">
      <c r="B44" s="71"/>
      <c r="C44" s="63" t="s">
        <v>37</v>
      </c>
      <c r="D44" s="63" t="n">
        <v>23353</v>
      </c>
      <c r="E44" s="64" t="n">
        <v>168</v>
      </c>
    </row>
    <row r="45" customFormat="false" ht="13" hidden="false" customHeight="false" outlineLevel="1" collapsed="false">
      <c r="B45" s="71"/>
      <c r="C45" s="64" t="s">
        <v>40</v>
      </c>
      <c r="D45" s="64" t="n">
        <v>23289</v>
      </c>
      <c r="E45" s="65" t="n">
        <v>166</v>
      </c>
    </row>
    <row r="46" customFormat="false" ht="13" hidden="false" customHeight="false" outlineLevel="1" collapsed="false">
      <c r="B46" s="71"/>
      <c r="C46" s="63" t="s">
        <v>34</v>
      </c>
      <c r="D46" s="63" t="n">
        <v>23378</v>
      </c>
      <c r="E46" s="63" t="n">
        <v>157</v>
      </c>
    </row>
    <row r="47" customFormat="false" ht="13" hidden="false" customHeight="false" outlineLevel="1" collapsed="false">
      <c r="B47" s="71"/>
      <c r="C47" s="63" t="s">
        <v>34</v>
      </c>
      <c r="D47" s="63" t="n">
        <v>23283</v>
      </c>
      <c r="E47" s="64" t="n">
        <v>142</v>
      </c>
    </row>
    <row r="48" customFormat="false" ht="13" hidden="false" customHeight="false" outlineLevel="1" collapsed="false">
      <c r="B48" s="71"/>
      <c r="C48" s="63" t="s">
        <v>40</v>
      </c>
      <c r="D48" s="63" t="n">
        <v>23324</v>
      </c>
      <c r="E48" s="64" t="n">
        <v>193</v>
      </c>
    </row>
    <row r="49" customFormat="false" ht="13" hidden="false" customHeight="false" outlineLevel="1" collapsed="false"/>
    <row r="50" customFormat="false" ht="13" hidden="false" customHeight="false" outlineLevel="1" collapsed="false">
      <c r="B50" s="72" t="s">
        <v>250</v>
      </c>
    </row>
    <row r="51" customFormat="false" ht="13" hidden="false" customHeight="false" outlineLevel="1" collapsed="false">
      <c r="B51" s="70" t="s">
        <v>251</v>
      </c>
    </row>
    <row r="52" customFormat="false" ht="13" hidden="false" customHeight="false" outlineLevel="1" collapsed="false"/>
    <row r="53" customFormat="false" ht="26" hidden="false" customHeight="false" outlineLevel="1" collapsed="false">
      <c r="B53" s="73" t="s">
        <v>17</v>
      </c>
      <c r="C53" s="73" t="s">
        <v>21</v>
      </c>
      <c r="D53" s="73" t="s">
        <v>24</v>
      </c>
      <c r="E53" s="73" t="s">
        <v>26</v>
      </c>
      <c r="F53" s="74" t="s">
        <v>252</v>
      </c>
    </row>
    <row r="54" customFormat="false" ht="12.8" hidden="false" customHeight="false" outlineLevel="1" collapsed="false">
      <c r="B54" s="63" t="n">
        <v>23353</v>
      </c>
      <c r="C54" s="63" t="str">
        <f aca="false">VLOOKUP(B54,SALES_DATA,5,0)</f>
        <v>Direct</v>
      </c>
      <c r="D54" s="64" t="n">
        <f aca="false">VLOOKUP(B54,SALES_DATA,8,0)</f>
        <v>168</v>
      </c>
      <c r="E54" s="64" t="n">
        <f aca="false">VLOOKUP(B54,SALES_DATA,10,0)</f>
        <v>2436</v>
      </c>
    </row>
    <row r="55" customFormat="false" ht="12.8" hidden="false" customHeight="false" outlineLevel="1" collapsed="false">
      <c r="B55" s="64" t="n">
        <v>23289</v>
      </c>
      <c r="C55" s="63" t="str">
        <f aca="false">VLOOKUP(B55,SALES_DATA,5,0)</f>
        <v>Retail</v>
      </c>
      <c r="D55" s="64" t="n">
        <f aca="false">VLOOKUP(B55,SALES_DATA,8,0)</f>
        <v>166</v>
      </c>
      <c r="E55" s="64" t="n">
        <f aca="false">VLOOKUP(B55,SALES_DATA,10,0)</f>
        <v>2407</v>
      </c>
    </row>
    <row r="56" customFormat="false" ht="12.8" hidden="false" customHeight="false" outlineLevel="1" collapsed="false">
      <c r="B56" s="63" t="n">
        <v>23378</v>
      </c>
      <c r="C56" s="63" t="str">
        <f aca="false">VLOOKUP(B56,SALES_DATA,5,0)</f>
        <v>Online</v>
      </c>
      <c r="D56" s="64" t="n">
        <f aca="false">VLOOKUP(B56,SALES_DATA,8,0)</f>
        <v>157</v>
      </c>
      <c r="E56" s="64" t="n">
        <f aca="false">VLOOKUP(B56,SALES_DATA,10,0)</f>
        <v>2276.5</v>
      </c>
    </row>
    <row r="57" customFormat="false" ht="12.8" hidden="false" customHeight="false" outlineLevel="1" collapsed="false">
      <c r="B57" s="64" t="n">
        <v>23283</v>
      </c>
      <c r="C57" s="63" t="str">
        <f aca="false">VLOOKUP(B57,SALES_DATA,5,0)</f>
        <v>Online</v>
      </c>
      <c r="D57" s="64" t="n">
        <f aca="false">VLOOKUP(B57,SALES_DATA,8,0)</f>
        <v>142</v>
      </c>
      <c r="E57" s="64" t="n">
        <f aca="false">VLOOKUP(B57,SALES_DATA,10,0)</f>
        <v>2059</v>
      </c>
    </row>
    <row r="58" customFormat="false" ht="12.8" hidden="false" customHeight="false" outlineLevel="1" collapsed="false">
      <c r="B58" s="63" t="n">
        <v>23324</v>
      </c>
      <c r="C58" s="63" t="str">
        <f aca="false">VLOOKUP(B58,SALES_DATA,5,0)</f>
        <v>Retail</v>
      </c>
      <c r="D58" s="64" t="n">
        <f aca="false">VLOOKUP(B58,SALES_DATA,8,0)</f>
        <v>193</v>
      </c>
      <c r="E58" s="64" t="n">
        <f aca="false">VLOOKUP(B58,SALES_DATA,10,0)</f>
        <v>1928.07</v>
      </c>
    </row>
    <row r="59" customFormat="false" ht="12.8" hidden="false" customHeight="false" outlineLevel="1" collapsed="false">
      <c r="B59" s="63" t="n">
        <v>23303</v>
      </c>
      <c r="C59" s="63" t="str">
        <f aca="false">VLOOKUP(B59,SALES_DATA,5,0)</f>
        <v>Retail</v>
      </c>
      <c r="D59" s="64" t="n">
        <f aca="false">VLOOKUP(B59,SALES_DATA,8,0)</f>
        <v>176</v>
      </c>
      <c r="E59" s="64" t="n">
        <f aca="false">VLOOKUP(B59,SALES_DATA,10,0)</f>
        <v>2552</v>
      </c>
    </row>
    <row r="60" customFormat="false" ht="13" hidden="false" customHeight="false" outlineLevel="1" collapsed="false"/>
    <row r="61" customFormat="false" ht="18.5" hidden="false" customHeight="false" outlineLevel="0" collapsed="false">
      <c r="B61" s="57" t="s">
        <v>253</v>
      </c>
    </row>
    <row r="62" customFormat="false" ht="18.5" hidden="false" customHeight="false" outlineLevel="1" collapsed="false">
      <c r="B62" s="57"/>
    </row>
    <row r="63" customFormat="false" ht="13" hidden="false" customHeight="false" outlineLevel="1" collapsed="false">
      <c r="B63" s="75" t="s">
        <v>254</v>
      </c>
    </row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>
      <c r="B66" s="76" t="s">
        <v>255</v>
      </c>
      <c r="C66" s="76" t="s">
        <v>256</v>
      </c>
      <c r="D66" s="76" t="s">
        <v>257</v>
      </c>
      <c r="E66" s="76" t="s">
        <v>258</v>
      </c>
      <c r="F66" s="76" t="s">
        <v>259</v>
      </c>
      <c r="G66" s="76" t="s">
        <v>260</v>
      </c>
    </row>
    <row r="67" customFormat="false" ht="13" hidden="false" customHeight="false" outlineLevel="1" collapsed="false">
      <c r="B67" s="77" t="s">
        <v>261</v>
      </c>
      <c r="C67" s="78" t="s">
        <v>262</v>
      </c>
      <c r="D67" s="79" t="n">
        <v>11</v>
      </c>
      <c r="E67" s="78" t="s">
        <v>263</v>
      </c>
      <c r="F67" s="78" t="s">
        <v>264</v>
      </c>
      <c r="G67" s="78" t="s">
        <v>265</v>
      </c>
    </row>
    <row r="68" customFormat="false" ht="13" hidden="false" customHeight="false" outlineLevel="1" collapsed="false">
      <c r="B68" s="80"/>
      <c r="C68" s="80"/>
      <c r="D68" s="80"/>
      <c r="E68" s="80"/>
      <c r="F68" s="81"/>
      <c r="G68" s="81"/>
    </row>
    <row r="69" customFormat="false" ht="13" hidden="false" customHeight="false" outlineLevel="1" collapsed="false">
      <c r="B69" s="82" t="s">
        <v>266</v>
      </c>
      <c r="C69" s="76" t="s">
        <v>267</v>
      </c>
      <c r="D69" s="80"/>
      <c r="E69" s="80"/>
      <c r="F69" s="81"/>
      <c r="G69" s="81"/>
    </row>
    <row r="70" customFormat="false" ht="12.8" hidden="false" customHeight="false" outlineLevel="1" collapsed="false">
      <c r="B70" s="83" t="s">
        <v>256</v>
      </c>
      <c r="C70" s="84" t="str">
        <f aca="false">HLOOKUP(B70,$B$66:$G$67,2,0)</f>
        <v>125 Pounds</v>
      </c>
      <c r="D70" s="80"/>
      <c r="E70" s="80"/>
      <c r="F70" s="81"/>
      <c r="G70" s="81"/>
    </row>
    <row r="71" customFormat="false" ht="12.8" hidden="false" customHeight="false" outlineLevel="1" collapsed="false">
      <c r="B71" s="85" t="s">
        <v>257</v>
      </c>
      <c r="C71" s="84" t="n">
        <f aca="false">HLOOKUP(B71,$B$66:$G$67,2,0)</f>
        <v>11</v>
      </c>
      <c r="D71" s="80"/>
      <c r="E71" s="80"/>
      <c r="F71" s="81"/>
      <c r="G71" s="81"/>
    </row>
    <row r="72" customFormat="false" ht="13" hidden="false" customHeight="false" outlineLevel="1" collapsed="false"/>
    <row r="73" customFormat="false" ht="18.5" hidden="false" customHeight="false" outlineLevel="0" collapsed="false">
      <c r="B73" s="57" t="s">
        <v>268</v>
      </c>
    </row>
    <row r="74" customFormat="false" ht="18.5" hidden="false" customHeight="false" outlineLevel="1" collapsed="false">
      <c r="B74" s="57"/>
    </row>
    <row r="75" customFormat="false" ht="13" hidden="false" customHeight="false" outlineLevel="1" collapsed="false">
      <c r="B75" s="59" t="s">
        <v>269</v>
      </c>
    </row>
    <row r="76" customFormat="false" ht="18.5" hidden="false" customHeight="false" outlineLevel="1" collapsed="false">
      <c r="B76" s="57"/>
    </row>
    <row r="77" customFormat="false" ht="12.75" hidden="false" customHeight="true" outlineLevel="1" collapsed="false">
      <c r="B77" s="57"/>
    </row>
    <row r="78" customFormat="false" ht="12.75" hidden="false" customHeight="true" outlineLevel="1" collapsed="false">
      <c r="B78" s="19" t="s">
        <v>17</v>
      </c>
      <c r="C78" s="19" t="s">
        <v>18</v>
      </c>
      <c r="D78" s="19" t="s">
        <v>19</v>
      </c>
      <c r="E78" s="19" t="s">
        <v>20</v>
      </c>
      <c r="F78" s="19" t="s">
        <v>270</v>
      </c>
      <c r="G78" s="20" t="s">
        <v>21</v>
      </c>
      <c r="H78" s="23" t="s">
        <v>26</v>
      </c>
    </row>
    <row r="79" customFormat="false" ht="12.75" hidden="false" customHeight="true" outlineLevel="1" collapsed="false">
      <c r="B79" s="26" t="n">
        <v>23278</v>
      </c>
      <c r="C79" s="26" t="s">
        <v>35</v>
      </c>
      <c r="D79" s="26" t="s">
        <v>36</v>
      </c>
      <c r="E79" s="26" t="s">
        <v>33</v>
      </c>
      <c r="F79" s="86" t="s">
        <v>271</v>
      </c>
      <c r="G79" s="26" t="s">
        <v>37</v>
      </c>
      <c r="H79" s="31" t="n">
        <v>2856.5</v>
      </c>
    </row>
    <row r="80" customFormat="false" ht="12.75" hidden="false" customHeight="true" outlineLevel="1" collapsed="false">
      <c r="B80" s="26" t="n">
        <v>23332</v>
      </c>
      <c r="C80" s="26" t="s">
        <v>99</v>
      </c>
      <c r="D80" s="26" t="s">
        <v>100</v>
      </c>
      <c r="E80" s="26" t="s">
        <v>98</v>
      </c>
      <c r="F80" s="86" t="s">
        <v>272</v>
      </c>
      <c r="G80" s="26" t="s">
        <v>37</v>
      </c>
      <c r="H80" s="31" t="n">
        <v>913.5</v>
      </c>
    </row>
    <row r="81" customFormat="false" ht="12.75" hidden="false" customHeight="true" outlineLevel="1" collapsed="false">
      <c r="B81" s="57"/>
    </row>
    <row r="82" customFormat="false" ht="12.75" hidden="false" customHeight="true" outlineLevel="1" collapsed="false">
      <c r="B82" s="57"/>
    </row>
    <row r="83" customFormat="false" ht="33.75" hidden="false" customHeight="true" outlineLevel="1" collapsed="false">
      <c r="B83" s="87" t="s">
        <v>266</v>
      </c>
      <c r="C83" s="88" t="s">
        <v>36</v>
      </c>
      <c r="D83" s="88" t="s">
        <v>100</v>
      </c>
    </row>
    <row r="84" customFormat="false" ht="12.75" hidden="false" customHeight="true" outlineLevel="1" collapsed="false">
      <c r="B84" s="85" t="s">
        <v>17</v>
      </c>
      <c r="C84" s="71" t="n">
        <f aca="false">HLOOKUP(B84,$B$78:$H$80,2,0)</f>
        <v>23278</v>
      </c>
      <c r="D84" s="71" t="n">
        <f aca="false">HLOOKUP(B84,$B$78:$H$803,3,0)</f>
        <v>23332</v>
      </c>
    </row>
    <row r="85" customFormat="false" ht="12.75" hidden="false" customHeight="true" outlineLevel="1" collapsed="false">
      <c r="B85" s="85" t="s">
        <v>26</v>
      </c>
      <c r="C85" s="71" t="n">
        <f aca="false">HLOOKUP(B85,$B$78:$H$80,2,0)</f>
        <v>2856.5</v>
      </c>
      <c r="D85" s="71" t="n">
        <f aca="false">HLOOKUP(B85,$B$78:$H$803,3,0)</f>
        <v>913.5</v>
      </c>
    </row>
    <row r="86" customFormat="false" ht="12.75" hidden="false" customHeight="true" outlineLevel="1" collapsed="false">
      <c r="B86" s="57"/>
    </row>
    <row r="87" customFormat="false" ht="12.75" hidden="false" customHeight="true" outlineLevel="0" collapsed="false">
      <c r="B87" s="57"/>
    </row>
    <row r="88" customFormat="false" ht="12.75" hidden="false" customHeight="true" outlineLevel="0" collapsed="false">
      <c r="B88" s="57" t="s">
        <v>273</v>
      </c>
    </row>
    <row r="89" customFormat="false" ht="12.75" hidden="false" customHeight="true" outlineLevel="1" collapsed="false">
      <c r="B89" s="57"/>
    </row>
    <row r="90" customFormat="false" ht="12.75" hidden="false" customHeight="true" outlineLevel="1" collapsed="false">
      <c r="B90" s="59" t="s">
        <v>274</v>
      </c>
    </row>
    <row r="91" customFormat="false" ht="12.75" hidden="false" customHeight="true" outlineLevel="1" collapsed="false">
      <c r="B91" s="57"/>
    </row>
    <row r="92" customFormat="false" ht="12.75" hidden="false" customHeight="true" outlineLevel="1" collapsed="false">
      <c r="B92" s="59"/>
      <c r="C92" s="59"/>
      <c r="D92" s="60"/>
    </row>
    <row r="93" customFormat="false" ht="12.75" hidden="false" customHeight="true" outlineLevel="1" collapsed="false">
      <c r="B93" s="68" t="s">
        <v>17</v>
      </c>
      <c r="C93" s="68" t="s">
        <v>19</v>
      </c>
      <c r="D93" s="68" t="s">
        <v>243</v>
      </c>
      <c r="E93" s="68" t="s">
        <v>26</v>
      </c>
    </row>
    <row r="94" customFormat="false" ht="12.75" hidden="false" customHeight="true" outlineLevel="1" collapsed="false">
      <c r="B94" s="64" t="n">
        <v>23265</v>
      </c>
      <c r="C94" s="64" t="str">
        <f aca="false">VLOOKUP($B94,SALES_DATA,3,0)</f>
        <v>South Africa</v>
      </c>
      <c r="D94" s="65" t="str">
        <f aca="false">VLOOKUP($B94,SALES_DATA,2,0)</f>
        <v>Uriel Benton</v>
      </c>
      <c r="E94" s="89" t="n">
        <f aca="false">VLOOKUP(B94,SALES_DATA,10,0)</f>
        <v>139.86</v>
      </c>
    </row>
    <row r="95" customFormat="false" ht="12.75" hidden="false" customHeight="true" outlineLevel="1" collapsed="false">
      <c r="B95" s="63" t="n">
        <v>23315</v>
      </c>
      <c r="C95" s="64" t="str">
        <f aca="false">VLOOKUP($B95,SALES_DATA,3,0)</f>
        <v>Burkina Faso</v>
      </c>
      <c r="D95" s="63" t="str">
        <f aca="false">VLOOKUP($B95,SALES_DATA,2,0)</f>
        <v>Anika Tillman</v>
      </c>
      <c r="E95" s="89" t="n">
        <f aca="false">VLOOKUP(B95,SALES_DATA,10,0)</f>
        <v>490.5</v>
      </c>
    </row>
    <row r="96" customFormat="false" ht="12.75" hidden="false" customHeight="true" outlineLevel="1" collapsed="false">
      <c r="B96" s="63" t="n">
        <v>30000</v>
      </c>
      <c r="C96" s="64" t="e">
        <f aca="false">VLOOKUP($B96,SALES_DATA,3,0)</f>
        <v>#N/A</v>
      </c>
      <c r="D96" s="64" t="e">
        <f aca="false">VLOOKUP($B96,SALES_DATA,2,0)</f>
        <v>#N/A</v>
      </c>
      <c r="E96" s="90" t="e">
        <f aca="false">VLOOKUP(B96,SALES_DATA,10,0)</f>
        <v>#N/A</v>
      </c>
    </row>
    <row r="97" customFormat="false" ht="13" hidden="false" customHeight="false" outlineLevel="1" collapsed="false">
      <c r="B97" s="63" t="n">
        <v>40000</v>
      </c>
      <c r="C97" s="64" t="e">
        <f aca="false">VLOOKUP($B97,SALES_DATA,3,0)</f>
        <v>#N/A</v>
      </c>
      <c r="D97" s="64" t="e">
        <f aca="false">VLOOKUP($B97,SALES_DATA,2,0)</f>
        <v>#N/A</v>
      </c>
      <c r="E97" s="90" t="e">
        <f aca="false">VLOOKUP(B97,SALES_DATA,10,0)</f>
        <v>#N/A</v>
      </c>
    </row>
    <row r="98" customFormat="false" ht="13" hidden="false" customHeight="false" outlineLevel="1" collapsed="false">
      <c r="B98" s="63" t="n">
        <v>23367</v>
      </c>
      <c r="C98" s="64" t="str">
        <f aca="false">VLOOKUP($B98,SALES_DATA,3,0)</f>
        <v>Saudi Arabia</v>
      </c>
      <c r="D98" s="64" t="str">
        <f aca="false">VLOOKUP($B98,SALES_DATA,2,0)</f>
        <v>Roary Dixon</v>
      </c>
      <c r="E98" s="90" t="n">
        <f aca="false">VLOOKUP(B98,SALES_DATA,10,0)</f>
        <v>45</v>
      </c>
    </row>
    <row r="99" customFormat="false" ht="13" hidden="false" customHeight="false" outlineLevel="1" collapsed="false">
      <c r="B99" s="63" t="n">
        <v>23326</v>
      </c>
      <c r="C99" s="64" t="str">
        <f aca="false">VLOOKUP($B99,SALES_DATA,3,0)</f>
        <v>Slovenia</v>
      </c>
      <c r="D99" s="64" t="str">
        <f aca="false">VLOOKUP($B99,SALES_DATA,2,0)</f>
        <v>Katelyn Joseph</v>
      </c>
      <c r="E99" s="90" t="n">
        <f aca="false">VLOOKUP(B99,SALES_DATA,10,0)</f>
        <v>567</v>
      </c>
    </row>
    <row r="100" customFormat="false" ht="13" hidden="false" customHeight="false" outlineLevel="1" collapsed="false">
      <c r="B100" s="63" t="n">
        <v>35000</v>
      </c>
      <c r="C100" s="64" t="e">
        <f aca="false">VLOOKUP($B100,SALES_DATA,3,0)</f>
        <v>#N/A</v>
      </c>
      <c r="D100" s="64" t="e">
        <f aca="false">VLOOKUP($B100,SALES_DATA,2,0)</f>
        <v>#N/A</v>
      </c>
      <c r="E100" s="90" t="e">
        <f aca="false">VLOOKUP(B100,SALES_DATA,10,0)</f>
        <v>#N/A</v>
      </c>
    </row>
    <row r="101" customFormat="false" ht="13" hidden="false" customHeight="false" outlineLevel="1" collapsed="false">
      <c r="D101" s="91" t="s">
        <v>14</v>
      </c>
      <c r="E101" s="92" t="e">
        <f aca="false">SUM(E94:E100)</f>
        <v>#N/A</v>
      </c>
    </row>
    <row r="102" customFormat="false" ht="13" hidden="false" customHeight="false" outlineLevel="1" collapsed="false"/>
    <row r="103" customFormat="false" ht="13" hidden="false" customHeight="false" outlineLevel="1" collapsed="false">
      <c r="B103" s="59" t="s">
        <v>241</v>
      </c>
      <c r="C103" s="65"/>
      <c r="D103" s="65"/>
    </row>
    <row r="104" customFormat="false" ht="13" hidden="false" customHeight="false" outlineLevel="1" collapsed="false">
      <c r="B104" s="59" t="s">
        <v>242</v>
      </c>
      <c r="C104" s="60"/>
      <c r="D104" s="60"/>
    </row>
    <row r="105" customFormat="false" ht="13" hidden="false" customHeight="false" outlineLevel="1" collapsed="false">
      <c r="B105" s="66"/>
      <c r="C105" s="67"/>
      <c r="D105" s="67"/>
    </row>
    <row r="106" customFormat="false" ht="13" hidden="false" customHeight="false" outlineLevel="1" collapsed="false">
      <c r="B106" s="68" t="s">
        <v>17</v>
      </c>
      <c r="C106" s="68" t="s">
        <v>243</v>
      </c>
      <c r="D106" s="68" t="s">
        <v>26</v>
      </c>
    </row>
    <row r="107" customFormat="false" ht="12.8" hidden="false" customHeight="false" outlineLevel="1" collapsed="false">
      <c r="B107" s="64" t="n">
        <v>23265</v>
      </c>
      <c r="C107" s="64" t="n">
        <f aca="false">IFERROR(VLOOKUP(B107,SALES_DATA,10,0),"number not available")</f>
        <v>139.86</v>
      </c>
      <c r="D107" s="64" t="n">
        <f aca="false">IFERROR(VLOOKUP(B107,SALES_DATA,10,0),0)</f>
        <v>139.86</v>
      </c>
    </row>
    <row r="108" customFormat="false" ht="12.8" hidden="false" customHeight="false" outlineLevel="1" collapsed="false">
      <c r="B108" s="64" t="n">
        <v>40000</v>
      </c>
      <c r="C108" s="64" t="str">
        <f aca="false">IFERROR(VLOOKUP(B108,SALES_DATA,2,0),"data not available")</f>
        <v>data not available</v>
      </c>
      <c r="D108" s="64" t="n">
        <f aca="false">IFERROR(VLOOKUP(B108,SALES_DATA,10,0),0)</f>
        <v>0</v>
      </c>
    </row>
    <row r="109" customFormat="false" ht="12.8" hidden="false" customHeight="false" outlineLevel="1" collapsed="false">
      <c r="B109" s="64" t="n">
        <v>23367</v>
      </c>
      <c r="C109" s="64" t="str">
        <f aca="false">IFERROR(VLOOKUP(B109,SALES_DATA,2,0),"data not available")</f>
        <v>Roary Dixon</v>
      </c>
      <c r="D109" s="64" t="n">
        <f aca="false">IFERROR(VLOOKUP(B109,SALES_DATA,10,0),0)</f>
        <v>45</v>
      </c>
    </row>
    <row r="110" customFormat="false" ht="13" hidden="false" customHeight="false" outlineLevel="1" collapsed="false">
      <c r="B110" s="65"/>
      <c r="C110" s="65"/>
      <c r="D110" s="65"/>
    </row>
    <row r="111" customFormat="false" ht="13" hidden="false" customHeight="false" outlineLevel="1" collapsed="false">
      <c r="B111" s="65"/>
      <c r="C111" s="65"/>
      <c r="D111" s="65"/>
    </row>
    <row r="112" customFormat="false" ht="30.75" hidden="false" customHeight="true" outlineLevel="1" collapsed="false">
      <c r="B112" s="65"/>
      <c r="C112" s="91" t="s">
        <v>14</v>
      </c>
      <c r="D112" s="93" t="n">
        <f aca="false">SUM(D107:D109)</f>
        <v>184.86</v>
      </c>
    </row>
    <row r="113" customFormat="false" ht="13" hidden="false" customHeight="false" outlineLevel="1" collapsed="false">
      <c r="B113" s="65"/>
      <c r="C113" s="65"/>
      <c r="D113" s="65"/>
    </row>
    <row r="114" customFormat="false" ht="13" hidden="false" customHeight="false" outlineLevel="1" collapsed="false"/>
    <row r="115" customFormat="false" ht="18.5" hidden="false" customHeight="false" outlineLevel="0" collapsed="false">
      <c r="B115" s="57" t="s">
        <v>275</v>
      </c>
    </row>
    <row r="116" customFormat="false" ht="18.5" hidden="false" customHeight="false" outlineLevel="1" collapsed="false">
      <c r="B116" s="57"/>
    </row>
    <row r="117" customFormat="false" ht="13" hidden="false" customHeight="false" outlineLevel="1" collapsed="false">
      <c r="B117" s="59" t="s">
        <v>276</v>
      </c>
    </row>
    <row r="118" customFormat="false" ht="13" hidden="false" customHeight="false" outlineLevel="1" collapsed="false"/>
    <row r="119" customFormat="false" ht="13" hidden="false" customHeight="false" outlineLevel="1" collapsed="false">
      <c r="B119" s="68" t="s">
        <v>17</v>
      </c>
      <c r="C119" s="68" t="s">
        <v>25</v>
      </c>
    </row>
    <row r="120" customFormat="false" ht="12.8" hidden="false" customHeight="false" outlineLevel="1" collapsed="false">
      <c r="B120" s="64" t="n">
        <v>23265</v>
      </c>
      <c r="C120" s="94" t="n">
        <f aca="false">IFERROR(VLOOKUP(B120,SALES_DATA,9,0),0)</f>
        <v>9.99</v>
      </c>
    </row>
    <row r="121" customFormat="false" ht="12.8" hidden="false" customHeight="false" outlineLevel="1" collapsed="false">
      <c r="B121" s="64" t="n">
        <v>23315</v>
      </c>
      <c r="C121" s="94" t="n">
        <f aca="false">IFERROR(VLOOKUP(B121,SALES_DATA,9,0),0)</f>
        <v>4.5</v>
      </c>
    </row>
    <row r="122" customFormat="false" ht="12.8" hidden="false" customHeight="false" outlineLevel="1" collapsed="false">
      <c r="B122" s="64" t="n">
        <v>30000</v>
      </c>
      <c r="C122" s="94" t="n">
        <f aca="false">IFERROR(VLOOKUP(B122,SALES_DATA,9,0),0)</f>
        <v>0</v>
      </c>
    </row>
    <row r="123" customFormat="false" ht="12.8" hidden="false" customHeight="false" outlineLevel="1" collapsed="false">
      <c r="B123" s="64" t="n">
        <v>23377</v>
      </c>
      <c r="C123" s="94" t="n">
        <f aca="false">IFERROR(VLOOKUP(B123,SALES_DATA,9,0),0)</f>
        <v>6.5</v>
      </c>
    </row>
    <row r="124" customFormat="false" ht="12.8" hidden="false" customHeight="false" outlineLevel="1" collapsed="false">
      <c r="B124" s="64" t="n">
        <v>23311</v>
      </c>
      <c r="C124" s="94" t="n">
        <f aca="false">IFERROR(VLOOKUP(B124,SALES_DATA,9,0),0)</f>
        <v>14.5</v>
      </c>
    </row>
    <row r="125" customFormat="false" ht="12.8" hidden="false" customHeight="false" outlineLevel="1" collapsed="false">
      <c r="B125" s="64" t="n">
        <v>23371.5</v>
      </c>
      <c r="C125" s="94" t="n">
        <f aca="false">IFERROR(VLOOKUP(B125,SALES_DATA,9,0),0)</f>
        <v>0</v>
      </c>
    </row>
    <row r="126" customFormat="false" ht="13" hidden="false" customHeight="false" outlineLevel="1" collapsed="false"/>
    <row r="127" customFormat="false" ht="32.25" hidden="false" customHeight="true" outlineLevel="1" collapsed="false">
      <c r="B127" s="91" t="s">
        <v>277</v>
      </c>
      <c r="C127" s="95"/>
    </row>
    <row r="128" customFormat="false" ht="13" hidden="false" customHeight="false" outlineLevel="1" collapsed="false"/>
  </sheetData>
  <conditionalFormatting sqref="B79:H80">
    <cfRule type="expression" priority="2" aboveAverage="0" equalAverage="0" bottom="0" percent="0" rank="0" text="" dxfId="0">
      <formula>MOD(ROW(B79),2)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H128"/>
  <sheetViews>
    <sheetView showFormulas="false" showGridLines="false" showRowColHeaders="true" showZeros="true" rightToLeft="false" tabSelected="false" showOutlineSymbols="true" defaultGridColor="true" view="normal" topLeftCell="A19" colorId="64" zoomScale="85" zoomScaleNormal="85" zoomScalePageLayoutView="100" workbookViewId="0">
      <selection pane="topLeft" activeCell="D41" activeCellId="0" sqref="D41"/>
    </sheetView>
  </sheetViews>
  <sheetFormatPr defaultRowHeight="13" zeroHeight="false" outlineLevelRow="2" outlineLevelCol="0"/>
  <cols>
    <col collapsed="false" customWidth="true" hidden="false" outlineLevel="0" max="1" min="1" style="4" width="9.44"/>
    <col collapsed="false" customWidth="true" hidden="false" outlineLevel="0" max="2" min="2" style="4" width="35.44"/>
    <col collapsed="false" customWidth="true" hidden="false" outlineLevel="0" max="3" min="3" style="4" width="23.77"/>
    <col collapsed="false" customWidth="true" hidden="false" outlineLevel="0" max="4" min="4" style="4" width="29.78"/>
    <col collapsed="false" customWidth="true" hidden="false" outlineLevel="0" max="5" min="5" style="4" width="33.44"/>
    <col collapsed="false" customWidth="true" hidden="false" outlineLevel="0" max="6" min="6" style="4" width="34.44"/>
    <col collapsed="false" customWidth="true" hidden="false" outlineLevel="0" max="7" min="7" style="4" width="16.45"/>
    <col collapsed="false" customWidth="true" hidden="false" outlineLevel="0" max="8" min="8" style="4" width="10.78"/>
    <col collapsed="false" customWidth="true" hidden="false" outlineLevel="0" max="9" min="9" style="4" width="3.44"/>
    <col collapsed="false" customWidth="true" hidden="false" outlineLevel="0" max="11" min="10" style="4" width="2.55"/>
    <col collapsed="false" customWidth="true" hidden="false" outlineLevel="0" max="12" min="12" style="0" width="97.44"/>
    <col collapsed="false" customWidth="true" hidden="false" outlineLevel="0" max="13" min="13" style="0" width="13.78"/>
    <col collapsed="false" customWidth="true" hidden="false" outlineLevel="0" max="14" min="14" style="0" width="113"/>
    <col collapsed="false" customWidth="true" hidden="false" outlineLevel="0" max="15" min="15" style="0" width="9.44"/>
    <col collapsed="false" customWidth="true" hidden="false" outlineLevel="0" max="1025" min="16" style="4" width="9.44"/>
  </cols>
  <sheetData>
    <row r="1" customFormat="false" ht="14.5" hidden="false" customHeight="false" outlineLevel="0" collapsed="false">
      <c r="A1" s="5" t="str">
        <f aca="false">'Cover Page'!A1</f>
        <v>Problem Solving With Excel </v>
      </c>
      <c r="F1" s="54"/>
    </row>
    <row r="2" customFormat="false" ht="14.5" hidden="false" customHeight="false" outlineLevel="0" collapsed="false">
      <c r="A2" s="5" t="str">
        <f aca="false">'Cover Page'!A2</f>
        <v>Week 2</v>
      </c>
      <c r="F2" s="55"/>
    </row>
    <row r="3" customFormat="false" ht="14.5" hidden="false" customHeight="false" outlineLevel="0" collapsed="false">
      <c r="A3" s="5" t="str">
        <f aca="false">'Cover Page'!A3</f>
        <v>Vlookup</v>
      </c>
      <c r="F3" s="54"/>
    </row>
    <row r="4" customFormat="false" ht="14.5" hidden="false" customHeight="false" outlineLevel="0" collapsed="false">
      <c r="A4" s="5" t="s">
        <v>8</v>
      </c>
      <c r="F4" s="56"/>
    </row>
    <row r="6" customFormat="false" ht="33" hidden="false" customHeight="true" outlineLevel="0" collapsed="false"/>
    <row r="7" customFormat="false" ht="18.5" hidden="false" customHeight="false" outlineLevel="0" collapsed="false">
      <c r="B7" s="57" t="s">
        <v>239</v>
      </c>
    </row>
    <row r="8" customFormat="false" ht="13" hidden="false" customHeight="false" outlineLevel="1" collapsed="false">
      <c r="B8" s="58"/>
      <c r="C8" s="58"/>
      <c r="D8" s="58"/>
    </row>
    <row r="9" customFormat="false" ht="13" hidden="false" customHeight="false" outlineLevel="1" collapsed="false">
      <c r="B9" s="59" t="s">
        <v>240</v>
      </c>
      <c r="C9" s="59"/>
      <c r="D9" s="60"/>
    </row>
    <row r="10" customFormat="false" ht="13" hidden="false" customHeight="false" outlineLevel="1" collapsed="false">
      <c r="B10" s="59"/>
      <c r="C10" s="60"/>
      <c r="D10" s="60"/>
    </row>
    <row r="11" customFormat="false" ht="13" hidden="false" customHeight="false" outlineLevel="1" collapsed="false">
      <c r="B11" s="61" t="n">
        <v>23265</v>
      </c>
      <c r="C11" s="61" t="s">
        <v>223</v>
      </c>
      <c r="D11" s="62" t="s">
        <v>222</v>
      </c>
    </row>
    <row r="12" customFormat="false" ht="13" hidden="false" customHeight="false" outlineLevel="1" collapsed="false">
      <c r="B12" s="63" t="n">
        <v>23315</v>
      </c>
      <c r="C12" s="63" t="s">
        <v>50</v>
      </c>
      <c r="D12" s="63" t="s">
        <v>168</v>
      </c>
    </row>
    <row r="13" customFormat="false" ht="13" hidden="false" customHeight="false" outlineLevel="1" collapsed="false">
      <c r="B13" s="63" t="n">
        <v>23326</v>
      </c>
      <c r="C13" s="63" t="s">
        <v>152</v>
      </c>
      <c r="D13" s="64" t="s">
        <v>151</v>
      </c>
    </row>
    <row r="14" customFormat="false" ht="13" hidden="false" customHeight="false" outlineLevel="1" collapsed="false">
      <c r="B14" s="63" t="n">
        <v>23367</v>
      </c>
      <c r="C14" s="63" t="s">
        <v>232</v>
      </c>
      <c r="D14" s="64" t="s">
        <v>231</v>
      </c>
    </row>
    <row r="15" customFormat="false" ht="13" hidden="false" customHeight="false" outlineLevel="1" collapsed="false"/>
    <row r="16" customFormat="false" ht="13" hidden="false" customHeight="false" outlineLevel="1" collapsed="false"/>
    <row r="17" customFormat="false" ht="13" hidden="false" customHeight="false" outlineLevel="1" collapsed="false">
      <c r="B17" s="59" t="s">
        <v>241</v>
      </c>
      <c r="C17" s="65"/>
      <c r="D17" s="65"/>
    </row>
    <row r="18" customFormat="false" ht="13" hidden="false" customHeight="false" outlineLevel="1" collapsed="false">
      <c r="B18" s="59" t="s">
        <v>278</v>
      </c>
      <c r="C18" s="60"/>
      <c r="D18" s="60"/>
    </row>
    <row r="19" customFormat="false" ht="13" hidden="false" customHeight="false" outlineLevel="1" collapsed="false">
      <c r="B19" s="66"/>
      <c r="C19" s="67"/>
      <c r="D19" s="67"/>
    </row>
    <row r="20" customFormat="false" ht="13" hidden="false" customHeight="false" outlineLevel="1" collapsed="false">
      <c r="B20" s="68" t="s">
        <v>17</v>
      </c>
      <c r="C20" s="68" t="s">
        <v>243</v>
      </c>
    </row>
    <row r="21" customFormat="false" ht="13" hidden="false" customHeight="false" outlineLevel="1" collapsed="false">
      <c r="B21" s="64" t="n">
        <v>23265</v>
      </c>
      <c r="C21" s="64" t="str">
        <f aca="false">VLOOKUP($B21,$B$11:$D$14,3)</f>
        <v>Uriel Benton</v>
      </c>
    </row>
    <row r="22" customFormat="false" ht="13" hidden="false" customHeight="false" outlineLevel="1" collapsed="false">
      <c r="B22" s="64" t="n">
        <v>23315</v>
      </c>
      <c r="C22" s="64" t="str">
        <f aca="false">VLOOKUP($B22,$B$11:$D$14,3)</f>
        <v>Anika Tillman</v>
      </c>
    </row>
    <row r="23" customFormat="false" ht="13" hidden="false" customHeight="false" outlineLevel="1" collapsed="false">
      <c r="B23" s="69"/>
    </row>
    <row r="24" customFormat="false" ht="13" hidden="false" customHeight="false" outlineLevel="1" collapsed="false"/>
    <row r="25" customFormat="false" ht="13" hidden="false" customHeight="false" outlineLevel="1" collapsed="false"/>
    <row r="26" customFormat="false" ht="18.5" hidden="false" customHeight="false" outlineLevel="0" collapsed="false">
      <c r="B26" s="57" t="s">
        <v>244</v>
      </c>
    </row>
    <row r="27" customFormat="false" ht="18.5" hidden="false" customHeight="false" outlineLevel="1" collapsed="false">
      <c r="B27" s="57"/>
    </row>
    <row r="28" customFormat="false" ht="13" hidden="false" customHeight="false" outlineLevel="1" collapsed="false">
      <c r="B28" s="59" t="s">
        <v>245</v>
      </c>
    </row>
    <row r="29" customFormat="false" ht="18.5" hidden="false" customHeight="false" outlineLevel="1" collapsed="false">
      <c r="B29" s="57"/>
    </row>
    <row r="30" customFormat="false" ht="13" hidden="false" customHeight="false" outlineLevel="1" collapsed="false">
      <c r="B30" s="68" t="s">
        <v>17</v>
      </c>
      <c r="C30" s="68" t="s">
        <v>21</v>
      </c>
    </row>
    <row r="31" customFormat="false" ht="13" hidden="false" customHeight="false" outlineLevel="1" collapsed="false">
      <c r="B31" s="64" t="n">
        <v>23265</v>
      </c>
      <c r="C31" s="64" t="str">
        <f aca="false">VLOOKUP(B31,SALES_DATA,5,0)</f>
        <v>Retail</v>
      </c>
    </row>
    <row r="32" customFormat="false" ht="13" hidden="false" customHeight="false" outlineLevel="1" collapsed="false">
      <c r="B32" s="64" t="n">
        <v>23378</v>
      </c>
      <c r="C32" s="64" t="str">
        <f aca="false">VLOOKUP(B32,SALES_DATA,5,0)</f>
        <v>Online</v>
      </c>
    </row>
    <row r="33" customFormat="false" ht="13" hidden="false" customHeight="false" outlineLevel="1" collapsed="false">
      <c r="B33" s="64" t="n">
        <v>23288</v>
      </c>
      <c r="C33" s="64" t="str">
        <f aca="false">VLOOKUP(B33,SALES_DATA,5,0)</f>
        <v>Direct</v>
      </c>
    </row>
    <row r="34" customFormat="false" ht="13" hidden="false" customHeight="false" outlineLevel="1" collapsed="false">
      <c r="B34" s="64" t="n">
        <v>23347</v>
      </c>
      <c r="C34" s="64" t="str">
        <f aca="false">VLOOKUP(B34,SALES_DATA,5,0)</f>
        <v>Online</v>
      </c>
    </row>
    <row r="35" customFormat="false" ht="13" hidden="false" customHeight="false" outlineLevel="1" collapsed="false">
      <c r="B35" s="65"/>
      <c r="C35" s="65"/>
    </row>
    <row r="36" customFormat="false" ht="13" hidden="false" customHeight="false" outlineLevel="1" collapsed="false">
      <c r="B36" s="65"/>
      <c r="C36" s="65"/>
    </row>
    <row r="37" customFormat="false" ht="18.5" hidden="false" customHeight="false" outlineLevel="1" collapsed="false">
      <c r="B37" s="57" t="s">
        <v>279</v>
      </c>
      <c r="C37" s="65"/>
    </row>
    <row r="38" customFormat="false" ht="18.5" hidden="false" customHeight="false" outlineLevel="1" collapsed="false">
      <c r="B38" s="57"/>
    </row>
    <row r="39" customFormat="false" ht="18.5" hidden="false" customHeight="false" outlineLevel="1" collapsed="false">
      <c r="B39" s="57"/>
    </row>
    <row r="40" customFormat="false" ht="15.75" hidden="false" customHeight="true" outlineLevel="2" collapsed="false">
      <c r="B40" s="68" t="s">
        <v>248</v>
      </c>
      <c r="C40" s="68" t="s">
        <v>21</v>
      </c>
      <c r="D40" s="68" t="s">
        <v>17</v>
      </c>
      <c r="E40" s="68" t="s">
        <v>24</v>
      </c>
    </row>
    <row r="41" customFormat="false" ht="13" hidden="false" customHeight="false" outlineLevel="2" collapsed="false">
      <c r="B41" s="96" t="n">
        <v>23345</v>
      </c>
      <c r="C41" s="64" t="s">
        <v>34</v>
      </c>
      <c r="D41" s="64" t="n">
        <v>23345</v>
      </c>
      <c r="E41" s="65" t="n">
        <v>208</v>
      </c>
    </row>
    <row r="42" customFormat="false" ht="13" hidden="false" customHeight="false" outlineLevel="2" collapsed="false">
      <c r="B42" s="97" t="n">
        <v>23278</v>
      </c>
      <c r="C42" s="63" t="s">
        <v>37</v>
      </c>
      <c r="D42" s="63" t="n">
        <v>23278</v>
      </c>
      <c r="E42" s="63" t="n">
        <v>197</v>
      </c>
    </row>
    <row r="43" customFormat="false" ht="13" hidden="false" customHeight="false" outlineLevel="2" collapsed="false">
      <c r="B43" s="97" t="n">
        <v>23303</v>
      </c>
      <c r="C43" s="63" t="s">
        <v>249</v>
      </c>
      <c r="D43" s="63" t="n">
        <v>23303</v>
      </c>
      <c r="E43" s="64" t="n">
        <v>176</v>
      </c>
    </row>
    <row r="44" customFormat="false" ht="13" hidden="false" customHeight="false" outlineLevel="2" collapsed="false">
      <c r="B44" s="97" t="n">
        <v>23353</v>
      </c>
      <c r="C44" s="63" t="s">
        <v>37</v>
      </c>
      <c r="D44" s="63" t="n">
        <v>23353</v>
      </c>
      <c r="E44" s="64" t="n">
        <v>168</v>
      </c>
    </row>
    <row r="45" customFormat="false" ht="13" hidden="false" customHeight="false" outlineLevel="2" collapsed="false">
      <c r="B45" s="96" t="n">
        <v>23289</v>
      </c>
      <c r="C45" s="64" t="s">
        <v>40</v>
      </c>
      <c r="D45" s="64" t="n">
        <v>23289</v>
      </c>
      <c r="E45" s="65" t="n">
        <v>166</v>
      </c>
    </row>
    <row r="46" customFormat="false" ht="13" hidden="false" customHeight="false" outlineLevel="2" collapsed="false">
      <c r="B46" s="97" t="n">
        <v>23378</v>
      </c>
      <c r="C46" s="63" t="s">
        <v>34</v>
      </c>
      <c r="D46" s="63" t="n">
        <v>23378</v>
      </c>
      <c r="E46" s="63" t="n">
        <v>157</v>
      </c>
    </row>
    <row r="47" customFormat="false" ht="13" hidden="false" customHeight="false" outlineLevel="2" collapsed="false">
      <c r="B47" s="97" t="n">
        <v>23283</v>
      </c>
      <c r="C47" s="63" t="s">
        <v>34</v>
      </c>
      <c r="D47" s="63" t="n">
        <v>23283</v>
      </c>
      <c r="E47" s="64" t="n">
        <v>142</v>
      </c>
    </row>
    <row r="48" customFormat="false" ht="13" hidden="false" customHeight="false" outlineLevel="2" collapsed="false">
      <c r="B48" s="97" t="n">
        <v>23324</v>
      </c>
      <c r="C48" s="63" t="s">
        <v>40</v>
      </c>
      <c r="D48" s="63" t="n">
        <v>23324</v>
      </c>
      <c r="E48" s="64" t="n">
        <v>193</v>
      </c>
    </row>
    <row r="49" customFormat="false" ht="13" hidden="false" customHeight="false" outlineLevel="2" collapsed="false"/>
    <row r="50" customFormat="false" ht="13" hidden="false" customHeight="false" outlineLevel="2" collapsed="false">
      <c r="B50" s="72" t="s">
        <v>250</v>
      </c>
    </row>
    <row r="51" customFormat="false" ht="13" hidden="false" customHeight="false" outlineLevel="2" collapsed="false">
      <c r="B51" s="70" t="s">
        <v>251</v>
      </c>
    </row>
    <row r="52" customFormat="false" ht="13" hidden="false" customHeight="false" outlineLevel="2" collapsed="false"/>
    <row r="53" customFormat="false" ht="26" hidden="false" customHeight="false" outlineLevel="2" collapsed="false">
      <c r="B53" s="73" t="s">
        <v>17</v>
      </c>
      <c r="C53" s="73" t="s">
        <v>21</v>
      </c>
      <c r="D53" s="73" t="s">
        <v>24</v>
      </c>
      <c r="E53" s="73" t="s">
        <v>26</v>
      </c>
      <c r="F53" s="74" t="s">
        <v>252</v>
      </c>
    </row>
    <row r="54" customFormat="false" ht="13" hidden="false" customHeight="false" outlineLevel="2" collapsed="false">
      <c r="B54" s="63" t="n">
        <v>23353</v>
      </c>
      <c r="C54" s="63" t="str">
        <f aca="false">VLOOKUP(B54,SALES_DATA,5,0)</f>
        <v>Direct</v>
      </c>
      <c r="D54" s="63" t="n">
        <f aca="false">VLOOKUP($B54,$B$40:$E$48,4,0)</f>
        <v>168</v>
      </c>
      <c r="E54" s="64" t="n">
        <f aca="false">VLOOKUP(B54,SALES_DATA,10,0)</f>
        <v>2436</v>
      </c>
    </row>
    <row r="55" customFormat="false" ht="13" hidden="false" customHeight="false" outlineLevel="2" collapsed="false">
      <c r="B55" s="64" t="n">
        <v>23289</v>
      </c>
      <c r="C55" s="63" t="str">
        <f aca="false">VLOOKUP(B55,SALES_DATA,5,0)</f>
        <v>Retail</v>
      </c>
      <c r="D55" s="65" t="n">
        <f aca="false">VLOOKUP($B55,$B$40:$E$48,4,0)</f>
        <v>166</v>
      </c>
      <c r="E55" s="65" t="n">
        <f aca="false">VLOOKUP(B55,SALES_DATA,10,0)</f>
        <v>2407</v>
      </c>
    </row>
    <row r="56" customFormat="false" ht="13" hidden="false" customHeight="false" outlineLevel="2" collapsed="false">
      <c r="B56" s="63" t="n">
        <v>23378</v>
      </c>
      <c r="C56" s="63" t="str">
        <f aca="false">VLOOKUP(B56,SALES_DATA,5,0)</f>
        <v>Online</v>
      </c>
      <c r="D56" s="63" t="n">
        <f aca="false">VLOOKUP($B56,$B$40:$E$48,4,0)</f>
        <v>157</v>
      </c>
      <c r="E56" s="63" t="n">
        <f aca="false">VLOOKUP(B56,SALES_DATA,10,0)</f>
        <v>2276.5</v>
      </c>
    </row>
    <row r="57" customFormat="false" ht="13" hidden="false" customHeight="false" outlineLevel="2" collapsed="false">
      <c r="B57" s="64" t="n">
        <v>23283</v>
      </c>
      <c r="C57" s="63" t="str">
        <f aca="false">VLOOKUP(B57,SALES_DATA,5,0)</f>
        <v>Online</v>
      </c>
      <c r="D57" s="65" t="n">
        <f aca="false">VLOOKUP($B57,$B$40:$E$48,4,0)</f>
        <v>142</v>
      </c>
      <c r="E57" s="65" t="n">
        <f aca="false">VLOOKUP(B57,SALES_DATA,10,0)</f>
        <v>2059</v>
      </c>
    </row>
    <row r="58" customFormat="false" ht="13" hidden="false" customHeight="false" outlineLevel="2" collapsed="false">
      <c r="B58" s="63" t="n">
        <v>23324</v>
      </c>
      <c r="C58" s="63" t="str">
        <f aca="false">VLOOKUP(B58,SALES_DATA,5,0)</f>
        <v>Retail</v>
      </c>
      <c r="D58" s="63" t="n">
        <f aca="false">VLOOKUP($B58,$B$40:$E$48,4,0)</f>
        <v>193</v>
      </c>
      <c r="E58" s="63" t="n">
        <f aca="false">VLOOKUP(B58,SALES_DATA,10,0)</f>
        <v>1928.07</v>
      </c>
    </row>
    <row r="59" customFormat="false" ht="13" hidden="false" customHeight="false" outlineLevel="2" collapsed="false">
      <c r="B59" s="63" t="n">
        <v>23303</v>
      </c>
      <c r="C59" s="63" t="str">
        <f aca="false">VLOOKUP(B59,SALES_DATA,5,0)</f>
        <v>Retail</v>
      </c>
      <c r="D59" s="63" t="n">
        <f aca="false">VLOOKUP($B59,$B$40:$E$48,4,0)</f>
        <v>176</v>
      </c>
      <c r="E59" s="63" t="n">
        <f aca="false">VLOOKUP(B59,SALES_DATA,10,0)</f>
        <v>2552</v>
      </c>
    </row>
    <row r="60" customFormat="false" ht="13" hidden="false" customHeight="false" outlineLevel="2" collapsed="false"/>
    <row r="61" customFormat="false" ht="18.5" hidden="false" customHeight="false" outlineLevel="0" collapsed="false">
      <c r="B61" s="57" t="s">
        <v>253</v>
      </c>
    </row>
    <row r="62" customFormat="false" ht="18.5" hidden="false" customHeight="false" outlineLevel="1" collapsed="false">
      <c r="B62" s="57"/>
    </row>
    <row r="63" customFormat="false" ht="13" hidden="false" customHeight="false" outlineLevel="1" collapsed="false">
      <c r="B63" s="75" t="s">
        <v>254</v>
      </c>
    </row>
    <row r="64" customFormat="false" ht="13" hidden="false" customHeight="false" outlineLevel="1" collapsed="false"/>
    <row r="65" customFormat="false" ht="13" hidden="false" customHeight="false" outlineLevel="1" collapsed="false"/>
    <row r="66" customFormat="false" ht="13" hidden="false" customHeight="false" outlineLevel="1" collapsed="false">
      <c r="B66" s="76" t="s">
        <v>255</v>
      </c>
      <c r="C66" s="76" t="s">
        <v>256</v>
      </c>
      <c r="D66" s="76" t="s">
        <v>257</v>
      </c>
      <c r="E66" s="76" t="s">
        <v>258</v>
      </c>
      <c r="F66" s="76" t="s">
        <v>259</v>
      </c>
      <c r="G66" s="76" t="s">
        <v>260</v>
      </c>
    </row>
    <row r="67" customFormat="false" ht="13" hidden="false" customHeight="false" outlineLevel="1" collapsed="false">
      <c r="B67" s="77" t="s">
        <v>261</v>
      </c>
      <c r="C67" s="78" t="s">
        <v>262</v>
      </c>
      <c r="D67" s="79" t="n">
        <v>11</v>
      </c>
      <c r="E67" s="78" t="s">
        <v>263</v>
      </c>
      <c r="F67" s="78" t="s">
        <v>264</v>
      </c>
      <c r="G67" s="78" t="s">
        <v>265</v>
      </c>
    </row>
    <row r="68" customFormat="false" ht="13" hidden="false" customHeight="false" outlineLevel="1" collapsed="false">
      <c r="B68" s="80"/>
      <c r="C68" s="80"/>
      <c r="D68" s="80"/>
      <c r="E68" s="80"/>
      <c r="F68" s="81"/>
      <c r="G68" s="81"/>
    </row>
    <row r="69" customFormat="false" ht="13" hidden="false" customHeight="false" outlineLevel="1" collapsed="false">
      <c r="B69" s="82" t="s">
        <v>266</v>
      </c>
      <c r="C69" s="76" t="s">
        <v>267</v>
      </c>
      <c r="D69" s="80"/>
      <c r="E69" s="80"/>
      <c r="F69" s="81"/>
      <c r="G69" s="81"/>
    </row>
    <row r="70" customFormat="false" ht="13" hidden="false" customHeight="false" outlineLevel="1" collapsed="false">
      <c r="B70" s="83" t="s">
        <v>256</v>
      </c>
      <c r="C70" s="98" t="str">
        <f aca="false">HLOOKUP(B70,$B$66:$G$67,2,0)</f>
        <v>125 Pounds</v>
      </c>
      <c r="D70" s="80"/>
      <c r="E70" s="80"/>
      <c r="F70" s="81"/>
      <c r="G70" s="81"/>
    </row>
    <row r="71" customFormat="false" ht="13" hidden="false" customHeight="false" outlineLevel="1" collapsed="false">
      <c r="B71" s="85" t="s">
        <v>257</v>
      </c>
      <c r="C71" s="84" t="n">
        <f aca="false">HLOOKUP(B71,$B$66:$G$67,2,0)</f>
        <v>11</v>
      </c>
      <c r="D71" s="80"/>
      <c r="E71" s="80"/>
      <c r="F71" s="81"/>
      <c r="G71" s="81"/>
    </row>
    <row r="72" customFormat="false" ht="13" hidden="false" customHeight="false" outlineLevel="1" collapsed="false"/>
    <row r="73" customFormat="false" ht="18.5" hidden="false" customHeight="false" outlineLevel="1" collapsed="false">
      <c r="B73" s="57" t="s">
        <v>268</v>
      </c>
    </row>
    <row r="74" customFormat="false" ht="18.5" hidden="false" customHeight="false" outlineLevel="1" collapsed="false">
      <c r="B74" s="57"/>
    </row>
    <row r="75" customFormat="false" ht="13" hidden="false" customHeight="false" outlineLevel="1" collapsed="false">
      <c r="B75" s="59" t="s">
        <v>269</v>
      </c>
    </row>
    <row r="76" customFormat="false" ht="18.5" hidden="false" customHeight="false" outlineLevel="1" collapsed="false">
      <c r="B76" s="57"/>
    </row>
    <row r="77" customFormat="false" ht="12.75" hidden="false" customHeight="true" outlineLevel="1" collapsed="false">
      <c r="B77" s="57"/>
    </row>
    <row r="78" customFormat="false" ht="12.75" hidden="false" customHeight="true" outlineLevel="1" collapsed="false">
      <c r="B78" s="19" t="s">
        <v>17</v>
      </c>
      <c r="C78" s="19" t="s">
        <v>18</v>
      </c>
      <c r="D78" s="19" t="s">
        <v>19</v>
      </c>
      <c r="E78" s="19" t="s">
        <v>20</v>
      </c>
      <c r="F78" s="19" t="s">
        <v>270</v>
      </c>
      <c r="G78" s="20" t="s">
        <v>21</v>
      </c>
      <c r="H78" s="23" t="s">
        <v>26</v>
      </c>
    </row>
    <row r="79" customFormat="false" ht="12.75" hidden="false" customHeight="true" outlineLevel="1" collapsed="false">
      <c r="B79" s="26" t="n">
        <v>23278</v>
      </c>
      <c r="C79" s="26" t="s">
        <v>35</v>
      </c>
      <c r="D79" s="26" t="s">
        <v>36</v>
      </c>
      <c r="E79" s="26" t="s">
        <v>33</v>
      </c>
      <c r="F79" s="86" t="s">
        <v>271</v>
      </c>
      <c r="G79" s="26" t="s">
        <v>37</v>
      </c>
      <c r="H79" s="31" t="n">
        <v>2856.5</v>
      </c>
    </row>
    <row r="80" customFormat="false" ht="12.75" hidden="false" customHeight="true" outlineLevel="1" collapsed="false">
      <c r="B80" s="26" t="n">
        <v>23332</v>
      </c>
      <c r="C80" s="26" t="s">
        <v>99</v>
      </c>
      <c r="D80" s="26" t="s">
        <v>100</v>
      </c>
      <c r="E80" s="26" t="s">
        <v>98</v>
      </c>
      <c r="F80" s="86" t="s">
        <v>272</v>
      </c>
      <c r="G80" s="26" t="s">
        <v>37</v>
      </c>
      <c r="H80" s="31" t="n">
        <v>913.5</v>
      </c>
    </row>
    <row r="81" customFormat="false" ht="12.75" hidden="false" customHeight="true" outlineLevel="1" collapsed="false">
      <c r="B81" s="57"/>
    </row>
    <row r="82" customFormat="false" ht="12.75" hidden="false" customHeight="true" outlineLevel="1" collapsed="false">
      <c r="B82" s="57"/>
    </row>
    <row r="83" customFormat="false" ht="33.75" hidden="false" customHeight="true" outlineLevel="1" collapsed="false">
      <c r="B83" s="87" t="s">
        <v>266</v>
      </c>
      <c r="C83" s="88" t="s">
        <v>36</v>
      </c>
      <c r="D83" s="88" t="s">
        <v>100</v>
      </c>
    </row>
    <row r="84" customFormat="false" ht="12.75" hidden="false" customHeight="true" outlineLevel="1" collapsed="false">
      <c r="B84" s="85" t="s">
        <v>17</v>
      </c>
      <c r="C84" s="71" t="n">
        <f aca="false">HLOOKUP($B84,$B$78:$H$80,2,0)</f>
        <v>23278</v>
      </c>
      <c r="D84" s="71" t="n">
        <f aca="false">HLOOKUP($B84,$B$78:$H$80,3,0)</f>
        <v>23332</v>
      </c>
    </row>
    <row r="85" customFormat="false" ht="12.75" hidden="false" customHeight="true" outlineLevel="1" collapsed="false">
      <c r="B85" s="85" t="s">
        <v>26</v>
      </c>
      <c r="C85" s="71" t="n">
        <f aca="false">HLOOKUP($B85,$B$78:$H$80,2,0)</f>
        <v>2856.5</v>
      </c>
      <c r="D85" s="99" t="n">
        <f aca="false">HLOOKUP($B85,$B$78:$H$80,3,0)</f>
        <v>913.5</v>
      </c>
    </row>
    <row r="86" customFormat="false" ht="12.75" hidden="false" customHeight="true" outlineLevel="1" collapsed="false">
      <c r="B86" s="57"/>
    </row>
    <row r="87" customFormat="false" ht="12.75" hidden="false" customHeight="true" outlineLevel="1" collapsed="false">
      <c r="B87" s="57"/>
    </row>
    <row r="88" customFormat="false" ht="22.25" hidden="false" customHeight="true" outlineLevel="0" collapsed="false">
      <c r="B88" s="57" t="s">
        <v>273</v>
      </c>
    </row>
    <row r="89" customFormat="false" ht="12.75" hidden="false" customHeight="true" outlineLevel="1" collapsed="false">
      <c r="B89" s="57"/>
    </row>
    <row r="90" customFormat="false" ht="12.75" hidden="false" customHeight="true" outlineLevel="1" collapsed="false">
      <c r="B90" s="59" t="s">
        <v>274</v>
      </c>
    </row>
    <row r="91" customFormat="false" ht="12.75" hidden="false" customHeight="true" outlineLevel="1" collapsed="false">
      <c r="B91" s="57"/>
    </row>
    <row r="92" customFormat="false" ht="12.75" hidden="false" customHeight="true" outlineLevel="1" collapsed="false">
      <c r="B92" s="59"/>
      <c r="C92" s="59"/>
      <c r="D92" s="60"/>
    </row>
    <row r="93" customFormat="false" ht="12.75" hidden="false" customHeight="true" outlineLevel="1" collapsed="false">
      <c r="B93" s="68" t="s">
        <v>17</v>
      </c>
      <c r="C93" s="68" t="s">
        <v>19</v>
      </c>
      <c r="D93" s="68" t="s">
        <v>243</v>
      </c>
      <c r="E93" s="68" t="s">
        <v>26</v>
      </c>
    </row>
    <row r="94" customFormat="false" ht="12.75" hidden="false" customHeight="true" outlineLevel="1" collapsed="false">
      <c r="B94" s="64" t="n">
        <v>23265</v>
      </c>
      <c r="C94" s="64" t="str">
        <f aca="false">VLOOKUP($B94,SALES_DATA,3,0)</f>
        <v>South Africa</v>
      </c>
      <c r="D94" s="65" t="str">
        <f aca="false">VLOOKUP($B94,SALES_DATA,2,0)</f>
        <v>Uriel Benton</v>
      </c>
      <c r="E94" s="89" t="n">
        <f aca="false">VLOOKUP(B94,SALES_DATA,10,0)</f>
        <v>139.86</v>
      </c>
    </row>
    <row r="95" customFormat="false" ht="12.75" hidden="false" customHeight="true" outlineLevel="1" collapsed="false">
      <c r="B95" s="63" t="n">
        <v>23315</v>
      </c>
      <c r="C95" s="64" t="str">
        <f aca="false">VLOOKUP($B95,SALES_DATA,3,0)</f>
        <v>Burkina Faso</v>
      </c>
      <c r="D95" s="63" t="str">
        <f aca="false">VLOOKUP($B95,SALES_DATA,2,0)</f>
        <v>Anika Tillman</v>
      </c>
      <c r="E95" s="89" t="n">
        <f aca="false">VLOOKUP(B95,SALES_DATA,10,0)</f>
        <v>490.5</v>
      </c>
    </row>
    <row r="96" customFormat="false" ht="12.75" hidden="false" customHeight="true" outlineLevel="1" collapsed="false">
      <c r="B96" s="63" t="n">
        <v>30000</v>
      </c>
      <c r="C96" s="64" t="e">
        <f aca="false">VLOOKUP($B96,SALES_DATA,3,0)</f>
        <v>#N/A</v>
      </c>
      <c r="D96" s="64" t="e">
        <f aca="false">VLOOKUP($B96,SALES_DATA,2,0)</f>
        <v>#N/A</v>
      </c>
      <c r="E96" s="90" t="e">
        <f aca="false">VLOOKUP(B96,SALES_DATA,10,0)</f>
        <v>#N/A</v>
      </c>
    </row>
    <row r="97" customFormat="false" ht="13" hidden="false" customHeight="false" outlineLevel="1" collapsed="false">
      <c r="B97" s="63" t="n">
        <v>40000</v>
      </c>
      <c r="C97" s="64" t="e">
        <f aca="false">VLOOKUP($B97,SALES_DATA,3,0)</f>
        <v>#N/A</v>
      </c>
      <c r="D97" s="64" t="e">
        <f aca="false">VLOOKUP($B97,SALES_DATA,2,0)</f>
        <v>#N/A</v>
      </c>
      <c r="E97" s="90" t="e">
        <f aca="false">VLOOKUP(B97,SALES_DATA,10,0)</f>
        <v>#N/A</v>
      </c>
    </row>
    <row r="98" customFormat="false" ht="13" hidden="false" customHeight="false" outlineLevel="1" collapsed="false">
      <c r="B98" s="63" t="n">
        <v>23367</v>
      </c>
      <c r="C98" s="64" t="str">
        <f aca="false">VLOOKUP($B98,SALES_DATA,3,0)</f>
        <v>Saudi Arabia</v>
      </c>
      <c r="D98" s="64" t="str">
        <f aca="false">VLOOKUP($B98,SALES_DATA,2,0)</f>
        <v>Roary Dixon</v>
      </c>
      <c r="E98" s="90" t="n">
        <f aca="false">VLOOKUP(B98,SALES_DATA,10,0)</f>
        <v>45</v>
      </c>
    </row>
    <row r="99" customFormat="false" ht="13" hidden="false" customHeight="false" outlineLevel="1" collapsed="false">
      <c r="B99" s="63" t="n">
        <v>23326</v>
      </c>
      <c r="C99" s="64" t="str">
        <f aca="false">VLOOKUP($B99,SALES_DATA,3,0)</f>
        <v>Slovenia</v>
      </c>
      <c r="D99" s="64" t="str">
        <f aca="false">VLOOKUP($B99,SALES_DATA,2,0)</f>
        <v>Katelyn Joseph</v>
      </c>
      <c r="E99" s="90" t="n">
        <f aca="false">VLOOKUP(B99,SALES_DATA,10,0)</f>
        <v>567</v>
      </c>
    </row>
    <row r="100" customFormat="false" ht="13" hidden="false" customHeight="false" outlineLevel="1" collapsed="false">
      <c r="B100" s="63" t="n">
        <v>35000</v>
      </c>
      <c r="C100" s="64" t="e">
        <f aca="false">VLOOKUP($B100,SALES_DATA,3,0)</f>
        <v>#N/A</v>
      </c>
      <c r="D100" s="64" t="e">
        <f aca="false">VLOOKUP($B100,SALES_DATA,2,0)</f>
        <v>#N/A</v>
      </c>
      <c r="E100" s="90" t="e">
        <f aca="false">VLOOKUP(B100,SALES_DATA,10,0)</f>
        <v>#N/A</v>
      </c>
    </row>
    <row r="101" customFormat="false" ht="13" hidden="false" customHeight="false" outlineLevel="1" collapsed="false">
      <c r="D101" s="91" t="s">
        <v>14</v>
      </c>
      <c r="E101" s="92" t="e">
        <f aca="false">SUM(E94:E100)</f>
        <v>#N/A</v>
      </c>
    </row>
    <row r="102" customFormat="false" ht="13" hidden="false" customHeight="false" outlineLevel="1" collapsed="false"/>
    <row r="103" customFormat="false" ht="13" hidden="false" customHeight="false" outlineLevel="1" collapsed="false">
      <c r="B103" s="59" t="s">
        <v>241</v>
      </c>
      <c r="C103" s="65"/>
      <c r="D103" s="65"/>
    </row>
    <row r="104" customFormat="false" ht="13" hidden="false" customHeight="false" outlineLevel="1" collapsed="false">
      <c r="B104" s="59" t="s">
        <v>242</v>
      </c>
      <c r="C104" s="60"/>
      <c r="D104" s="60"/>
    </row>
    <row r="105" customFormat="false" ht="13" hidden="false" customHeight="false" outlineLevel="1" collapsed="false">
      <c r="B105" s="66"/>
      <c r="C105" s="67"/>
      <c r="D105" s="67"/>
    </row>
    <row r="106" customFormat="false" ht="13" hidden="false" customHeight="false" outlineLevel="1" collapsed="false">
      <c r="B106" s="68" t="s">
        <v>17</v>
      </c>
      <c r="C106" s="68" t="s">
        <v>243</v>
      </c>
      <c r="D106" s="68" t="s">
        <v>26</v>
      </c>
    </row>
    <row r="107" customFormat="false" ht="13" hidden="false" customHeight="false" outlineLevel="1" collapsed="false">
      <c r="B107" s="64" t="n">
        <v>23265</v>
      </c>
      <c r="C107" s="64" t="str">
        <f aca="false">IFERROR(VLOOKUP($B107,SALES_DATA,2,0),"Data Not Available")</f>
        <v>Uriel Benton</v>
      </c>
      <c r="D107" s="64" t="n">
        <f aca="false">IFERROR(VLOOKUP($B107,SALES_DATA,10,0),0)</f>
        <v>139.86</v>
      </c>
    </row>
    <row r="108" customFormat="false" ht="13" hidden="false" customHeight="false" outlineLevel="1" collapsed="false">
      <c r="B108" s="64" t="n">
        <v>40000</v>
      </c>
      <c r="C108" s="64" t="str">
        <f aca="false">IFERROR(VLOOKUP($B108,SALES_DATA,2,0),"Data Not Available")</f>
        <v>Data Not Available</v>
      </c>
      <c r="D108" s="64" t="n">
        <f aca="false">IFERROR(VLOOKUP($B108,SALES_DATA,10,0),0)</f>
        <v>0</v>
      </c>
    </row>
    <row r="109" customFormat="false" ht="13" hidden="false" customHeight="false" outlineLevel="1" collapsed="false">
      <c r="B109" s="64" t="n">
        <v>23367</v>
      </c>
      <c r="C109" s="64" t="str">
        <f aca="false">IFERROR(VLOOKUP($B109,SALES_DATA,2,0),"Data Not Available")</f>
        <v>Roary Dixon</v>
      </c>
      <c r="D109" s="64" t="n">
        <f aca="false">IFERROR(VLOOKUP($B109,SALES_DATA,10,0),0)</f>
        <v>45</v>
      </c>
    </row>
    <row r="110" customFormat="false" ht="13" hidden="false" customHeight="false" outlineLevel="1" collapsed="false">
      <c r="B110" s="65"/>
      <c r="C110" s="65"/>
      <c r="D110" s="65"/>
    </row>
    <row r="111" customFormat="false" ht="13" hidden="false" customHeight="false" outlineLevel="1" collapsed="false">
      <c r="B111" s="65"/>
      <c r="C111" s="65"/>
      <c r="D111" s="65"/>
    </row>
    <row r="112" customFormat="false" ht="30.75" hidden="false" customHeight="true" outlineLevel="1" collapsed="false">
      <c r="B112" s="65"/>
      <c r="C112" s="91" t="s">
        <v>14</v>
      </c>
      <c r="D112" s="93" t="n">
        <f aca="false">SUM(D107:D109)</f>
        <v>184.86</v>
      </c>
    </row>
    <row r="113" customFormat="false" ht="13" hidden="false" customHeight="false" outlineLevel="1" collapsed="false">
      <c r="B113" s="65"/>
      <c r="C113" s="65"/>
      <c r="D113" s="65"/>
    </row>
    <row r="114" customFormat="false" ht="13" hidden="false" customHeight="false" outlineLevel="1" collapsed="false"/>
    <row r="115" customFormat="false" ht="18.5" hidden="false" customHeight="false" outlineLevel="0" collapsed="false">
      <c r="B115" s="57" t="s">
        <v>275</v>
      </c>
    </row>
    <row r="116" customFormat="false" ht="18.5" hidden="false" customHeight="false" outlineLevel="1" collapsed="false">
      <c r="B116" s="57"/>
    </row>
    <row r="117" customFormat="false" ht="13" hidden="false" customHeight="false" outlineLevel="1" collapsed="false">
      <c r="B117" s="59" t="s">
        <v>276</v>
      </c>
    </row>
    <row r="118" customFormat="false" ht="13" hidden="false" customHeight="false" outlineLevel="1" collapsed="false"/>
    <row r="119" customFormat="false" ht="13" hidden="false" customHeight="false" outlineLevel="1" collapsed="false">
      <c r="B119" s="68" t="s">
        <v>17</v>
      </c>
      <c r="C119" s="68" t="s">
        <v>25</v>
      </c>
    </row>
    <row r="120" customFormat="false" ht="13" hidden="false" customHeight="false" outlineLevel="1" collapsed="false">
      <c r="B120" s="64" t="n">
        <v>23265</v>
      </c>
      <c r="C120" s="94" t="n">
        <f aca="false">IFERROR(VLOOKUP(B120,SALES_DATA,9,0),0)</f>
        <v>9.99</v>
      </c>
    </row>
    <row r="121" customFormat="false" ht="13" hidden="false" customHeight="false" outlineLevel="1" collapsed="false">
      <c r="B121" s="64" t="n">
        <v>23315</v>
      </c>
      <c r="C121" s="94" t="n">
        <f aca="false">IFERROR(VLOOKUP(B121,SALES_DATA,9,0),0)</f>
        <v>4.5</v>
      </c>
    </row>
    <row r="122" customFormat="false" ht="13" hidden="false" customHeight="false" outlineLevel="1" collapsed="false">
      <c r="B122" s="64" t="n">
        <v>30000</v>
      </c>
      <c r="C122" s="94" t="str">
        <f aca="false">IFERROR(VLOOKUP(B122,SALES_DATA,9,0),"N/A")</f>
        <v>N/A</v>
      </c>
    </row>
    <row r="123" customFormat="false" ht="13" hidden="false" customHeight="false" outlineLevel="1" collapsed="false">
      <c r="B123" s="64" t="n">
        <v>23377</v>
      </c>
      <c r="C123" s="94" t="n">
        <f aca="false">IFERROR(VLOOKUP(B123,SALES_DATA,9,0),0)</f>
        <v>6.5</v>
      </c>
    </row>
    <row r="124" customFormat="false" ht="13" hidden="false" customHeight="false" outlineLevel="1" collapsed="false">
      <c r="B124" s="64" t="n">
        <v>23311</v>
      </c>
      <c r="C124" s="94" t="n">
        <f aca="false">IFERROR(VLOOKUP(B124,SALES_DATA,9,0),0)</f>
        <v>14.5</v>
      </c>
    </row>
    <row r="125" customFormat="false" ht="13" hidden="false" customHeight="false" outlineLevel="1" collapsed="false">
      <c r="B125" s="64" t="n">
        <v>23371.5</v>
      </c>
      <c r="C125" s="94" t="str">
        <f aca="false">IFERROR(VLOOKUP(B125,SALES_DATA,9,0),"N/A")</f>
        <v>N/A</v>
      </c>
    </row>
    <row r="126" customFormat="false" ht="13" hidden="false" customHeight="false" outlineLevel="1" collapsed="false"/>
    <row r="127" customFormat="false" ht="32.25" hidden="false" customHeight="true" outlineLevel="1" collapsed="false">
      <c r="B127" s="91" t="s">
        <v>277</v>
      </c>
      <c r="C127" s="95" t="n">
        <f aca="false">AVERAGE(C120:C125)</f>
        <v>8.8725</v>
      </c>
    </row>
    <row r="128" customFormat="false" ht="13" hidden="false" customHeight="false" outlineLevel="1" collapsed="false"/>
  </sheetData>
  <conditionalFormatting sqref="B79:H80">
    <cfRule type="expression" priority="2" aboveAverage="0" equalAverage="0" bottom="0" percent="0" rank="0" text="" dxfId="0">
      <formula>MOD(ROW(B79),2)</formula>
    </cfRule>
  </conditionalFormatting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7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8" activeCellId="0" sqref="G28"/>
    </sheetView>
  </sheetViews>
  <sheetFormatPr defaultRowHeight="12.5" zeroHeight="false" outlineLevelRow="1" outlineLevelCol="0"/>
  <cols>
    <col collapsed="false" customWidth="true" hidden="false" outlineLevel="0" max="1025" min="1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280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2.5" hidden="false" customHeight="false" outlineLevel="1" collapsed="false"/>
    <row r="11" customFormat="false" ht="12.5" hidden="false" customHeight="false" outlineLevel="1" collapsed="false"/>
    <row r="12" customFormat="false" ht="12.5" hidden="false" customHeight="false" outlineLevel="1" collapsed="false"/>
    <row r="13" customFormat="false" ht="12.5" hidden="false" customHeight="false" outlineLevel="1" collapsed="false"/>
    <row r="14" customFormat="false" ht="12.5" hidden="false" customHeight="false" outlineLevel="1" collapsed="false"/>
    <row r="15" customFormat="false" ht="12.5" hidden="false" customHeight="false" outlineLevel="1" collapsed="false"/>
    <row r="16" customFormat="false" ht="12.5" hidden="false" customHeight="false" outlineLevel="1" collapsed="false"/>
    <row r="17" customFormat="false" ht="12.5" hidden="false" customHeight="false" outlineLevel="1" collapsed="false"/>
    <row r="18" customFormat="false" ht="12.5" hidden="false" customHeight="false" outlineLevel="1" collapsed="false"/>
    <row r="19" customFormat="false" ht="12.5" hidden="false" customHeight="false" outlineLevel="1" collapsed="false"/>
    <row r="20" customFormat="false" ht="12.5" hidden="false" customHeight="false" outlineLevel="1" collapsed="false"/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2.5" hidden="false" customHeight="false" outlineLevel="1" collapsed="false"/>
    <row r="24" customFormat="false" ht="18.5" hidden="false" customHeight="false" outlineLevel="0" collapsed="false">
      <c r="B24" s="57" t="s">
        <v>282</v>
      </c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2.5" hidden="false" customHeight="false" outlineLevel="1" collapsed="false"/>
    <row r="29" customFormat="false" ht="12.5" hidden="false" customHeight="false" outlineLevel="1" collapsed="false"/>
    <row r="30" customFormat="false" ht="12.5" hidden="false" customHeight="false" outlineLevel="1" collapsed="false"/>
    <row r="31" customFormat="false" ht="12.5" hidden="false" customHeight="false" outlineLevel="1" collapsed="false"/>
    <row r="32" customFormat="false" ht="12.5" hidden="false" customHeight="false" outlineLevel="1" collapsed="false"/>
    <row r="33" customFormat="false" ht="12.5" hidden="false" customHeight="false" outlineLevel="1" collapsed="false"/>
    <row r="34" customFormat="false" ht="12.5" hidden="false" customHeight="false" outlineLevel="1" collapsed="false"/>
    <row r="35" customFormat="false" ht="12.5" hidden="false" customHeight="false" outlineLevel="1" collapsed="false"/>
    <row r="36" customFormat="false" ht="12.5" hidden="false" customHeight="false" outlineLevel="1" collapsed="false"/>
    <row r="37" customFormat="false" ht="12.5" hidden="false" customHeight="false" outlineLevel="1" collapsed="false"/>
    <row r="38" customFormat="false" ht="12.5" hidden="false" customHeight="false" outlineLevel="1" collapsed="false"/>
    <row r="39" customFormat="false" ht="12.5" hidden="false" customHeight="false" outlineLevel="1" collapsed="false"/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8.5" hidden="false" customHeight="false" outlineLevel="0" collapsed="false">
      <c r="B45" s="57" t="s">
        <v>283</v>
      </c>
    </row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2.5" hidden="false" customHeight="false" outlineLevel="1" collapsed="false"/>
    <row r="68" customFormat="false" ht="12.5" hidden="false" customHeight="false" outlineLevel="1" collapsed="false"/>
    <row r="69" customFormat="false" ht="12.5" hidden="false" customHeight="false" outlineLevel="1" collapsed="false"/>
    <row r="70" customFormat="false" ht="18.5" hidden="false" customHeight="false" outlineLevel="0" collapsed="false">
      <c r="B70" s="57" t="s">
        <v>284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O70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J15" activeCellId="0" sqref="J15"/>
    </sheetView>
  </sheetViews>
  <sheetFormatPr defaultRowHeight="12.5" zeroHeight="false" outlineLevelRow="1" outlineLevelCol="0"/>
  <cols>
    <col collapsed="false" customWidth="true" hidden="false" outlineLevel="0" max="1025" min="1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285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2.5" hidden="false" customHeight="false" outlineLevel="1" collapsed="false"/>
    <row r="11" customFormat="false" ht="12.5" hidden="false" customHeight="false" outlineLevel="1" collapsed="false"/>
    <row r="12" customFormat="false" ht="12.5" hidden="false" customHeight="false" outlineLevel="1" collapsed="false"/>
    <row r="13" customFormat="false" ht="12.5" hidden="false" customHeight="false" outlineLevel="1" collapsed="false"/>
    <row r="14" customFormat="false" ht="12.5" hidden="false" customHeight="false" outlineLevel="1" collapsed="false"/>
    <row r="15" customFormat="false" ht="12.5" hidden="false" customHeight="false" outlineLevel="1" collapsed="false"/>
    <row r="16" customFormat="false" ht="12.5" hidden="false" customHeight="false" outlineLevel="1" collapsed="false"/>
    <row r="17" customFormat="false" ht="12.5" hidden="false" customHeight="false" outlineLevel="1" collapsed="false"/>
    <row r="18" customFormat="false" ht="12.5" hidden="false" customHeight="false" outlineLevel="1" collapsed="false"/>
    <row r="19" customFormat="false" ht="12.5" hidden="false" customHeight="false" outlineLevel="1" collapsed="false"/>
    <row r="20" customFormat="false" ht="12.5" hidden="false" customHeight="false" outlineLevel="1" collapsed="false"/>
    <row r="21" customFormat="false" ht="12.5" hidden="false" customHeight="false" outlineLevel="1" collapsed="false"/>
    <row r="22" customFormat="false" ht="12.5" hidden="false" customHeight="false" outlineLevel="1" collapsed="false"/>
    <row r="23" customFormat="false" ht="12.5" hidden="false" customHeight="false" outlineLevel="1" collapsed="false"/>
    <row r="24" customFormat="false" ht="18.5" hidden="false" customHeight="false" outlineLevel="0" collapsed="false">
      <c r="B24" s="57" t="s">
        <v>282</v>
      </c>
    </row>
    <row r="25" customFormat="false" ht="12.5" hidden="false" customHeight="false" outlineLevel="1" collapsed="false"/>
    <row r="26" customFormat="false" ht="12.5" hidden="false" customHeight="false" outlineLevel="1" collapsed="false"/>
    <row r="27" customFormat="false" ht="12.5" hidden="false" customHeight="false" outlineLevel="1" collapsed="false"/>
    <row r="28" customFormat="false" ht="12.5" hidden="false" customHeight="false" outlineLevel="1" collapsed="false"/>
    <row r="29" customFormat="false" ht="12.5" hidden="false" customHeight="false" outlineLevel="1" collapsed="false"/>
    <row r="30" customFormat="false" ht="12.5" hidden="false" customHeight="false" outlineLevel="1" collapsed="false"/>
    <row r="31" customFormat="false" ht="12.5" hidden="false" customHeight="false" outlineLevel="1" collapsed="false"/>
    <row r="32" customFormat="false" ht="12.5" hidden="false" customHeight="false" outlineLevel="1" collapsed="false"/>
    <row r="33" customFormat="false" ht="12.5" hidden="false" customHeight="false" outlineLevel="1" collapsed="false"/>
    <row r="34" customFormat="false" ht="12.5" hidden="false" customHeight="false" outlineLevel="1" collapsed="false"/>
    <row r="35" customFormat="false" ht="12.5" hidden="false" customHeight="false" outlineLevel="1" collapsed="false"/>
    <row r="36" customFormat="false" ht="12.5" hidden="false" customHeight="false" outlineLevel="1" collapsed="false"/>
    <row r="37" customFormat="false" ht="12.5" hidden="false" customHeight="false" outlineLevel="1" collapsed="false"/>
    <row r="38" customFormat="false" ht="12.5" hidden="false" customHeight="false" outlineLevel="1" collapsed="false"/>
    <row r="39" customFormat="false" ht="12.5" hidden="false" customHeight="false" outlineLevel="1" collapsed="false"/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8.5" hidden="false" customHeight="false" outlineLevel="0" collapsed="false">
      <c r="B45" s="57" t="s">
        <v>283</v>
      </c>
    </row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2.5" hidden="false" customHeight="false" outlineLevel="1" collapsed="false"/>
    <row r="68" customFormat="false" ht="12.5" hidden="false" customHeight="false" outlineLevel="1" collapsed="false"/>
    <row r="69" customFormat="false" ht="12.5" hidden="false" customHeight="false" outlineLevel="1" collapsed="false"/>
    <row r="70" customFormat="false" ht="18.5" hidden="false" customHeight="false" outlineLevel="0" collapsed="false">
      <c r="B70" s="57" t="s">
        <v>284</v>
      </c>
    </row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66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B8" activeCellId="0" sqref="B8"/>
    </sheetView>
  </sheetViews>
  <sheetFormatPr defaultRowHeight="12.5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9"/>
    <col collapsed="false" customWidth="true" hidden="false" outlineLevel="0" max="3" min="3" style="4" width="38.78"/>
    <col collapsed="false" customWidth="true" hidden="false" outlineLevel="0" max="4" min="4" style="4" width="31.44"/>
    <col collapsed="false" customWidth="true" hidden="false" outlineLevel="0" max="9" min="5" style="4" width="9.44"/>
    <col collapsed="false" customWidth="true" hidden="false" outlineLevel="0" max="10" min="10" style="4" width="18.55"/>
    <col collapsed="false" customWidth="true" hidden="false" outlineLevel="0" max="11" min="11" style="4" width="12.44"/>
    <col collapsed="false" customWidth="true" hidden="false" outlineLevel="0" max="1025" min="12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286</v>
      </c>
    </row>
    <row r="5" customFormat="false" ht="12.5" hidden="false" customHeight="false" outlineLevel="0" collapsed="false">
      <c r="O5" s="100"/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2.5" hidden="false" customHeight="false" outlineLevel="1" collapsed="false"/>
    <row r="10" customFormat="false" ht="13" hidden="false" customHeight="false" outlineLevel="1" collapsed="false">
      <c r="B10" s="101"/>
      <c r="C10" s="102"/>
      <c r="D10" s="81"/>
      <c r="E10" s="81"/>
      <c r="F10" s="81"/>
      <c r="G10" s="81"/>
    </row>
    <row r="11" customFormat="false" ht="12.5" hidden="false" customHeight="false" outlineLevel="1" collapsed="false">
      <c r="B11" s="81"/>
      <c r="C11" s="81"/>
      <c r="D11" s="81"/>
      <c r="E11" s="81"/>
      <c r="F11" s="81"/>
      <c r="G11" s="81"/>
    </row>
    <row r="12" customFormat="false" ht="13" hidden="false" customHeight="false" outlineLevel="1" collapsed="false">
      <c r="B12" s="75"/>
      <c r="C12" s="81"/>
      <c r="D12" s="81"/>
      <c r="E12" s="81"/>
      <c r="F12" s="81"/>
      <c r="G12" s="81"/>
    </row>
    <row r="13" customFormat="false" ht="12.5" hidden="false" customHeight="false" outlineLevel="1" collapsed="false">
      <c r="B13" s="81"/>
      <c r="C13" s="81"/>
      <c r="D13" s="81"/>
      <c r="E13" s="81"/>
      <c r="F13" s="81"/>
      <c r="G13" s="81"/>
    </row>
    <row r="14" customFormat="false" ht="12.5" hidden="false" customHeight="false" outlineLevel="1" collapsed="false">
      <c r="B14" s="81"/>
      <c r="C14" s="81"/>
      <c r="D14" s="81"/>
      <c r="E14" s="81"/>
      <c r="F14" s="81"/>
      <c r="G14" s="81"/>
    </row>
    <row r="15" customFormat="false" ht="13" hidden="false" customHeight="false" outlineLevel="1" collapsed="false">
      <c r="B15" s="103"/>
      <c r="C15" s="104"/>
      <c r="D15" s="104"/>
      <c r="E15" s="81"/>
      <c r="F15" s="81"/>
      <c r="G15" s="81"/>
    </row>
    <row r="16" customFormat="false" ht="13" hidden="false" customHeight="false" outlineLevel="1" collapsed="false">
      <c r="B16" s="103"/>
      <c r="C16" s="104"/>
      <c r="D16" s="104"/>
      <c r="E16" s="81"/>
      <c r="F16" s="81"/>
      <c r="G16" s="81"/>
    </row>
    <row r="17" customFormat="false" ht="13" hidden="false" customHeight="false" outlineLevel="1" collapsed="false">
      <c r="B17" s="103"/>
      <c r="C17" s="104"/>
      <c r="D17" s="104"/>
      <c r="E17" s="81"/>
      <c r="F17" s="81"/>
      <c r="G17" s="81"/>
    </row>
    <row r="18" customFormat="false" ht="13" hidden="false" customHeight="false" outlineLevel="1" collapsed="false">
      <c r="B18" s="103"/>
      <c r="C18" s="104"/>
      <c r="D18" s="104"/>
      <c r="E18" s="81"/>
      <c r="F18" s="81"/>
      <c r="G18" s="81"/>
    </row>
    <row r="19" customFormat="false" ht="13" hidden="false" customHeight="false" outlineLevel="1" collapsed="false">
      <c r="B19" s="105"/>
      <c r="C19" s="81"/>
      <c r="D19" s="81"/>
      <c r="E19" s="81"/>
      <c r="F19" s="81"/>
      <c r="G19" s="81"/>
    </row>
    <row r="20" customFormat="false" ht="13" hidden="false" customHeight="false" outlineLevel="0" collapsed="false">
      <c r="B20" s="106"/>
      <c r="C20" s="107"/>
      <c r="D20" s="108"/>
      <c r="E20" s="81"/>
      <c r="J20" s="109"/>
      <c r="K20" s="109"/>
    </row>
    <row r="21" customFormat="false" ht="13" hidden="false" customHeight="false" outlineLevel="1" collapsed="false">
      <c r="B21" s="106"/>
      <c r="C21" s="99"/>
      <c r="D21" s="99"/>
      <c r="E21" s="81"/>
      <c r="J21" s="108"/>
      <c r="K21" s="110"/>
    </row>
    <row r="22" customFormat="false" ht="12.5" hidden="false" customHeight="false" outlineLevel="1" collapsed="false">
      <c r="B22" s="111"/>
      <c r="C22" s="81"/>
      <c r="D22" s="81"/>
      <c r="E22" s="81"/>
      <c r="J22" s="108"/>
      <c r="K22" s="110"/>
    </row>
    <row r="23" customFormat="false" ht="13" hidden="false" customHeight="false" outlineLevel="1" collapsed="false">
      <c r="B23" s="109"/>
      <c r="C23" s="109"/>
      <c r="D23" s="112"/>
      <c r="E23" s="81"/>
      <c r="F23" s="81"/>
      <c r="G23" s="81"/>
    </row>
    <row r="24" customFormat="false" ht="12.5" hidden="false" customHeight="false" outlineLevel="1" collapsed="false">
      <c r="B24" s="113"/>
      <c r="C24" s="108"/>
      <c r="D24" s="60"/>
      <c r="E24" s="81"/>
      <c r="F24" s="81"/>
      <c r="G24" s="81"/>
    </row>
    <row r="25" customFormat="false" ht="12.5" hidden="false" customHeight="false" outlineLevel="1" collapsed="false">
      <c r="B25" s="113"/>
      <c r="C25" s="108"/>
      <c r="D25" s="81"/>
      <c r="E25" s="81"/>
      <c r="F25" s="81"/>
      <c r="G25" s="81"/>
    </row>
    <row r="26" customFormat="false" ht="12.5" hidden="false" customHeight="false" outlineLevel="1" collapsed="false">
      <c r="B26" s="113"/>
      <c r="C26" s="108"/>
      <c r="D26" s="81"/>
      <c r="E26" s="81"/>
      <c r="F26" s="81"/>
      <c r="G26" s="81"/>
    </row>
    <row r="27" customFormat="false" ht="12.5" hidden="false" customHeight="false" outlineLevel="1" collapsed="false">
      <c r="B27" s="113"/>
      <c r="C27" s="108"/>
      <c r="D27" s="81"/>
      <c r="E27" s="81"/>
      <c r="F27" s="81"/>
      <c r="G27" s="81"/>
    </row>
    <row r="28" customFormat="false" ht="12.5" hidden="false" customHeight="false" outlineLevel="1" collapsed="false">
      <c r="B28" s="113"/>
      <c r="C28" s="108"/>
      <c r="D28" s="81"/>
      <c r="E28" s="81"/>
      <c r="F28" s="81"/>
      <c r="G28" s="81"/>
    </row>
    <row r="29" customFormat="false" ht="12.5" hidden="false" customHeight="false" outlineLevel="1" collapsed="false">
      <c r="B29" s="113"/>
      <c r="C29" s="108"/>
      <c r="D29" s="81"/>
      <c r="E29" s="81"/>
      <c r="F29" s="81"/>
      <c r="G29" s="81"/>
    </row>
    <row r="30" customFormat="false" ht="12.5" hidden="false" customHeight="false" outlineLevel="1" collapsed="false">
      <c r="B30" s="113"/>
      <c r="C30" s="108"/>
      <c r="D30" s="81"/>
      <c r="E30" s="81"/>
      <c r="F30" s="81"/>
      <c r="G30" s="81"/>
    </row>
    <row r="31" customFormat="false" ht="12.5" hidden="false" customHeight="false" outlineLevel="1" collapsed="false">
      <c r="B31" s="113"/>
      <c r="C31" s="108"/>
      <c r="D31" s="81"/>
      <c r="E31" s="81"/>
      <c r="F31" s="81"/>
      <c r="G31" s="81"/>
    </row>
    <row r="32" customFormat="false" ht="12.5" hidden="false" customHeight="false" outlineLevel="1" collapsed="false">
      <c r="B32" s="113"/>
      <c r="C32" s="108"/>
      <c r="D32" s="81"/>
      <c r="E32" s="81"/>
      <c r="F32" s="81"/>
      <c r="G32" s="81"/>
    </row>
    <row r="33" customFormat="false" ht="12.5" hidden="false" customHeight="false" outlineLevel="1" collapsed="false">
      <c r="B33" s="113"/>
      <c r="C33" s="108"/>
      <c r="D33" s="81"/>
      <c r="E33" s="81"/>
      <c r="F33" s="81"/>
      <c r="G33" s="81"/>
    </row>
    <row r="34" customFormat="false" ht="12.5" hidden="false" customHeight="false" outlineLevel="1" collapsed="false">
      <c r="B34" s="113"/>
      <c r="C34" s="108"/>
      <c r="D34" s="81"/>
      <c r="E34" s="81"/>
      <c r="F34" s="81"/>
      <c r="G34" s="81"/>
    </row>
    <row r="35" customFormat="false" ht="12.5" hidden="false" customHeight="false" outlineLevel="1" collapsed="false">
      <c r="B35" s="113"/>
      <c r="C35" s="108"/>
      <c r="D35" s="81"/>
      <c r="E35" s="81"/>
      <c r="F35" s="81"/>
      <c r="G35" s="81"/>
    </row>
    <row r="36" customFormat="false" ht="12.5" hidden="false" customHeight="false" outlineLevel="1" collapsed="false">
      <c r="B36" s="113"/>
      <c r="C36" s="108"/>
      <c r="D36" s="81"/>
      <c r="E36" s="81"/>
      <c r="F36" s="81"/>
      <c r="G36" s="81"/>
    </row>
    <row r="37" customFormat="false" ht="12.5" hidden="false" customHeight="false" outlineLevel="1" collapsed="false">
      <c r="B37" s="113"/>
      <c r="C37" s="108"/>
      <c r="D37" s="81"/>
      <c r="E37" s="81"/>
      <c r="F37" s="81"/>
      <c r="G37" s="81"/>
    </row>
    <row r="38" customFormat="false" ht="12.5" hidden="false" customHeight="false" outlineLevel="1" collapsed="false">
      <c r="B38" s="113"/>
      <c r="C38" s="108"/>
      <c r="D38" s="81"/>
      <c r="E38" s="81"/>
      <c r="F38" s="81"/>
      <c r="G38" s="81"/>
    </row>
    <row r="39" customFormat="false" ht="12.5" hidden="false" customHeight="false" outlineLevel="1" collapsed="false">
      <c r="B39" s="113"/>
      <c r="C39" s="108"/>
      <c r="D39" s="81"/>
      <c r="E39" s="81"/>
      <c r="F39" s="81"/>
      <c r="G39" s="81"/>
    </row>
    <row r="40" customFormat="false" ht="12.5" hidden="false" customHeight="false" outlineLevel="1" collapsed="false">
      <c r="B40" s="113"/>
      <c r="C40" s="108"/>
      <c r="D40" s="81"/>
      <c r="E40" s="81"/>
      <c r="F40" s="81"/>
      <c r="G40" s="81"/>
    </row>
    <row r="41" customFormat="false" ht="18.5" hidden="false" customHeight="false" outlineLevel="0" collapsed="false"/>
    <row r="42" customFormat="false" ht="12.5" hidden="false" customHeight="false" outlineLevel="1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8.5" hidden="false" customHeight="false" outlineLevel="0" collapsed="false"/>
  </sheetData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tabColor rgb="FFE998A6"/>
    <pageSetUpPr fitToPage="false"/>
  </sheetPr>
  <dimension ref="A1:O67"/>
  <sheetViews>
    <sheetView showFormulas="false" showGridLines="fals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G23" activeCellId="0" sqref="G23"/>
    </sheetView>
  </sheetViews>
  <sheetFormatPr defaultRowHeight="12.5" zeroHeight="false" outlineLevelRow="1" outlineLevelCol="0"/>
  <cols>
    <col collapsed="false" customWidth="true" hidden="false" outlineLevel="0" max="1" min="1" style="4" width="9.44"/>
    <col collapsed="false" customWidth="true" hidden="false" outlineLevel="0" max="2" min="2" style="4" width="30.56"/>
    <col collapsed="false" customWidth="true" hidden="false" outlineLevel="0" max="3" min="3" style="4" width="48.22"/>
    <col collapsed="false" customWidth="true" hidden="false" outlineLevel="0" max="4" min="4" style="4" width="34.78"/>
    <col collapsed="false" customWidth="true" hidden="false" outlineLevel="0" max="8" min="5" style="4" width="9.44"/>
    <col collapsed="false" customWidth="true" hidden="true" outlineLevel="0" max="11" min="9" style="4" width="11.23"/>
    <col collapsed="false" customWidth="true" hidden="false" outlineLevel="0" max="12" min="12" style="4" width="9.44"/>
    <col collapsed="false" customWidth="true" hidden="false" outlineLevel="0" max="13" min="13" style="4" width="21.44"/>
    <col collapsed="false" customWidth="true" hidden="false" outlineLevel="0" max="14" min="14" style="4" width="20"/>
    <col collapsed="false" customWidth="true" hidden="false" outlineLevel="0" max="1025" min="15" style="4" width="9.44"/>
  </cols>
  <sheetData>
    <row r="1" customFormat="false" ht="13" hidden="false" customHeight="false" outlineLevel="0" collapsed="false">
      <c r="A1" s="5" t="str">
        <f aca="false">'Cover Page'!A1</f>
        <v>Problem Solving With Excel </v>
      </c>
    </row>
    <row r="2" customFormat="false" ht="13" hidden="false" customHeight="false" outlineLevel="0" collapsed="false">
      <c r="A2" s="5" t="str">
        <f aca="false">'Cover Page'!A2</f>
        <v>Week 2</v>
      </c>
    </row>
    <row r="3" customFormat="false" ht="13" hidden="false" customHeight="false" outlineLevel="0" collapsed="false">
      <c r="A3" s="5" t="str">
        <f aca="false">'Cover Page'!A3</f>
        <v>Vlookup</v>
      </c>
    </row>
    <row r="4" customFormat="false" ht="13" hidden="false" customHeight="false" outlineLevel="0" collapsed="false">
      <c r="A4" s="5" t="s">
        <v>287</v>
      </c>
    </row>
    <row r="5" customFormat="false" ht="12.5" hidden="false" customHeight="false" outlineLevel="0" collapsed="false">
      <c r="O5" s="100"/>
    </row>
    <row r="6" customFormat="false" ht="12.5" hidden="false" customHeight="false" outlineLevel="0" collapsed="false">
      <c r="H6" s="4" t="s">
        <v>288</v>
      </c>
    </row>
    <row r="7" customFormat="false" ht="18.5" hidden="false" customHeight="false" outlineLevel="0" collapsed="false">
      <c r="B7" s="57" t="s">
        <v>281</v>
      </c>
    </row>
    <row r="8" customFormat="false" ht="12.5" hidden="false" customHeight="false" outlineLevel="1" collapsed="false"/>
    <row r="9" customFormat="false" ht="13" hidden="false" customHeight="false" outlineLevel="1" collapsed="false">
      <c r="B9" s="101"/>
      <c r="C9" s="102"/>
      <c r="D9" s="81"/>
      <c r="E9" s="81"/>
      <c r="F9" s="81"/>
      <c r="G9" s="81"/>
    </row>
    <row r="10" customFormat="false" ht="12.5" hidden="false" customHeight="false" outlineLevel="1" collapsed="false">
      <c r="B10" s="81"/>
      <c r="C10" s="81"/>
      <c r="D10" s="81"/>
      <c r="E10" s="81"/>
      <c r="F10" s="81"/>
      <c r="G10" s="81"/>
    </row>
    <row r="11" customFormat="false" ht="13" hidden="false" customHeight="false" outlineLevel="1" collapsed="false">
      <c r="B11" s="75"/>
      <c r="C11" s="81"/>
      <c r="D11" s="81"/>
      <c r="E11" s="81"/>
      <c r="F11" s="81"/>
      <c r="G11" s="81"/>
    </row>
    <row r="12" customFormat="false" ht="12.5" hidden="false" customHeight="false" outlineLevel="1" collapsed="false">
      <c r="B12" s="81"/>
      <c r="C12" s="81"/>
      <c r="D12" s="81"/>
      <c r="E12" s="81"/>
      <c r="F12" s="81"/>
      <c r="G12" s="81"/>
    </row>
    <row r="13" customFormat="false" ht="12.5" hidden="false" customHeight="false" outlineLevel="1" collapsed="false">
      <c r="B13" s="81"/>
      <c r="C13" s="81"/>
      <c r="D13" s="81"/>
      <c r="E13" s="81"/>
      <c r="F13" s="81"/>
      <c r="G13" s="81"/>
    </row>
    <row r="14" customFormat="false" ht="13" hidden="false" customHeight="false" outlineLevel="1" collapsed="false">
      <c r="B14" s="103"/>
      <c r="C14" s="104"/>
      <c r="D14" s="104"/>
      <c r="E14" s="81"/>
      <c r="F14" s="81"/>
      <c r="G14" s="81"/>
    </row>
    <row r="15" customFormat="false" ht="13" hidden="false" customHeight="false" outlineLevel="1" collapsed="false">
      <c r="B15" s="103"/>
      <c r="C15" s="104"/>
      <c r="D15" s="104"/>
      <c r="E15" s="81"/>
      <c r="F15" s="81"/>
      <c r="G15" s="81"/>
    </row>
    <row r="16" customFormat="false" ht="13" hidden="false" customHeight="false" outlineLevel="1" collapsed="false">
      <c r="B16" s="103"/>
      <c r="C16" s="104"/>
      <c r="D16" s="104"/>
      <c r="E16" s="81"/>
      <c r="F16" s="81"/>
      <c r="G16" s="81"/>
    </row>
    <row r="17" customFormat="false" ht="13" hidden="false" customHeight="false" outlineLevel="1" collapsed="false">
      <c r="B17" s="103"/>
      <c r="C17" s="104"/>
      <c r="D17" s="104"/>
      <c r="E17" s="81"/>
      <c r="F17" s="81"/>
      <c r="G17" s="81"/>
    </row>
    <row r="18" customFormat="false" ht="13" hidden="false" customHeight="false" outlineLevel="1" collapsed="false">
      <c r="B18" s="105"/>
      <c r="C18" s="81"/>
      <c r="D18" s="81"/>
      <c r="E18" s="81"/>
      <c r="F18" s="81"/>
      <c r="G18" s="81"/>
    </row>
    <row r="19" customFormat="false" ht="13" hidden="false" customHeight="false" outlineLevel="1" collapsed="false">
      <c r="B19" s="106"/>
      <c r="C19" s="107"/>
      <c r="D19" s="108"/>
      <c r="E19" s="81"/>
      <c r="J19" s="109"/>
      <c r="K19" s="109"/>
      <c r="M19" s="109"/>
      <c r="N19" s="109"/>
    </row>
    <row r="20" customFormat="false" ht="13" hidden="false" customHeight="false" outlineLevel="1" collapsed="false">
      <c r="B20" s="106"/>
      <c r="C20" s="99"/>
      <c r="D20" s="99"/>
      <c r="E20" s="81"/>
      <c r="J20" s="108"/>
      <c r="K20" s="110"/>
      <c r="M20" s="108"/>
      <c r="N20" s="110"/>
    </row>
    <row r="21" customFormat="false" ht="12.5" hidden="false" customHeight="false" outlineLevel="0" collapsed="false">
      <c r="B21" s="111"/>
      <c r="C21" s="81"/>
      <c r="D21" s="81"/>
      <c r="E21" s="81"/>
      <c r="J21" s="108"/>
      <c r="K21" s="110"/>
      <c r="M21" s="108"/>
      <c r="N21" s="110"/>
    </row>
    <row r="22" customFormat="false" ht="13" hidden="false" customHeight="false" outlineLevel="1" collapsed="false">
      <c r="B22" s="109"/>
      <c r="C22" s="109"/>
      <c r="D22" s="112"/>
      <c r="E22" s="81"/>
      <c r="F22" s="81"/>
      <c r="G22" s="81"/>
    </row>
    <row r="23" customFormat="false" ht="12.5" hidden="false" customHeight="false" outlineLevel="1" collapsed="false">
      <c r="B23" s="113"/>
      <c r="C23" s="108"/>
      <c r="D23" s="60"/>
      <c r="E23" s="81"/>
      <c r="F23" s="81"/>
      <c r="G23" s="81"/>
    </row>
    <row r="24" customFormat="false" ht="12.5" hidden="false" customHeight="false" outlineLevel="1" collapsed="false">
      <c r="B24" s="113"/>
      <c r="C24" s="108"/>
      <c r="D24" s="81"/>
      <c r="E24" s="81"/>
      <c r="F24" s="81"/>
      <c r="G24" s="81"/>
    </row>
    <row r="25" customFormat="false" ht="12.5" hidden="false" customHeight="false" outlineLevel="1" collapsed="false">
      <c r="B25" s="113"/>
      <c r="C25" s="108"/>
      <c r="D25" s="81"/>
      <c r="E25" s="81"/>
      <c r="F25" s="81"/>
      <c r="G25" s="81"/>
    </row>
    <row r="26" customFormat="false" ht="12.5" hidden="false" customHeight="false" outlineLevel="1" collapsed="false">
      <c r="B26" s="113"/>
      <c r="C26" s="108"/>
      <c r="D26" s="81"/>
      <c r="E26" s="81"/>
      <c r="F26" s="81"/>
      <c r="G26" s="81"/>
    </row>
    <row r="27" customFormat="false" ht="12.5" hidden="false" customHeight="false" outlineLevel="1" collapsed="false">
      <c r="B27" s="113"/>
      <c r="C27" s="108"/>
      <c r="D27" s="81"/>
      <c r="E27" s="81"/>
      <c r="F27" s="81"/>
      <c r="G27" s="81"/>
    </row>
    <row r="28" customFormat="false" ht="12.5" hidden="false" customHeight="false" outlineLevel="1" collapsed="false">
      <c r="B28" s="113"/>
      <c r="C28" s="108"/>
      <c r="D28" s="81"/>
      <c r="E28" s="81"/>
      <c r="F28" s="81"/>
      <c r="G28" s="81"/>
    </row>
    <row r="29" customFormat="false" ht="12.5" hidden="false" customHeight="false" outlineLevel="1" collapsed="false">
      <c r="B29" s="113"/>
      <c r="C29" s="108"/>
      <c r="D29" s="81"/>
      <c r="E29" s="81"/>
      <c r="F29" s="81"/>
      <c r="G29" s="81"/>
    </row>
    <row r="30" customFormat="false" ht="12.5" hidden="false" customHeight="false" outlineLevel="1" collapsed="false">
      <c r="B30" s="113"/>
      <c r="C30" s="108"/>
      <c r="D30" s="81"/>
      <c r="E30" s="81"/>
      <c r="F30" s="81"/>
      <c r="G30" s="81"/>
    </row>
    <row r="31" customFormat="false" ht="12.5" hidden="false" customHeight="false" outlineLevel="1" collapsed="false">
      <c r="B31" s="113"/>
      <c r="C31" s="108"/>
      <c r="D31" s="81"/>
      <c r="E31" s="81"/>
      <c r="F31" s="81"/>
      <c r="G31" s="81"/>
    </row>
    <row r="32" customFormat="false" ht="12.5" hidden="false" customHeight="false" outlineLevel="1" collapsed="false">
      <c r="B32" s="113"/>
      <c r="C32" s="108"/>
      <c r="D32" s="81"/>
      <c r="E32" s="81"/>
      <c r="F32" s="81"/>
      <c r="G32" s="81"/>
    </row>
    <row r="33" customFormat="false" ht="12.5" hidden="false" customHeight="false" outlineLevel="1" collapsed="false">
      <c r="B33" s="113"/>
      <c r="C33" s="108"/>
      <c r="D33" s="81"/>
      <c r="E33" s="81"/>
      <c r="F33" s="81"/>
      <c r="G33" s="81"/>
    </row>
    <row r="34" customFormat="false" ht="12.5" hidden="false" customHeight="false" outlineLevel="1" collapsed="false">
      <c r="B34" s="113"/>
      <c r="C34" s="108"/>
      <c r="D34" s="81"/>
      <c r="E34" s="81"/>
      <c r="F34" s="81"/>
      <c r="G34" s="81"/>
    </row>
    <row r="35" customFormat="false" ht="12.5" hidden="false" customHeight="false" outlineLevel="1" collapsed="false">
      <c r="B35" s="113"/>
      <c r="C35" s="108"/>
      <c r="D35" s="81"/>
      <c r="E35" s="81"/>
      <c r="F35" s="81"/>
      <c r="G35" s="81"/>
    </row>
    <row r="36" customFormat="false" ht="12.5" hidden="false" customHeight="false" outlineLevel="1" collapsed="false">
      <c r="B36" s="113"/>
      <c r="C36" s="108"/>
      <c r="D36" s="81"/>
      <c r="E36" s="81"/>
      <c r="F36" s="81"/>
      <c r="G36" s="81"/>
    </row>
    <row r="37" customFormat="false" ht="12.5" hidden="false" customHeight="false" outlineLevel="1" collapsed="false">
      <c r="B37" s="113"/>
      <c r="C37" s="108"/>
      <c r="D37" s="81"/>
      <c r="E37" s="81"/>
      <c r="F37" s="81"/>
      <c r="G37" s="81"/>
    </row>
    <row r="38" customFormat="false" ht="12.5" hidden="false" customHeight="false" outlineLevel="1" collapsed="false">
      <c r="B38" s="113"/>
      <c r="C38" s="108"/>
      <c r="D38" s="81"/>
      <c r="E38" s="81"/>
      <c r="F38" s="81"/>
      <c r="G38" s="81"/>
    </row>
    <row r="39" customFormat="false" ht="12.5" hidden="false" customHeight="false" outlineLevel="1" collapsed="false">
      <c r="B39" s="113"/>
      <c r="C39" s="108"/>
      <c r="D39" s="81"/>
      <c r="E39" s="81"/>
      <c r="F39" s="81"/>
      <c r="G39" s="81"/>
    </row>
    <row r="40" customFormat="false" ht="12.5" hidden="false" customHeight="false" outlineLevel="1" collapsed="false"/>
    <row r="41" customFormat="false" ht="12.5" hidden="false" customHeight="false" outlineLevel="1" collapsed="false"/>
    <row r="42" customFormat="false" ht="18.5" hidden="false" customHeight="false" outlineLevel="0" collapsed="false"/>
    <row r="43" customFormat="false" ht="12.5" hidden="false" customHeight="false" outlineLevel="1" collapsed="false"/>
    <row r="44" customFormat="false" ht="12.5" hidden="false" customHeight="false" outlineLevel="1" collapsed="false"/>
    <row r="45" customFormat="false" ht="12.5" hidden="false" customHeight="false" outlineLevel="1" collapsed="false"/>
    <row r="46" customFormat="false" ht="12.5" hidden="false" customHeight="false" outlineLevel="1" collapsed="false"/>
    <row r="47" customFormat="false" ht="12.5" hidden="false" customHeight="false" outlineLevel="1" collapsed="false"/>
    <row r="48" customFormat="false" ht="12.5" hidden="false" customHeight="false" outlineLevel="1" collapsed="false"/>
    <row r="49" customFormat="false" ht="12.5" hidden="false" customHeight="false" outlineLevel="1" collapsed="false"/>
    <row r="50" customFormat="false" ht="12.5" hidden="false" customHeight="false" outlineLevel="1" collapsed="false"/>
    <row r="51" customFormat="false" ht="12.5" hidden="false" customHeight="false" outlineLevel="1" collapsed="false"/>
    <row r="52" customFormat="false" ht="12.5" hidden="false" customHeight="false" outlineLevel="1" collapsed="false"/>
    <row r="53" customFormat="false" ht="12.5" hidden="false" customHeight="false" outlineLevel="1" collapsed="false"/>
    <row r="54" customFormat="false" ht="12.5" hidden="false" customHeight="false" outlineLevel="1" collapsed="false"/>
    <row r="55" customFormat="false" ht="12.5" hidden="false" customHeight="false" outlineLevel="1" collapsed="false"/>
    <row r="56" customFormat="false" ht="12.5" hidden="false" customHeight="false" outlineLevel="1" collapsed="false"/>
    <row r="57" customFormat="false" ht="12.5" hidden="false" customHeight="false" outlineLevel="1" collapsed="false"/>
    <row r="58" customFormat="false" ht="12.5" hidden="false" customHeight="false" outlineLevel="1" collapsed="false"/>
    <row r="59" customFormat="false" ht="12.5" hidden="false" customHeight="false" outlineLevel="1" collapsed="false"/>
    <row r="60" customFormat="false" ht="12.5" hidden="false" customHeight="false" outlineLevel="1" collapsed="false"/>
    <row r="61" customFormat="false" ht="12.5" hidden="false" customHeight="false" outlineLevel="1" collapsed="false"/>
    <row r="62" customFormat="false" ht="12.5" hidden="false" customHeight="false" outlineLevel="1" collapsed="false"/>
    <row r="63" customFormat="false" ht="12.5" hidden="false" customHeight="false" outlineLevel="1" collapsed="false"/>
    <row r="64" customFormat="false" ht="12.5" hidden="false" customHeight="false" outlineLevel="1" collapsed="false"/>
    <row r="65" customFormat="false" ht="12.5" hidden="false" customHeight="false" outlineLevel="1" collapsed="false"/>
    <row r="66" customFormat="false" ht="12.5" hidden="false" customHeight="false" outlineLevel="1" collapsed="false"/>
    <row r="67" customFormat="false" ht="18.5" hidden="false" customHeight="false" outlineLevel="0" collapsed="false"/>
  </sheetData>
  <dataValidations count="1">
    <dataValidation allowBlank="true" operator="between" showDropDown="false" showErrorMessage="true" showInputMessage="true" sqref="C19" type="list">
      <formula1>$M$20:$M$21</formula1>
      <formula2>0</formula2>
    </dataValidation>
  </dataValidations>
  <printOptions headings="false" gridLines="false" gridLinesSet="true" horizontalCentered="false" verticalCentered="false"/>
  <pageMargins left="0.3" right="0.3" top="0.3" bottom="0.3" header="0.2" footer="0.2"/>
  <pageSetup paperSize="1" scale="7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>&amp;CTab: &amp;A</oddHeader>
    <oddFooter>&amp;L&amp;D &amp;T&amp;C&amp;Z&amp;F -- &amp;A&amp;R&amp;P/&amp;N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</TotalTime>
  <Application>LibreOffice/6.0.7.3$Linux_X86_64 LibreOffice_project/00m0$Build-3</Application>
  <Company>PricewaterhouseCoopers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2016-06-22T22:01:00Z</dcterms:created>
  <dc:creator>Matthew Jacobs</dc:creator>
  <dc:description/>
  <dc:language>en-US</dc:language>
  <cp:lastModifiedBy/>
  <dcterms:modified xsi:type="dcterms:W3CDTF">2020-07-06T12:12:23Z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randFormat">
    <vt:lpwstr>1.0</vt:lpwstr>
  </property>
  <property fmtid="{D5CDD505-2E9C-101B-9397-08002B2CF9AE}" pid="4" name="Company">
    <vt:lpwstr>PricewaterhouseCoopers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  <property fmtid="{D5CDD505-2E9C-101B-9397-08002B2CF9AE}" pid="10" name="Smrt_NotesFontSize">
    <vt:lpwstr>8</vt:lpwstr>
  </property>
  <property fmtid="{D5CDD505-2E9C-101B-9397-08002B2CF9AE}" pid="11" name="Smrt_WorkbookNumberDisplay">
    <vt:lpwstr>0</vt:lpwstr>
  </property>
  <property fmtid="{D5CDD505-2E9C-101B-9397-08002B2CF9AE}" pid="12" name="Smrt_WorkbookPercentageDisplay">
    <vt:lpwstr>0</vt:lpwstr>
  </property>
  <property fmtid="{D5CDD505-2E9C-101B-9397-08002B2CF9AE}" pid="13" name="Smrt_WorkbookThemeColor">
    <vt:lpwstr>PwC Maroon</vt:lpwstr>
  </property>
</Properties>
</file>