
<file path=[Content_Types].xml><?xml version="1.0" encoding="utf-8"?>
<Types xmlns="http://schemas.openxmlformats.org/package/2006/content-types">
  <Override PartName="/xl/_rels/workbook.xml.rels" ContentType="application/vnd.openxmlformats-package.relationships+xml"/>
  <Override PartName="/xl/charts/chart7.xml" ContentType="application/vnd.openxmlformats-officedocument.drawingml.chart+xml"/>
  <Override PartName="/xl/charts/chart2.xml" ContentType="application/vnd.openxmlformats-officedocument.drawingml.chart+xml"/>
  <Override PartName="/xl/charts/chart1.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vbaProject.bin" ContentType="application/vnd.ms-office.vbaProject"/>
  <Override PartName="/xl/worksheets/_rels/sheet5.xml.rels" ContentType="application/vnd.openxmlformats-package.relationships+xml"/>
  <Override PartName="/xl/worksheets/_rels/sheet4.xml.rels" ContentType="application/vnd.openxmlformats-package.relationships+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troduction" sheetId="1" state="visible" r:id="rId3"/>
    <sheet name="Table of Contents" sheetId="2" state="visible" r:id="rId4"/>
    <sheet name="Data Set" sheetId="3" state="visible" r:id="rId5"/>
    <sheet name="Section 1 - Instruction" sheetId="4" state="visible" r:id="rId6"/>
    <sheet name="Section 1 - (ANS)" sheetId="5" state="hidden" r:id="rId7"/>
  </sheets>
  <definedNames>
    <definedName function="false" hidden="false" name="BinCount_SocialMedia_Mentions" vbProcedure="false">'Section 1 - Instruction'!$C$17</definedName>
    <definedName function="false" hidden="false" name="BinSize_SocialMedia_Mentions" vbProcedure="false">'Section 1 - Instruction'!$C$18</definedName>
    <definedName function="false" hidden="false" name="Bins_SocialMedia_Mentions" vbProcedure="false">'Section 1 - Instruction'!$B$22:$B$33</definedName>
    <definedName function="false" hidden="false" name="Correl_SocialMedia_WebsiteVisits" vbProcedure="false">'Section 1 - Instruction'!$C$43</definedName>
    <definedName function="false" hidden="false" name="CoVar_SocialMedia_Mentions" vbProcedure="false">'Section 1 - Instruction'!$C$40</definedName>
    <definedName function="false" hidden="false" name="Max_SocialMedia_Mentions" vbProcedure="false">'Section 1 - Instruction'!$C$15</definedName>
    <definedName function="false" hidden="false" name="Min_SocialMedia_Mentions" vbProcedure="false">'Section 1 - Instruction'!$C$14</definedName>
    <definedName function="false" hidden="false" name="Slope_WebsiteVisits_SocialMedia" vbProcedure="false">'Section 1 - Instruction'!$C$116</definedName>
    <definedName function="false" hidden="false" name="SocialMedia_Mentions" vbProcedure="false">'Data Set'!$B$7:$B$106</definedName>
    <definedName function="false" hidden="false" name="StdDev_SocialMedia_Mentions" vbProcedure="false">'Section 1 - Instruction'!$C$10</definedName>
    <definedName function="false" hidden="false" name="Var_SocialMedia_Mentions" vbProcedure="false">'Section 1 - Instruction'!$C$37</definedName>
    <definedName function="false" hidden="false" name="Website_Visits" vbProcedure="false">'Data Set'!$C$7:$C$106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<sst xmlns="http://schemas.openxmlformats.org/spreadsheetml/2006/main" count="204" uniqueCount="108">
  <si>
    <t xml:space="preserve">Problem Solving with Excel</t>
  </si>
  <si>
    <t xml:space="preserve">Week 4</t>
  </si>
  <si>
    <t xml:space="preserve">Statistical Forecasting</t>
  </si>
  <si>
    <t xml:space="preserve">Table of contents</t>
  </si>
  <si>
    <t xml:space="preserve">Section</t>
  </si>
  <si>
    <t xml:space="preserve">Description</t>
  </si>
  <si>
    <t xml:space="preserve">Contained in Workbook</t>
  </si>
  <si>
    <t xml:space="preserve">Name of External Referenced File</t>
  </si>
  <si>
    <t xml:space="preserve">Section 1 - Instruction</t>
  </si>
  <si>
    <t xml:space="preserve">Y</t>
  </si>
  <si>
    <t xml:space="preserve">NA</t>
  </si>
  <si>
    <t xml:space="preserve">Data Set</t>
  </si>
  <si>
    <t xml:space="preserve">SocialMediaMentions</t>
  </si>
  <si>
    <t xml:space="preserve">WebsiteVisits</t>
  </si>
  <si>
    <t xml:space="preserve">Problem 1A - Instructor Lead</t>
  </si>
  <si>
    <t xml:space="preserve">Calculate the standard deviation of SocialMedia Mentions</t>
  </si>
  <si>
    <t xml:space="preserve">This suggests that our standard deviation is approximately 36% of our mean. Or that our data are somewhat dispersed, or spread out around the mean value.</t>
  </si>
  <si>
    <t xml:space="preserve">If this ratio was higher, it would suggest even more dispersion in our data. The higher this ratio is, the lower our confidence should be in the conclusions drawn from the dataset using linear regression.</t>
  </si>
  <si>
    <t xml:space="preserve">Plot a histogram of the SocialMedia Mentions</t>
  </si>
  <si>
    <t xml:space="preserve">Calculate the minimum and maximum values for the plot</t>
  </si>
  <si>
    <t xml:space="preserve">=MIN()</t>
  </si>
  <si>
    <t xml:space="preserve">=MAX()</t>
  </si>
  <si>
    <t xml:space="preserve">Create bins for the histogram</t>
  </si>
  <si>
    <t xml:space="preserve">Bin Count</t>
  </si>
  <si>
    <t xml:space="preserve">Data Analysis ToolPak Output</t>
  </si>
  <si>
    <t xml:space="preserve">Histogram plot</t>
  </si>
  <si>
    <t xml:space="preserve">Bin Size</t>
  </si>
  <si>
    <t xml:space="preserve">Bins</t>
  </si>
  <si>
    <t xml:space="preserve">Calculate the variance SocialMedia Mentions</t>
  </si>
  <si>
    <t xml:space="preserve">=VAR.S()</t>
  </si>
  <si>
    <t xml:space="preserve">Calculate the variance SocialMedia Mentions and Website Visits</t>
  </si>
  <si>
    <t xml:space="preserve">=COVARIANCE.S()</t>
  </si>
  <si>
    <t xml:space="preserve">Calculate the correlation between SocialMedia Mentions and Website Visits</t>
  </si>
  <si>
    <t xml:space="preserve">=CORREL()</t>
  </si>
  <si>
    <t xml:space="preserve">Calculate the R-Squared between SocialMedia Mentions and Website Visits</t>
  </si>
  <si>
    <t xml:space="preserve">=RSQ()</t>
  </si>
  <si>
    <t xml:space="preserve">Problem 1B - Student Exersise</t>
  </si>
  <si>
    <t xml:space="preserve">Calculate all of the above measures for the Website Visits</t>
  </si>
  <si>
    <t xml:space="preserve">=STDEV.S()</t>
  </si>
  <si>
    <t xml:space="preserve">Problem 2A - Instructor Lead</t>
  </si>
  <si>
    <t xml:space="preserve">Plot a scatter plot of the SocialMedia Mentions on the x-axis and the Website Visits on the y-axis</t>
  </si>
  <si>
    <t xml:space="preserve">Add a trendline and the line's equation to the plot </t>
  </si>
  <si>
    <t xml:space="preserve">Forecast the trendline forward 300 periods </t>
  </si>
  <si>
    <t xml:space="preserve">Use Excel functions to calculate the intercept and slope of the line</t>
  </si>
  <si>
    <t xml:space="preserve">=SLOPE()</t>
  </si>
  <si>
    <t xml:space="preserve">=INTERCEPT()</t>
  </si>
  <si>
    <t xml:space="preserve">Use the forecast function to predict values of y (Website Visits)</t>
  </si>
  <si>
    <t xml:space="preserve">y</t>
  </si>
  <si>
    <t xml:space="preserve">=FORECAST()</t>
  </si>
  <si>
    <t xml:space="preserve">x</t>
  </si>
  <si>
    <t xml:space="preserve">Problem 2B - Student Lead</t>
  </si>
  <si>
    <t xml:space="preserve">Plot a scatter plot of the Website Visits on the x-axis and the SocialMedia Mentions on the y-axis</t>
  </si>
  <si>
    <t xml:space="preserve">Forecast the trendline forward 10,000 periods</t>
  </si>
  <si>
    <t xml:space="preserve">Use the forecast function to predict values of y (SocialMedia Mentions)</t>
  </si>
  <si>
    <t xml:space="preserve">Instruction Points on Concepts</t>
  </si>
  <si>
    <t xml:space="preserve">Business Real World Insight to Incorporate</t>
  </si>
  <si>
    <t xml:space="preserve">At a high level, we are exploring whether SocialMedia mentions are predictive of website traffice for Company X.</t>
  </si>
  <si>
    <t xml:space="preserve">Standard deviation, how spread out the data is</t>
  </si>
  <si>
    <t xml:space="preserve">Imortant to understand if there is skewness in your data and what might be driving that shape</t>
  </si>
  <si>
    <t xml:space="preserve">STDEV.S - the sample population STDEV should be used</t>
  </si>
  <si>
    <t xml:space="preserve">For example, if your data is skewed left, it indicates your values are clustered on the high end</t>
  </si>
  <si>
    <t xml:space="preserve">If your data is logarithmic or exponential, you might consider a transformation of your data</t>
  </si>
  <si>
    <t xml:space="preserve">**Histogram plot will require users to add in the analysis toolpak</t>
  </si>
  <si>
    <t xml:space="preserve">It gives us a sense of how spread out the data is, above and below the mean</t>
  </si>
  <si>
    <t xml:space="preserve">10-15 bins is a good rule of thumb</t>
  </si>
  <si>
    <t xml:space="preserve">Use the data analysis toolpak to plot a histogram</t>
  </si>
  <si>
    <t xml:space="preserve">First output binned data and frequencies, then plot it with a bar chart</t>
  </si>
  <si>
    <t xml:space="preserve">Bin</t>
  </si>
  <si>
    <t xml:space="preserve">Frequency</t>
  </si>
  <si>
    <t xml:space="preserve">More</t>
  </si>
  <si>
    <t xml:space="preserve">Variance, square of the standard deviation</t>
  </si>
  <si>
    <t xml:space="preserve">Variance is also a measure of how spread out the data is, but it only has positive figures because it is squared</t>
  </si>
  <si>
    <t xml:space="preserve">check that the SQRT of the variance is the same as the standard deviation above</t>
  </si>
  <si>
    <t xml:space="preserve">It gives us a sense of how spread out the data is from the mean in absolute terms</t>
  </si>
  <si>
    <t xml:space="preserve">This is an important import into regression analysis</t>
  </si>
  <si>
    <t xml:space="preserve">Perhaps, we want a consistent number of people to mention us on SocialMedia, so in that case, a lower variance would be better.</t>
  </si>
  <si>
    <t xml:space="preserve">High variance means the data is inconsistent.</t>
  </si>
  <si>
    <t xml:space="preserve">Covariance is a measure of how much two series of data vary together</t>
  </si>
  <si>
    <t xml:space="preserve">Correlation is a measure of much data moves together</t>
  </si>
  <si>
    <t xml:space="preserve">In business, this provides powerful insight when making predictions</t>
  </si>
  <si>
    <t xml:space="preserve">Classic adage, "Correlation does not imply causation." So be careful about what conclusions you draw. Sometimes it is hard to know which direction the causation flows.</t>
  </si>
  <si>
    <t xml:space="preserve">For example, if SocialMedia mentions and website visits move together, we can predict what website visits might be in the future</t>
  </si>
  <si>
    <t xml:space="preserve">Sometimes, you will see this written as the r-score</t>
  </si>
  <si>
    <t xml:space="preserve">This can show positive or negative relationships</t>
  </si>
  <si>
    <t xml:space="preserve">The R-Squared statistic is a measure of the percentage of variation in Y that X explains</t>
  </si>
  <si>
    <t xml:space="preserve">Important to know how much your model or predictors are explaining the value that you are trying to predict. Most of the time a higher value leads to better predictions.</t>
  </si>
  <si>
    <t xml:space="preserve">In other words, you could say that, "SocialMedia mentions explain 62% of variation in website visits."</t>
  </si>
  <si>
    <t xml:space="preserve">Check that the SQRT of this is equal the correlation above</t>
  </si>
  <si>
    <t xml:space="preserve">This is a squared value and therefore only represents positive values and the strength of the relationship. We cannot infer the direction of correlation (positive or negative).</t>
  </si>
  <si>
    <t xml:space="preserve">Note that the covariance, correlation, and r-squared are the same, in other words, the direction doesn't matter</t>
  </si>
  <si>
    <t xml:space="preserve">Plot a scatter plot of the SocialMedia data and web traffic data</t>
  </si>
  <si>
    <t xml:space="preserve">For each additional SocialMedia mention you get ~23 additional visits to your site</t>
  </si>
  <si>
    <t xml:space="preserve">Add a trend line and inspect the equation</t>
  </si>
  <si>
    <t xml:space="preserve">Maybe it is important to focus on SocialMedia as a marketing channel</t>
  </si>
  <si>
    <t xml:space="preserve">Explain the intercept and the slope</t>
  </si>
  <si>
    <t xml:space="preserve">Compare Rsquared value to results above</t>
  </si>
  <si>
    <t xml:space="preserve">Calculate the coefficients with excel equations</t>
  </si>
  <si>
    <t xml:space="preserve">Use the forecast function to predict what website visits will be for a certain number of SocialMedia mentions</t>
  </si>
  <si>
    <t xml:space="preserve">Extend the trendline of the scatter plot to show that you can make predictions outside of the current range of x values</t>
  </si>
  <si>
    <t xml:space="preserve">Caution students to be extra careful when making predictions outside of the current range of x-values</t>
  </si>
  <si>
    <t xml:space="preserve">We are less certain about our forecasts outside of the observed x-range because we don't have historical data on this</t>
  </si>
  <si>
    <t xml:space="preserve">Use the forecast function to predict y-values for a given x-value </t>
  </si>
  <si>
    <t xml:space="preserve">The forecast function works for both interpolation (when the given x-value is within the range of x-values in the data set) and extrapolation (when the given x-value is outside the range of the x-values in the dataset). </t>
  </si>
  <si>
    <t xml:space="preserve">This is 1) good practice, and 2) challenges you to think about the direction of causation</t>
  </si>
  <si>
    <t xml:space="preserve">Do all of the above with SocialMedia as your target variable (y-variable)</t>
  </si>
  <si>
    <t xml:space="preserve">Use the forecast function to make predictions for X=100, 600, 10,500 &amp; 39,146</t>
  </si>
  <si>
    <t xml:space="preserve">Forecast the trendline forward 20,000 periods</t>
  </si>
  <si>
    <t xml:space="preserve">What is the expected number of SocialMediaMentions when WebsiteVisits = 50,000?</t>
  </si>
</sst>
</file>

<file path=xl/styles.xml><?xml version="1.0" encoding="utf-8"?>
<styleSheet xmlns="http://schemas.openxmlformats.org/spreadsheetml/2006/main">
  <numFmts count="7">
    <numFmt numFmtId="164" formatCode="_(* #,##0_);_(* \(#,##0\);_(* \-_);@_)"/>
    <numFmt numFmtId="165" formatCode="@"/>
    <numFmt numFmtId="166" formatCode="_(* #,##0.00_);_(* \(#,##0.00\);_(* \-??_);_(@_)"/>
    <numFmt numFmtId="167" formatCode="#,##0.00_);\(#,##0.00\)"/>
    <numFmt numFmtId="168" formatCode="#,##0.00"/>
    <numFmt numFmtId="169" formatCode="0.00%"/>
    <numFmt numFmtId="170" formatCode="#,##0"/>
  </numFmts>
  <fonts count="23">
    <font>
      <sz val="9"/>
      <color rgb="FF000000"/>
      <name val="Calibri"/>
      <family val="2"/>
      <charset val="1"/>
    </font>
    <font>
      <sz val="10"/>
      <name val="Arial"/>
      <family val="0"/>
    </font>
    <font>
      <sz val="10"/>
      <name val="Arial"/>
      <family val="0"/>
    </font>
    <font>
      <sz val="10"/>
      <name val="Arial"/>
      <family val="0"/>
    </font>
    <font>
      <b val="true"/>
      <sz val="14"/>
      <color rgb="FF7A1818"/>
      <name val="Calibri"/>
      <family val="2"/>
      <charset val="1"/>
    </font>
    <font>
      <b val="true"/>
      <sz val="10"/>
      <color rgb="FF7A1818"/>
      <name val="Arial"/>
      <family val="2"/>
      <charset val="1"/>
    </font>
    <font>
      <sz val="10"/>
      <color rgb="FF000000"/>
      <name val="Calibri"/>
      <family val="2"/>
      <charset val="1"/>
    </font>
    <font>
      <b val="true"/>
      <sz val="10"/>
      <color rgb="FF7A1818"/>
      <name val="Calibri"/>
      <family val="2"/>
      <charset val="1"/>
    </font>
    <font>
      <b val="true"/>
      <sz val="9"/>
      <color rgb="FF602320"/>
      <name val="Calibri"/>
      <family val="2"/>
      <charset val="1"/>
    </font>
    <font>
      <b val="true"/>
      <sz val="9"/>
      <color rgb="FF602320"/>
      <name val="Arial"/>
      <family val="2"/>
      <charset val="1"/>
    </font>
    <font>
      <sz val="10"/>
      <name val="Calibri"/>
      <family val="2"/>
      <charset val="1"/>
    </font>
    <font>
      <b val="true"/>
      <sz val="10"/>
      <name val="Arial"/>
      <family val="2"/>
      <charset val="1"/>
    </font>
    <font>
      <b val="true"/>
      <sz val="10"/>
      <color rgb="FF000000"/>
      <name val="Arial"/>
      <family val="2"/>
      <charset val="1"/>
    </font>
    <font>
      <sz val="10"/>
      <color rgb="FF000000"/>
      <name val="Arial"/>
      <family val="2"/>
      <charset val="1"/>
    </font>
    <font>
      <b val="true"/>
      <u val="single"/>
      <sz val="14"/>
      <color rgb="FF602320"/>
      <name val="Calibri"/>
      <family val="2"/>
      <charset val="1"/>
    </font>
    <font>
      <b val="true"/>
      <sz val="10"/>
      <color rgb="FFA32020"/>
      <name val="Arial"/>
      <family val="2"/>
      <charset val="1"/>
    </font>
    <font>
      <i val="true"/>
      <sz val="9"/>
      <color rgb="FF000000"/>
      <name val="Calibri"/>
      <family val="2"/>
      <charset val="1"/>
    </font>
    <font>
      <sz val="10"/>
      <name val="Arial"/>
      <family val="2"/>
      <charset val="1"/>
    </font>
    <font>
      <sz val="14"/>
      <color rgb="FF595959"/>
      <name val="Calibri"/>
      <family val="2"/>
    </font>
    <font>
      <sz val="10"/>
      <name val="Arial"/>
      <family val="2"/>
    </font>
    <font>
      <sz val="9"/>
      <color rgb="FF595959"/>
      <name val="Calibri"/>
      <family val="2"/>
    </font>
    <font>
      <b val="true"/>
      <sz val="9"/>
      <color rgb="FFFFFFFF"/>
      <name val="Calibri"/>
      <family val="2"/>
      <charset val="1"/>
    </font>
    <font>
      <sz val="10"/>
      <color rgb="FFFFFFFF"/>
      <name val="Arial"/>
      <family val="2"/>
      <charset val="1"/>
    </font>
  </fonts>
  <fills count="5">
    <fill>
      <patternFill patternType="none"/>
    </fill>
    <fill>
      <patternFill patternType="gray125"/>
    </fill>
    <fill>
      <patternFill patternType="solid">
        <fgColor rgb="FFF2F2F2"/>
        <bgColor rgb="FFFFFFFF"/>
      </patternFill>
    </fill>
    <fill>
      <patternFill patternType="solid">
        <fgColor rgb="FFFFFF00"/>
        <bgColor rgb="FFFFFF00"/>
      </patternFill>
    </fill>
    <fill>
      <patternFill patternType="solid">
        <fgColor rgb="FF301110"/>
        <bgColor rgb="FF481A18"/>
      </patternFill>
    </fill>
  </fills>
  <borders count="14">
    <border diagonalUp="false" diagonalDown="false">
      <left/>
      <right/>
      <top/>
      <bottom/>
      <diagonal/>
    </border>
    <border diagonalUp="false" diagonalDown="false">
      <left/>
      <right/>
      <top/>
      <bottom style="medium">
        <color rgb="FF602320"/>
      </bottom>
      <diagonal/>
    </border>
    <border diagonalUp="false" diagonalDown="false">
      <left/>
      <right/>
      <top style="medium">
        <color rgb="FF602320"/>
      </top>
      <bottom style="hair">
        <color rgb="FF602320"/>
      </bottom>
      <diagonal/>
    </border>
    <border diagonalUp="false" diagonalDown="false">
      <left/>
      <right/>
      <top style="hair">
        <color rgb="FF602320"/>
      </top>
      <bottom style="hair">
        <color rgb="FF602320"/>
      </bottom>
      <diagonal/>
    </border>
    <border diagonalUp="false" diagonalDown="false">
      <left/>
      <right/>
      <top style="medium"/>
      <bottom style="thin"/>
      <diagonal/>
    </border>
    <border diagonalUp="false" diagonalDown="false">
      <left/>
      <right/>
      <top/>
      <bottom style="medium"/>
      <diagonal/>
    </border>
    <border diagonalUp="false" diagonalDown="false">
      <left style="thin"/>
      <right/>
      <top/>
      <bottom/>
      <diagonal/>
    </border>
    <border diagonalUp="false" diagonalDown="false">
      <left style="medium">
        <color rgb="FF481A18"/>
      </left>
      <right/>
      <top/>
      <bottom/>
      <diagonal/>
    </border>
    <border diagonalUp="false" diagonalDown="false">
      <left/>
      <right/>
      <top style="medium">
        <color rgb="FF481A18"/>
      </top>
      <bottom/>
      <diagonal/>
    </border>
    <border diagonalUp="false" diagonalDown="false">
      <left/>
      <right style="medium">
        <color rgb="FF481A18"/>
      </right>
      <top style="medium">
        <color rgb="FF481A18"/>
      </top>
      <bottom/>
      <diagonal/>
    </border>
    <border diagonalUp="false" diagonalDown="false">
      <left/>
      <right style="medium">
        <color rgb="FF481A18"/>
      </right>
      <top/>
      <bottom/>
      <diagonal/>
    </border>
    <border diagonalUp="false" diagonalDown="false">
      <left style="medium">
        <color rgb="FF481A18"/>
      </left>
      <right/>
      <top/>
      <bottom style="medium">
        <color rgb="FF481A18"/>
      </bottom>
      <diagonal/>
    </border>
    <border diagonalUp="false" diagonalDown="false">
      <left/>
      <right/>
      <top/>
      <bottom style="medium">
        <color rgb="FF481A18"/>
      </bottom>
      <diagonal/>
    </border>
    <border diagonalUp="false" diagonalDown="false">
      <left/>
      <right style="medium">
        <color rgb="FF481A18"/>
      </right>
      <top/>
      <bottom style="medium">
        <color rgb="FF481A18"/>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9" fillId="0" borderId="1" applyFont="true" applyBorder="true" applyAlignment="true" applyProtection="false">
      <alignment horizontal="right" vertical="bottom" textRotation="0" wrapText="true" indent="0" shrinkToFit="false"/>
    </xf>
  </cellStyleXfs>
  <cellXfs count="4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5" fontId="8" fillId="0" borderId="1" xfId="20" applyFont="true" applyBorder="false" applyAlignment="true" applyProtection="true">
      <alignment horizontal="left" vertical="bottom" textRotation="0" wrapText="true" indent="0" shrinkToFit="false"/>
      <protection locked="true" hidden="false"/>
    </xf>
    <xf numFmtId="165" fontId="8" fillId="2" borderId="2" xfId="20" applyFont="true" applyBorder="true" applyAlignment="true" applyProtection="true">
      <alignment horizontal="center" vertical="bottom" textRotation="0" wrapText="true" indent="0" shrinkToFit="false"/>
      <protection locked="true" hidden="false"/>
    </xf>
    <xf numFmtId="166" fontId="10" fillId="0" borderId="3" xfId="15" applyFont="true" applyBorder="true" applyAlignment="true" applyProtection="true">
      <alignment horizontal="left" vertical="bottom" textRotation="0" wrapText="false" indent="0" shrinkToFit="false"/>
      <protection locked="true" hidden="false"/>
    </xf>
    <xf numFmtId="166" fontId="10" fillId="0" borderId="3" xfId="15" applyFont="true" applyBorder="true" applyAlignment="true" applyProtection="true">
      <alignment horizontal="center"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7" fontId="13"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8" fontId="0" fillId="3" borderId="0" xfId="0" applyFont="fals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16" fillId="0" borderId="4" xfId="0" applyFont="true" applyBorder="true" applyAlignment="true" applyProtection="false">
      <alignment horizontal="center" vertical="bottom" textRotation="0" wrapText="false" indent="0" shrinkToFit="false"/>
      <protection locked="true" hidden="false"/>
    </xf>
    <xf numFmtId="170" fontId="0" fillId="0" borderId="0" xfId="0" applyFont="false" applyBorder="true" applyAlignment="tru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70" fontId="17" fillId="3" borderId="0" xfId="0" applyFont="true" applyBorder="false" applyAlignment="false" applyProtection="false">
      <alignment horizontal="general" vertical="bottom" textRotation="0" wrapText="false" indent="0" shrinkToFit="false"/>
      <protection locked="true" hidden="false"/>
    </xf>
    <xf numFmtId="170" fontId="0" fillId="3" borderId="0" xfId="0" applyFont="false" applyBorder="false" applyAlignment="false" applyProtection="false">
      <alignment horizontal="general" vertical="bottom" textRotation="0" wrapText="false" indent="0" shrinkToFit="false"/>
      <protection locked="true" hidden="false"/>
    </xf>
    <xf numFmtId="164" fontId="0" fillId="0" borderId="5" xfId="0" applyFont="false" applyBorder="true" applyAlignment="tru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center"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21" fillId="4" borderId="0" xfId="0" applyFont="true" applyBorder="true" applyAlignment="true" applyProtection="true">
      <alignment horizontal="center" vertical="bottom" textRotation="0" wrapText="true" indent="0" shrinkToFit="false"/>
      <protection locked="true" hidden="false"/>
    </xf>
    <xf numFmtId="164" fontId="22" fillId="4" borderId="0" xfId="0" applyFont="true" applyBorder="true" applyAlignment="true" applyProtection="false">
      <alignment horizontal="center" vertical="bottom" textRotation="0" wrapText="false" indent="0" shrinkToFit="false"/>
      <protection locked="true" hidden="false"/>
    </xf>
    <xf numFmtId="164" fontId="17" fillId="2" borderId="7" xfId="0" applyFont="true" applyBorder="true" applyAlignment="false" applyProtection="false">
      <alignment horizontal="general" vertical="bottom" textRotation="0" wrapText="false" indent="0" shrinkToFit="false"/>
      <protection locked="true" hidden="false"/>
    </xf>
    <xf numFmtId="164" fontId="0" fillId="2" borderId="8" xfId="0" applyFont="false" applyBorder="true" applyAlignment="false" applyProtection="false">
      <alignment horizontal="general" vertical="bottom" textRotation="0" wrapText="false" indent="0" shrinkToFit="false"/>
      <protection locked="true" hidden="false"/>
    </xf>
    <xf numFmtId="164" fontId="0" fillId="2" borderId="9" xfId="0" applyFont="false" applyBorder="true" applyAlignment="false" applyProtection="false">
      <alignment horizontal="general" vertical="bottom" textRotation="0" wrapText="false" indent="0" shrinkToFit="false"/>
      <protection locked="true" hidden="false"/>
    </xf>
    <xf numFmtId="164" fontId="0" fillId="2" borderId="0" xfId="0" applyFont="false" applyBorder="true" applyAlignment="false" applyProtection="false">
      <alignment horizontal="general" vertical="bottom" textRotation="0" wrapText="false" indent="0" shrinkToFit="false"/>
      <protection locked="true" hidden="false"/>
    </xf>
    <xf numFmtId="164" fontId="0" fillId="2" borderId="10" xfId="0" applyFont="false" applyBorder="true" applyAlignment="false" applyProtection="false">
      <alignment horizontal="general" vertical="bottom" textRotation="0" wrapText="false" indent="0" shrinkToFit="false"/>
      <protection locked="true" hidden="false"/>
    </xf>
    <xf numFmtId="164" fontId="17" fillId="2" borderId="7" xfId="0" applyFont="true" applyBorder="true" applyAlignment="true" applyProtection="false">
      <alignment horizontal="general" vertical="bottom" textRotation="0" wrapText="true" indent="0" shrinkToFit="false"/>
      <protection locked="true" hidden="false"/>
    </xf>
    <xf numFmtId="164" fontId="0" fillId="2" borderId="0" xfId="0" applyFont="false" applyBorder="true" applyAlignment="true" applyProtection="false">
      <alignment horizontal="general" vertical="bottom" textRotation="0" wrapText="true" indent="0" shrinkToFit="false"/>
      <protection locked="true" hidden="false"/>
    </xf>
    <xf numFmtId="164" fontId="17" fillId="2" borderId="10" xfId="0" applyFont="true" applyBorder="true" applyAlignment="true" applyProtection="false">
      <alignment horizontal="general" vertical="bottom" textRotation="0" wrapText="true" indent="0" shrinkToFit="false"/>
      <protection locked="true" hidden="false"/>
    </xf>
    <xf numFmtId="164" fontId="0" fillId="2" borderId="11" xfId="0" applyFont="false" applyBorder="true" applyAlignment="false" applyProtection="false">
      <alignment horizontal="general" vertical="bottom" textRotation="0" wrapText="false" indent="0" shrinkToFit="false"/>
      <protection locked="true" hidden="false"/>
    </xf>
    <xf numFmtId="164" fontId="0" fillId="2" borderId="12" xfId="0" applyFont="false" applyBorder="true" applyAlignment="false" applyProtection="false">
      <alignment horizontal="general" vertical="bottom" textRotation="0" wrapText="false" indent="0" shrinkToFit="false"/>
      <protection locked="true" hidden="false"/>
    </xf>
    <xf numFmtId="164" fontId="0" fillId="2" borderId="13" xfId="0" applyFont="false" applyBorder="true" applyAlignment="false" applyProtection="false">
      <alignment horizontal="general" vertical="bottom" textRotation="0" wrapText="false" indent="0" shrinkToFit="false"/>
      <protection locked="true" hidden="false"/>
    </xf>
  </cellXfs>
  <cellStyles count="7">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Excel Built-in Explanatory Text" xfId="20" builtinId="53" customBuiltin="true"/>
  </cellStyles>
  <colors>
    <indexedColors>
      <rgbColor rgb="FF000000"/>
      <rgbColor rgb="FFFFFFFF"/>
      <rgbColor rgb="FFFF0000"/>
      <rgbColor rgb="FF00FF00"/>
      <rgbColor rgb="FF0000FF"/>
      <rgbColor rgb="FFFFFF00"/>
      <rgbColor rgb="FFFF00FF"/>
      <rgbColor rgb="FF00FFFF"/>
      <rgbColor rgb="FF7A1818"/>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E998A6"/>
      <rgbColor rgb="FFCC99FF"/>
      <rgbColor rgb="FFFFCC99"/>
      <rgbColor rgb="FF3366FF"/>
      <rgbColor rgb="FF33CCCC"/>
      <rgbColor rgb="FF99CC00"/>
      <rgbColor rgb="FFFFCC00"/>
      <rgbColor rgb="FFFF9900"/>
      <rgbColor rgb="FFFF6600"/>
      <rgbColor rgb="FF595959"/>
      <rgbColor rgb="FF969696"/>
      <rgbColor rgb="FF003366"/>
      <rgbColor rgb="FF339966"/>
      <rgbColor rgb="FF301110"/>
      <rgbColor rgb="FF481A18"/>
      <rgbColor rgb="FFA32020"/>
      <rgbColor rgb="FF993366"/>
      <rgbColor rgb="FF333399"/>
      <rgbColor rgb="FF60232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Histogram</a:t>
            </a:r>
          </a:p>
        </c:rich>
      </c:tx>
      <c:overlay val="0"/>
      <c:spPr>
        <a:noFill/>
        <a:ln>
          <a:noFill/>
        </a:ln>
      </c:spPr>
    </c:title>
    <c:autoTitleDeleted val="0"/>
    <c:plotArea>
      <c:barChart>
        <c:barDir val="col"/>
        <c:grouping val="clustered"/>
        <c:varyColors val="0"/>
        <c:ser>
          <c:idx val="0"/>
          <c:order val="0"/>
          <c:spPr>
            <a:solidFill>
              <a:srgbClr val="602320"/>
            </a:solidFill>
            <a:ln>
              <a:noFill/>
            </a:ln>
          </c:spPr>
          <c:invertIfNegative val="0"/>
        </c:ser>
        <c:gapWidth val="219"/>
        <c:overlap val="-27"/>
        <c:axId val="2399360"/>
        <c:axId val="2892594"/>
      </c:barChart>
      <c:catAx>
        <c:axId val="2399360"/>
        <c:scaling>
          <c:orientation val="minMax"/>
        </c:scaling>
        <c:delete val="0"/>
        <c:axPos val="b"/>
        <c:numFmt formatCode="MM/DD/YYYY"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2892594"/>
        <c:crosses val="autoZero"/>
        <c:auto val="1"/>
        <c:lblAlgn val="ctr"/>
        <c:lblOffset val="100"/>
      </c:catAx>
      <c:valAx>
        <c:axId val="2892594"/>
        <c:scaling>
          <c:orientation val="minMax"/>
        </c:scaling>
        <c:delete val="0"/>
        <c:axPos val="l"/>
        <c:majorGridlines>
          <c:spPr>
            <a:ln w="9360">
              <a:solidFill>
                <a:srgbClr val="d9d9d9"/>
              </a:solidFill>
              <a:round/>
            </a:ln>
          </c:spPr>
        </c:majorGridlines>
        <c:numFmt formatCode="_(* #,##0_);_(* \(#,##0\);_(* \-_);@_)"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2399360"/>
        <c:crosses val="autoZero"/>
      </c:valAx>
      <c:spPr>
        <a:noFill/>
        <a:ln>
          <a:noFill/>
        </a:ln>
      </c:spPr>
    </c:plotArea>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Histogram</a:t>
            </a:r>
          </a:p>
        </c:rich>
      </c:tx>
      <c:overlay val="0"/>
      <c:spPr>
        <a:noFill/>
        <a:ln>
          <a:noFill/>
        </a:ln>
      </c:spPr>
    </c:title>
    <c:autoTitleDeleted val="0"/>
    <c:plotArea>
      <c:barChart>
        <c:barDir val="col"/>
        <c:grouping val="clustered"/>
        <c:varyColors val="0"/>
        <c:ser>
          <c:idx val="0"/>
          <c:order val="0"/>
          <c:spPr>
            <a:solidFill>
              <a:srgbClr val="602320"/>
            </a:solidFill>
            <a:ln>
              <a:noFill/>
            </a:ln>
          </c:spPr>
          <c:invertIfNegative val="0"/>
        </c:ser>
        <c:gapWidth val="219"/>
        <c:overlap val="-27"/>
        <c:axId val="60712124"/>
        <c:axId val="23330180"/>
      </c:barChart>
      <c:catAx>
        <c:axId val="60712124"/>
        <c:scaling>
          <c:orientation val="minMax"/>
        </c:scaling>
        <c:delete val="0"/>
        <c:axPos val="b"/>
        <c:numFmt formatCode="MM/DD/YYYY"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23330180"/>
        <c:crosses val="autoZero"/>
        <c:auto val="1"/>
        <c:lblAlgn val="ctr"/>
        <c:lblOffset val="100"/>
      </c:catAx>
      <c:valAx>
        <c:axId val="23330180"/>
        <c:scaling>
          <c:orientation val="minMax"/>
        </c:scaling>
        <c:delete val="0"/>
        <c:axPos val="l"/>
        <c:majorGridlines>
          <c:spPr>
            <a:ln w="9360">
              <a:solidFill>
                <a:srgbClr val="d9d9d9"/>
              </a:solidFill>
              <a:round/>
            </a:ln>
          </c:spPr>
        </c:majorGridlines>
        <c:numFmt formatCode="_(* #,##0_);_(* \(#,##0\);_(* \-_);@_)"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60712124"/>
        <c:crosses val="autoZero"/>
      </c:valAx>
      <c:spPr>
        <a:noFill/>
        <a:ln>
          <a:noFill/>
        </a:ln>
      </c:spPr>
    </c:plotArea>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WebsiteVisits</a:t>
            </a:r>
          </a:p>
        </c:rich>
      </c:tx>
      <c:overlay val="0"/>
      <c:spPr>
        <a:noFill/>
        <a:ln>
          <a:noFill/>
        </a:ln>
      </c:spPr>
    </c:title>
    <c:autoTitleDeleted val="0"/>
    <c:plotArea>
      <c:scatterChart>
        <c:scatterStyle val="lineMarker"/>
        <c:varyColors val="0"/>
        <c:ser>
          <c:idx val="0"/>
          <c:order val="0"/>
          <c:tx>
            <c:strRef>
              <c:f>'Data Set'!$C$6</c:f>
              <c:strCache>
                <c:ptCount val="1"/>
                <c:pt idx="0">
                  <c:v>WebsiteVisits </c:v>
                </c:pt>
              </c:strCache>
            </c:strRef>
          </c:tx>
          <c:spPr>
            <a:solidFill>
              <a:srgbClr val="602320"/>
            </a:solidFill>
            <a:ln w="19080">
              <a:noFill/>
            </a:ln>
          </c:spPr>
          <c:marker>
            <c:symbol val="circle"/>
            <c:size val="5"/>
            <c:spPr>
              <a:solidFill>
                <a:srgbClr val="602320"/>
              </a:solidFill>
            </c:spPr>
          </c:marker>
          <c:dLbls>
            <c:numFmt formatCode="#,##0.00_);\(#,##0.00\)" sourceLinked="1"/>
            <c:dLblPos val="r"/>
            <c:showLegendKey val="0"/>
            <c:showVal val="0"/>
            <c:showCatName val="0"/>
            <c:showSerName val="0"/>
            <c:showPercent val="0"/>
            <c:showLeaderLines val="0"/>
          </c:dLbls>
          <c:trendline>
            <c:spPr>
              <a:ln w="19080">
                <a:solidFill>
                  <a:srgbClr val="602320"/>
                </a:solidFill>
                <a:round/>
              </a:ln>
            </c:spPr>
            <c:trendlineType val="linear"/>
            <c:forward val="0"/>
            <c:backward val="0"/>
            <c:dispRSqr val="1"/>
            <c:dispEq val="1"/>
          </c:trendline>
          <c:xVal>
            <c:numRef>
              <c:f>'Data Set'!$B$7:$B$106</c:f>
              <c:numCache>
                <c:formatCode>General</c:formatCode>
                <c:ptCount val="100"/>
                <c:pt idx="0">
                  <c:v>610</c:v>
                </c:pt>
                <c:pt idx="1">
                  <c:v>1135</c:v>
                </c:pt>
                <c:pt idx="2">
                  <c:v>725</c:v>
                </c:pt>
                <c:pt idx="3">
                  <c:v>325</c:v>
                </c:pt>
                <c:pt idx="4">
                  <c:v>1114</c:v>
                </c:pt>
                <c:pt idx="5">
                  <c:v>1031</c:v>
                </c:pt>
                <c:pt idx="6">
                  <c:v>856</c:v>
                </c:pt>
                <c:pt idx="7">
                  <c:v>713</c:v>
                </c:pt>
                <c:pt idx="8">
                  <c:v>544</c:v>
                </c:pt>
                <c:pt idx="9">
                  <c:v>1353</c:v>
                </c:pt>
                <c:pt idx="10">
                  <c:v>1246</c:v>
                </c:pt>
                <c:pt idx="11">
                  <c:v>664</c:v>
                </c:pt>
                <c:pt idx="12">
                  <c:v>709</c:v>
                </c:pt>
                <c:pt idx="13">
                  <c:v>491</c:v>
                </c:pt>
                <c:pt idx="14">
                  <c:v>733</c:v>
                </c:pt>
                <c:pt idx="15">
                  <c:v>1036</c:v>
                </c:pt>
                <c:pt idx="16">
                  <c:v>1044</c:v>
                </c:pt>
                <c:pt idx="17">
                  <c:v>1034</c:v>
                </c:pt>
                <c:pt idx="18">
                  <c:v>543</c:v>
                </c:pt>
                <c:pt idx="19">
                  <c:v>766</c:v>
                </c:pt>
                <c:pt idx="20">
                  <c:v>582</c:v>
                </c:pt>
                <c:pt idx="21">
                  <c:v>774</c:v>
                </c:pt>
                <c:pt idx="22">
                  <c:v>579</c:v>
                </c:pt>
                <c:pt idx="23">
                  <c:v>608</c:v>
                </c:pt>
                <c:pt idx="24">
                  <c:v>564</c:v>
                </c:pt>
                <c:pt idx="25">
                  <c:v>891</c:v>
                </c:pt>
                <c:pt idx="26">
                  <c:v>439</c:v>
                </c:pt>
                <c:pt idx="27">
                  <c:v>694</c:v>
                </c:pt>
                <c:pt idx="28">
                  <c:v>473</c:v>
                </c:pt>
                <c:pt idx="29">
                  <c:v>1081</c:v>
                </c:pt>
                <c:pt idx="30">
                  <c:v>591</c:v>
                </c:pt>
                <c:pt idx="31">
                  <c:v>505</c:v>
                </c:pt>
                <c:pt idx="32">
                  <c:v>707</c:v>
                </c:pt>
                <c:pt idx="33">
                  <c:v>806</c:v>
                </c:pt>
                <c:pt idx="34">
                  <c:v>836</c:v>
                </c:pt>
                <c:pt idx="35">
                  <c:v>985</c:v>
                </c:pt>
                <c:pt idx="36">
                  <c:v>510</c:v>
                </c:pt>
                <c:pt idx="37">
                  <c:v>700</c:v>
                </c:pt>
                <c:pt idx="38">
                  <c:v>449</c:v>
                </c:pt>
                <c:pt idx="39">
                  <c:v>1096</c:v>
                </c:pt>
                <c:pt idx="40">
                  <c:v>747</c:v>
                </c:pt>
                <c:pt idx="41">
                  <c:v>128</c:v>
                </c:pt>
                <c:pt idx="42">
                  <c:v>524</c:v>
                </c:pt>
                <c:pt idx="43">
                  <c:v>844</c:v>
                </c:pt>
                <c:pt idx="44">
                  <c:v>633</c:v>
                </c:pt>
                <c:pt idx="45">
                  <c:v>1041</c:v>
                </c:pt>
                <c:pt idx="46">
                  <c:v>581</c:v>
                </c:pt>
                <c:pt idx="47">
                  <c:v>1331</c:v>
                </c:pt>
                <c:pt idx="48">
                  <c:v>551</c:v>
                </c:pt>
                <c:pt idx="49">
                  <c:v>413</c:v>
                </c:pt>
                <c:pt idx="50">
                  <c:v>357</c:v>
                </c:pt>
                <c:pt idx="51">
                  <c:v>630</c:v>
                </c:pt>
                <c:pt idx="52">
                  <c:v>511</c:v>
                </c:pt>
                <c:pt idx="53">
                  <c:v>858</c:v>
                </c:pt>
                <c:pt idx="54">
                  <c:v>1376</c:v>
                </c:pt>
                <c:pt idx="55">
                  <c:v>557</c:v>
                </c:pt>
                <c:pt idx="56">
                  <c:v>812</c:v>
                </c:pt>
                <c:pt idx="57">
                  <c:v>776</c:v>
                </c:pt>
                <c:pt idx="58">
                  <c:v>821</c:v>
                </c:pt>
                <c:pt idx="59">
                  <c:v>846</c:v>
                </c:pt>
                <c:pt idx="60">
                  <c:v>694</c:v>
                </c:pt>
                <c:pt idx="61">
                  <c:v>737</c:v>
                </c:pt>
                <c:pt idx="62">
                  <c:v>285</c:v>
                </c:pt>
                <c:pt idx="63">
                  <c:v>586</c:v>
                </c:pt>
                <c:pt idx="64">
                  <c:v>1362</c:v>
                </c:pt>
                <c:pt idx="65">
                  <c:v>544</c:v>
                </c:pt>
                <c:pt idx="66">
                  <c:v>572</c:v>
                </c:pt>
                <c:pt idx="67">
                  <c:v>449</c:v>
                </c:pt>
                <c:pt idx="68">
                  <c:v>944</c:v>
                </c:pt>
                <c:pt idx="69">
                  <c:v>752</c:v>
                </c:pt>
                <c:pt idx="70">
                  <c:v>871</c:v>
                </c:pt>
                <c:pt idx="71">
                  <c:v>927</c:v>
                </c:pt>
                <c:pt idx="72">
                  <c:v>633</c:v>
                </c:pt>
                <c:pt idx="73">
                  <c:v>1031</c:v>
                </c:pt>
                <c:pt idx="74">
                  <c:v>210</c:v>
                </c:pt>
                <c:pt idx="75">
                  <c:v>607</c:v>
                </c:pt>
                <c:pt idx="76">
                  <c:v>589</c:v>
                </c:pt>
                <c:pt idx="77">
                  <c:v>352</c:v>
                </c:pt>
                <c:pt idx="78">
                  <c:v>917</c:v>
                </c:pt>
                <c:pt idx="79">
                  <c:v>826</c:v>
                </c:pt>
                <c:pt idx="80">
                  <c:v>734</c:v>
                </c:pt>
                <c:pt idx="81">
                  <c:v>1048</c:v>
                </c:pt>
                <c:pt idx="82">
                  <c:v>1085</c:v>
                </c:pt>
                <c:pt idx="83">
                  <c:v>534</c:v>
                </c:pt>
                <c:pt idx="84">
                  <c:v>779</c:v>
                </c:pt>
                <c:pt idx="85">
                  <c:v>543</c:v>
                </c:pt>
                <c:pt idx="86">
                  <c:v>350</c:v>
                </c:pt>
                <c:pt idx="87">
                  <c:v>1001</c:v>
                </c:pt>
                <c:pt idx="88">
                  <c:v>306</c:v>
                </c:pt>
                <c:pt idx="89">
                  <c:v>976</c:v>
                </c:pt>
                <c:pt idx="90">
                  <c:v>958</c:v>
                </c:pt>
                <c:pt idx="91">
                  <c:v>922</c:v>
                </c:pt>
                <c:pt idx="92">
                  <c:v>572</c:v>
                </c:pt>
                <c:pt idx="93">
                  <c:v>1324</c:v>
                </c:pt>
                <c:pt idx="94">
                  <c:v>1150</c:v>
                </c:pt>
                <c:pt idx="95">
                  <c:v>688</c:v>
                </c:pt>
                <c:pt idx="96">
                  <c:v>1022</c:v>
                </c:pt>
                <c:pt idx="97">
                  <c:v>811</c:v>
                </c:pt>
                <c:pt idx="98">
                  <c:v>1037</c:v>
                </c:pt>
                <c:pt idx="99">
                  <c:v>739</c:v>
                </c:pt>
              </c:numCache>
            </c:numRef>
          </c:xVal>
          <c:yVal>
            <c:numRef>
              <c:f>'Data Set'!$C$7:$C$106</c:f>
              <c:numCache>
                <c:formatCode>General</c:formatCode>
                <c:ptCount val="100"/>
                <c:pt idx="0">
                  <c:v>16211</c:v>
                </c:pt>
                <c:pt idx="1">
                  <c:v>33564</c:v>
                </c:pt>
                <c:pt idx="2">
                  <c:v>13596</c:v>
                </c:pt>
                <c:pt idx="3">
                  <c:v>6516</c:v>
                </c:pt>
                <c:pt idx="4">
                  <c:v>28869</c:v>
                </c:pt>
                <c:pt idx="5">
                  <c:v>20657</c:v>
                </c:pt>
                <c:pt idx="6">
                  <c:v>28396</c:v>
                </c:pt>
                <c:pt idx="7">
                  <c:v>28863</c:v>
                </c:pt>
                <c:pt idx="8">
                  <c:v>23748</c:v>
                </c:pt>
                <c:pt idx="9">
                  <c:v>35529</c:v>
                </c:pt>
                <c:pt idx="10">
                  <c:v>31512</c:v>
                </c:pt>
                <c:pt idx="11">
                  <c:v>15828</c:v>
                </c:pt>
                <c:pt idx="12">
                  <c:v>21825</c:v>
                </c:pt>
                <c:pt idx="13">
                  <c:v>16702</c:v>
                </c:pt>
                <c:pt idx="14">
                  <c:v>22022</c:v>
                </c:pt>
                <c:pt idx="15">
                  <c:v>25165</c:v>
                </c:pt>
                <c:pt idx="16">
                  <c:v>19478</c:v>
                </c:pt>
                <c:pt idx="17">
                  <c:v>24126</c:v>
                </c:pt>
                <c:pt idx="18">
                  <c:v>12011</c:v>
                </c:pt>
                <c:pt idx="19">
                  <c:v>23548</c:v>
                </c:pt>
                <c:pt idx="20">
                  <c:v>15179</c:v>
                </c:pt>
                <c:pt idx="21">
                  <c:v>20239</c:v>
                </c:pt>
                <c:pt idx="22">
                  <c:v>14604</c:v>
                </c:pt>
                <c:pt idx="23">
                  <c:v>23984</c:v>
                </c:pt>
                <c:pt idx="24">
                  <c:v>13886</c:v>
                </c:pt>
                <c:pt idx="25">
                  <c:v>20208</c:v>
                </c:pt>
                <c:pt idx="26">
                  <c:v>7648</c:v>
                </c:pt>
                <c:pt idx="27">
                  <c:v>23363</c:v>
                </c:pt>
                <c:pt idx="28">
                  <c:v>17564</c:v>
                </c:pt>
                <c:pt idx="29">
                  <c:v>26423</c:v>
                </c:pt>
                <c:pt idx="30">
                  <c:v>9159</c:v>
                </c:pt>
                <c:pt idx="31">
                  <c:v>10359</c:v>
                </c:pt>
                <c:pt idx="32">
                  <c:v>18196</c:v>
                </c:pt>
                <c:pt idx="33">
                  <c:v>18907</c:v>
                </c:pt>
                <c:pt idx="34">
                  <c:v>31227</c:v>
                </c:pt>
                <c:pt idx="35">
                  <c:v>25332</c:v>
                </c:pt>
                <c:pt idx="36">
                  <c:v>6866</c:v>
                </c:pt>
                <c:pt idx="37">
                  <c:v>23184</c:v>
                </c:pt>
                <c:pt idx="38">
                  <c:v>17631</c:v>
                </c:pt>
                <c:pt idx="39">
                  <c:v>31239</c:v>
                </c:pt>
                <c:pt idx="40">
                  <c:v>7774</c:v>
                </c:pt>
                <c:pt idx="41">
                  <c:v>6918</c:v>
                </c:pt>
                <c:pt idx="42">
                  <c:v>21821</c:v>
                </c:pt>
                <c:pt idx="43">
                  <c:v>19865</c:v>
                </c:pt>
                <c:pt idx="44">
                  <c:v>11124</c:v>
                </c:pt>
                <c:pt idx="45">
                  <c:v>24879</c:v>
                </c:pt>
                <c:pt idx="46">
                  <c:v>14125</c:v>
                </c:pt>
                <c:pt idx="47">
                  <c:v>42990</c:v>
                </c:pt>
                <c:pt idx="48">
                  <c:v>13641</c:v>
                </c:pt>
                <c:pt idx="49">
                  <c:v>7582</c:v>
                </c:pt>
                <c:pt idx="50">
                  <c:v>6681</c:v>
                </c:pt>
                <c:pt idx="51">
                  <c:v>17233</c:v>
                </c:pt>
                <c:pt idx="52">
                  <c:v>11035</c:v>
                </c:pt>
                <c:pt idx="53">
                  <c:v>23923</c:v>
                </c:pt>
                <c:pt idx="54">
                  <c:v>30318</c:v>
                </c:pt>
                <c:pt idx="55">
                  <c:v>20609</c:v>
                </c:pt>
                <c:pt idx="56">
                  <c:v>19226</c:v>
                </c:pt>
                <c:pt idx="57">
                  <c:v>24259</c:v>
                </c:pt>
                <c:pt idx="58">
                  <c:v>21590</c:v>
                </c:pt>
                <c:pt idx="59">
                  <c:v>12145</c:v>
                </c:pt>
                <c:pt idx="60">
                  <c:v>18937</c:v>
                </c:pt>
                <c:pt idx="61">
                  <c:v>21651</c:v>
                </c:pt>
                <c:pt idx="62">
                  <c:v>6042</c:v>
                </c:pt>
                <c:pt idx="63">
                  <c:v>16913</c:v>
                </c:pt>
                <c:pt idx="64">
                  <c:v>28918</c:v>
                </c:pt>
                <c:pt idx="65">
                  <c:v>8576</c:v>
                </c:pt>
                <c:pt idx="66">
                  <c:v>10169</c:v>
                </c:pt>
                <c:pt idx="67">
                  <c:v>7947</c:v>
                </c:pt>
                <c:pt idx="68">
                  <c:v>25512</c:v>
                </c:pt>
                <c:pt idx="69">
                  <c:v>16355</c:v>
                </c:pt>
                <c:pt idx="70">
                  <c:v>20529</c:v>
                </c:pt>
                <c:pt idx="71">
                  <c:v>30236</c:v>
                </c:pt>
                <c:pt idx="72">
                  <c:v>12748</c:v>
                </c:pt>
                <c:pt idx="73">
                  <c:v>22205</c:v>
                </c:pt>
                <c:pt idx="74">
                  <c:v>1991</c:v>
                </c:pt>
                <c:pt idx="75">
                  <c:v>31919</c:v>
                </c:pt>
                <c:pt idx="76">
                  <c:v>9521</c:v>
                </c:pt>
                <c:pt idx="77">
                  <c:v>14238</c:v>
                </c:pt>
                <c:pt idx="78">
                  <c:v>21714</c:v>
                </c:pt>
                <c:pt idx="79">
                  <c:v>24143</c:v>
                </c:pt>
                <c:pt idx="80">
                  <c:v>16728</c:v>
                </c:pt>
                <c:pt idx="81">
                  <c:v>29774</c:v>
                </c:pt>
                <c:pt idx="82">
                  <c:v>24263</c:v>
                </c:pt>
                <c:pt idx="83">
                  <c:v>23612</c:v>
                </c:pt>
                <c:pt idx="84">
                  <c:v>20990</c:v>
                </c:pt>
                <c:pt idx="85">
                  <c:v>8486</c:v>
                </c:pt>
                <c:pt idx="86">
                  <c:v>13111</c:v>
                </c:pt>
                <c:pt idx="87">
                  <c:v>28203</c:v>
                </c:pt>
                <c:pt idx="88">
                  <c:v>15731</c:v>
                </c:pt>
                <c:pt idx="89">
                  <c:v>28684</c:v>
                </c:pt>
                <c:pt idx="90">
                  <c:v>23090</c:v>
                </c:pt>
                <c:pt idx="91">
                  <c:v>28440</c:v>
                </c:pt>
                <c:pt idx="92">
                  <c:v>13455</c:v>
                </c:pt>
                <c:pt idx="93">
                  <c:v>22624</c:v>
                </c:pt>
                <c:pt idx="94">
                  <c:v>31787</c:v>
                </c:pt>
                <c:pt idx="95">
                  <c:v>23261</c:v>
                </c:pt>
                <c:pt idx="96">
                  <c:v>37393</c:v>
                </c:pt>
                <c:pt idx="97">
                  <c:v>25225</c:v>
                </c:pt>
                <c:pt idx="98">
                  <c:v>26127</c:v>
                </c:pt>
                <c:pt idx="99">
                  <c:v>20104</c:v>
                </c:pt>
              </c:numCache>
            </c:numRef>
          </c:yVal>
          <c:smooth val="0"/>
        </c:ser>
        <c:axId val="72457008"/>
        <c:axId val="103778"/>
      </c:scatterChart>
      <c:valAx>
        <c:axId val="72457008"/>
        <c:scaling>
          <c:orientation val="minMax"/>
        </c:scaling>
        <c:delete val="0"/>
        <c:axPos val="b"/>
        <c:majorGridlines>
          <c:spPr>
            <a:ln w="9360">
              <a:solidFill>
                <a:srgbClr val="d9d9d9"/>
              </a:solidFill>
              <a:round/>
            </a:ln>
          </c:spPr>
        </c:majorGridlines>
        <c:numFmt formatCode="#,##0.00_);\(#,##0.00\)"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103778"/>
        <c:crosses val="autoZero"/>
        <c:crossBetween val="midCat"/>
      </c:valAx>
      <c:valAx>
        <c:axId val="103778"/>
        <c:scaling>
          <c:orientation val="minMax"/>
        </c:scaling>
        <c:delete val="0"/>
        <c:axPos val="l"/>
        <c:majorGridlines>
          <c:spPr>
            <a:ln w="9360">
              <a:solidFill>
                <a:srgbClr val="d9d9d9"/>
              </a:solidFill>
              <a:round/>
            </a:ln>
          </c:spPr>
        </c:majorGridlines>
        <c:numFmt formatCode="#,##0.00_);\(#,##0.00\)"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72457008"/>
        <c:crosses val="autoZero"/>
        <c:crossBetween val="midCat"/>
      </c:valAx>
      <c:spPr>
        <a:noFill/>
        <a:ln>
          <a:noFill/>
        </a:ln>
      </c:spPr>
    </c:plotArea>
    <c:plotVisOnly val="1"/>
    <c:dispBlanksAs val="gap"/>
  </c:chart>
  <c:spPr>
    <a:solidFill>
      <a:srgbClr val="ffffff"/>
    </a:solidFill>
    <a:ln w="9360">
      <a:solidFill>
        <a:srgbClr val="d9d9d9"/>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WebsiteVisits</a:t>
            </a:r>
          </a:p>
        </c:rich>
      </c:tx>
      <c:overlay val="0"/>
      <c:spPr>
        <a:noFill/>
        <a:ln>
          <a:noFill/>
        </a:ln>
      </c:spPr>
    </c:title>
    <c:autoTitleDeleted val="0"/>
    <c:plotArea>
      <c:scatterChart>
        <c:scatterStyle val="lineMarker"/>
        <c:varyColors val="0"/>
        <c:ser>
          <c:idx val="0"/>
          <c:order val="0"/>
          <c:tx>
            <c:strRef>
              <c:f>'Data Set'!$C$6</c:f>
              <c:strCache>
                <c:ptCount val="1"/>
                <c:pt idx="0">
                  <c:v>WebsiteVisits </c:v>
                </c:pt>
              </c:strCache>
            </c:strRef>
          </c:tx>
          <c:spPr>
            <a:solidFill>
              <a:srgbClr val="602320"/>
            </a:solidFill>
            <a:ln w="25560">
              <a:noFill/>
            </a:ln>
          </c:spPr>
          <c:marker>
            <c:symbol val="circle"/>
            <c:size val="5"/>
            <c:spPr>
              <a:solidFill>
                <a:srgbClr val="602320"/>
              </a:solidFill>
            </c:spPr>
          </c:marker>
          <c:dLbls>
            <c:numFmt formatCode="#,##0.00_);\(#,##0.00\)" sourceLinked="1"/>
            <c:dLblPos val="r"/>
            <c:showLegendKey val="0"/>
            <c:showVal val="0"/>
            <c:showCatName val="0"/>
            <c:showSerName val="0"/>
            <c:showPercent val="0"/>
            <c:showLeaderLines val="0"/>
          </c:dLbls>
          <c:trendline>
            <c:spPr>
              <a:ln w="19080">
                <a:solidFill>
                  <a:srgbClr val="602320"/>
                </a:solidFill>
                <a:round/>
              </a:ln>
            </c:spPr>
            <c:trendlineType val="linear"/>
            <c:forward val="300"/>
            <c:backward val="0"/>
            <c:dispRSqr val="1"/>
            <c:dispEq val="1"/>
          </c:trendline>
          <c:xVal>
            <c:numRef>
              <c:f>'Data Set'!$B$7:$B$106</c:f>
              <c:numCache>
                <c:formatCode>General</c:formatCode>
                <c:ptCount val="100"/>
                <c:pt idx="0">
                  <c:v>610</c:v>
                </c:pt>
                <c:pt idx="1">
                  <c:v>1135</c:v>
                </c:pt>
                <c:pt idx="2">
                  <c:v>725</c:v>
                </c:pt>
                <c:pt idx="3">
                  <c:v>325</c:v>
                </c:pt>
                <c:pt idx="4">
                  <c:v>1114</c:v>
                </c:pt>
                <c:pt idx="5">
                  <c:v>1031</c:v>
                </c:pt>
                <c:pt idx="6">
                  <c:v>856</c:v>
                </c:pt>
                <c:pt idx="7">
                  <c:v>713</c:v>
                </c:pt>
                <c:pt idx="8">
                  <c:v>544</c:v>
                </c:pt>
                <c:pt idx="9">
                  <c:v>1353</c:v>
                </c:pt>
                <c:pt idx="10">
                  <c:v>1246</c:v>
                </c:pt>
                <c:pt idx="11">
                  <c:v>664</c:v>
                </c:pt>
                <c:pt idx="12">
                  <c:v>709</c:v>
                </c:pt>
                <c:pt idx="13">
                  <c:v>491</c:v>
                </c:pt>
                <c:pt idx="14">
                  <c:v>733</c:v>
                </c:pt>
                <c:pt idx="15">
                  <c:v>1036</c:v>
                </c:pt>
                <c:pt idx="16">
                  <c:v>1044</c:v>
                </c:pt>
                <c:pt idx="17">
                  <c:v>1034</c:v>
                </c:pt>
                <c:pt idx="18">
                  <c:v>543</c:v>
                </c:pt>
                <c:pt idx="19">
                  <c:v>766</c:v>
                </c:pt>
                <c:pt idx="20">
                  <c:v>582</c:v>
                </c:pt>
                <c:pt idx="21">
                  <c:v>774</c:v>
                </c:pt>
                <c:pt idx="22">
                  <c:v>579</c:v>
                </c:pt>
                <c:pt idx="23">
                  <c:v>608</c:v>
                </c:pt>
                <c:pt idx="24">
                  <c:v>564</c:v>
                </c:pt>
                <c:pt idx="25">
                  <c:v>891</c:v>
                </c:pt>
                <c:pt idx="26">
                  <c:v>439</c:v>
                </c:pt>
                <c:pt idx="27">
                  <c:v>694</c:v>
                </c:pt>
                <c:pt idx="28">
                  <c:v>473</c:v>
                </c:pt>
                <c:pt idx="29">
                  <c:v>1081</c:v>
                </c:pt>
                <c:pt idx="30">
                  <c:v>591</c:v>
                </c:pt>
                <c:pt idx="31">
                  <c:v>505</c:v>
                </c:pt>
                <c:pt idx="32">
                  <c:v>707</c:v>
                </c:pt>
                <c:pt idx="33">
                  <c:v>806</c:v>
                </c:pt>
                <c:pt idx="34">
                  <c:v>836</c:v>
                </c:pt>
                <c:pt idx="35">
                  <c:v>985</c:v>
                </c:pt>
                <c:pt idx="36">
                  <c:v>510</c:v>
                </c:pt>
                <c:pt idx="37">
                  <c:v>700</c:v>
                </c:pt>
                <c:pt idx="38">
                  <c:v>449</c:v>
                </c:pt>
                <c:pt idx="39">
                  <c:v>1096</c:v>
                </c:pt>
                <c:pt idx="40">
                  <c:v>747</c:v>
                </c:pt>
                <c:pt idx="41">
                  <c:v>128</c:v>
                </c:pt>
                <c:pt idx="42">
                  <c:v>524</c:v>
                </c:pt>
                <c:pt idx="43">
                  <c:v>844</c:v>
                </c:pt>
                <c:pt idx="44">
                  <c:v>633</c:v>
                </c:pt>
                <c:pt idx="45">
                  <c:v>1041</c:v>
                </c:pt>
                <c:pt idx="46">
                  <c:v>581</c:v>
                </c:pt>
                <c:pt idx="47">
                  <c:v>1331</c:v>
                </c:pt>
                <c:pt idx="48">
                  <c:v>551</c:v>
                </c:pt>
                <c:pt idx="49">
                  <c:v>413</c:v>
                </c:pt>
                <c:pt idx="50">
                  <c:v>357</c:v>
                </c:pt>
                <c:pt idx="51">
                  <c:v>630</c:v>
                </c:pt>
                <c:pt idx="52">
                  <c:v>511</c:v>
                </c:pt>
                <c:pt idx="53">
                  <c:v>858</c:v>
                </c:pt>
                <c:pt idx="54">
                  <c:v>1376</c:v>
                </c:pt>
                <c:pt idx="55">
                  <c:v>557</c:v>
                </c:pt>
                <c:pt idx="56">
                  <c:v>812</c:v>
                </c:pt>
                <c:pt idx="57">
                  <c:v>776</c:v>
                </c:pt>
                <c:pt idx="58">
                  <c:v>821</c:v>
                </c:pt>
                <c:pt idx="59">
                  <c:v>846</c:v>
                </c:pt>
                <c:pt idx="60">
                  <c:v>694</c:v>
                </c:pt>
                <c:pt idx="61">
                  <c:v>737</c:v>
                </c:pt>
                <c:pt idx="62">
                  <c:v>285</c:v>
                </c:pt>
                <c:pt idx="63">
                  <c:v>586</c:v>
                </c:pt>
                <c:pt idx="64">
                  <c:v>1362</c:v>
                </c:pt>
                <c:pt idx="65">
                  <c:v>544</c:v>
                </c:pt>
                <c:pt idx="66">
                  <c:v>572</c:v>
                </c:pt>
                <c:pt idx="67">
                  <c:v>449</c:v>
                </c:pt>
                <c:pt idx="68">
                  <c:v>944</c:v>
                </c:pt>
                <c:pt idx="69">
                  <c:v>752</c:v>
                </c:pt>
                <c:pt idx="70">
                  <c:v>871</c:v>
                </c:pt>
                <c:pt idx="71">
                  <c:v>927</c:v>
                </c:pt>
                <c:pt idx="72">
                  <c:v>633</c:v>
                </c:pt>
                <c:pt idx="73">
                  <c:v>1031</c:v>
                </c:pt>
                <c:pt idx="74">
                  <c:v>210</c:v>
                </c:pt>
                <c:pt idx="75">
                  <c:v>607</c:v>
                </c:pt>
                <c:pt idx="76">
                  <c:v>589</c:v>
                </c:pt>
                <c:pt idx="77">
                  <c:v>352</c:v>
                </c:pt>
                <c:pt idx="78">
                  <c:v>917</c:v>
                </c:pt>
                <c:pt idx="79">
                  <c:v>826</c:v>
                </c:pt>
                <c:pt idx="80">
                  <c:v>734</c:v>
                </c:pt>
                <c:pt idx="81">
                  <c:v>1048</c:v>
                </c:pt>
                <c:pt idx="82">
                  <c:v>1085</c:v>
                </c:pt>
                <c:pt idx="83">
                  <c:v>534</c:v>
                </c:pt>
                <c:pt idx="84">
                  <c:v>779</c:v>
                </c:pt>
                <c:pt idx="85">
                  <c:v>543</c:v>
                </c:pt>
                <c:pt idx="86">
                  <c:v>350</c:v>
                </c:pt>
                <c:pt idx="87">
                  <c:v>1001</c:v>
                </c:pt>
                <c:pt idx="88">
                  <c:v>306</c:v>
                </c:pt>
                <c:pt idx="89">
                  <c:v>976</c:v>
                </c:pt>
                <c:pt idx="90">
                  <c:v>958</c:v>
                </c:pt>
                <c:pt idx="91">
                  <c:v>922</c:v>
                </c:pt>
                <c:pt idx="92">
                  <c:v>572</c:v>
                </c:pt>
                <c:pt idx="93">
                  <c:v>1324</c:v>
                </c:pt>
                <c:pt idx="94">
                  <c:v>1150</c:v>
                </c:pt>
                <c:pt idx="95">
                  <c:v>688</c:v>
                </c:pt>
                <c:pt idx="96">
                  <c:v>1022</c:v>
                </c:pt>
                <c:pt idx="97">
                  <c:v>811</c:v>
                </c:pt>
                <c:pt idx="98">
                  <c:v>1037</c:v>
                </c:pt>
                <c:pt idx="99">
                  <c:v>739</c:v>
                </c:pt>
              </c:numCache>
            </c:numRef>
          </c:xVal>
          <c:yVal>
            <c:numRef>
              <c:f>'Data Set'!$C$7:$C$106</c:f>
              <c:numCache>
                <c:formatCode>General</c:formatCode>
                <c:ptCount val="100"/>
                <c:pt idx="0">
                  <c:v>16211</c:v>
                </c:pt>
                <c:pt idx="1">
                  <c:v>33564</c:v>
                </c:pt>
                <c:pt idx="2">
                  <c:v>13596</c:v>
                </c:pt>
                <c:pt idx="3">
                  <c:v>6516</c:v>
                </c:pt>
                <c:pt idx="4">
                  <c:v>28869</c:v>
                </c:pt>
                <c:pt idx="5">
                  <c:v>20657</c:v>
                </c:pt>
                <c:pt idx="6">
                  <c:v>28396</c:v>
                </c:pt>
                <c:pt idx="7">
                  <c:v>28863</c:v>
                </c:pt>
                <c:pt idx="8">
                  <c:v>23748</c:v>
                </c:pt>
                <c:pt idx="9">
                  <c:v>35529</c:v>
                </c:pt>
                <c:pt idx="10">
                  <c:v>31512</c:v>
                </c:pt>
                <c:pt idx="11">
                  <c:v>15828</c:v>
                </c:pt>
                <c:pt idx="12">
                  <c:v>21825</c:v>
                </c:pt>
                <c:pt idx="13">
                  <c:v>16702</c:v>
                </c:pt>
                <c:pt idx="14">
                  <c:v>22022</c:v>
                </c:pt>
                <c:pt idx="15">
                  <c:v>25165</c:v>
                </c:pt>
                <c:pt idx="16">
                  <c:v>19478</c:v>
                </c:pt>
                <c:pt idx="17">
                  <c:v>24126</c:v>
                </c:pt>
                <c:pt idx="18">
                  <c:v>12011</c:v>
                </c:pt>
                <c:pt idx="19">
                  <c:v>23548</c:v>
                </c:pt>
                <c:pt idx="20">
                  <c:v>15179</c:v>
                </c:pt>
                <c:pt idx="21">
                  <c:v>20239</c:v>
                </c:pt>
                <c:pt idx="22">
                  <c:v>14604</c:v>
                </c:pt>
                <c:pt idx="23">
                  <c:v>23984</c:v>
                </c:pt>
                <c:pt idx="24">
                  <c:v>13886</c:v>
                </c:pt>
                <c:pt idx="25">
                  <c:v>20208</c:v>
                </c:pt>
                <c:pt idx="26">
                  <c:v>7648</c:v>
                </c:pt>
                <c:pt idx="27">
                  <c:v>23363</c:v>
                </c:pt>
                <c:pt idx="28">
                  <c:v>17564</c:v>
                </c:pt>
                <c:pt idx="29">
                  <c:v>26423</c:v>
                </c:pt>
                <c:pt idx="30">
                  <c:v>9159</c:v>
                </c:pt>
                <c:pt idx="31">
                  <c:v>10359</c:v>
                </c:pt>
                <c:pt idx="32">
                  <c:v>18196</c:v>
                </c:pt>
                <c:pt idx="33">
                  <c:v>18907</c:v>
                </c:pt>
                <c:pt idx="34">
                  <c:v>31227</c:v>
                </c:pt>
                <c:pt idx="35">
                  <c:v>25332</c:v>
                </c:pt>
                <c:pt idx="36">
                  <c:v>6866</c:v>
                </c:pt>
                <c:pt idx="37">
                  <c:v>23184</c:v>
                </c:pt>
                <c:pt idx="38">
                  <c:v>17631</c:v>
                </c:pt>
                <c:pt idx="39">
                  <c:v>31239</c:v>
                </c:pt>
                <c:pt idx="40">
                  <c:v>7774</c:v>
                </c:pt>
                <c:pt idx="41">
                  <c:v>6918</c:v>
                </c:pt>
                <c:pt idx="42">
                  <c:v>21821</c:v>
                </c:pt>
                <c:pt idx="43">
                  <c:v>19865</c:v>
                </c:pt>
                <c:pt idx="44">
                  <c:v>11124</c:v>
                </c:pt>
                <c:pt idx="45">
                  <c:v>24879</c:v>
                </c:pt>
                <c:pt idx="46">
                  <c:v>14125</c:v>
                </c:pt>
                <c:pt idx="47">
                  <c:v>42990</c:v>
                </c:pt>
                <c:pt idx="48">
                  <c:v>13641</c:v>
                </c:pt>
                <c:pt idx="49">
                  <c:v>7582</c:v>
                </c:pt>
                <c:pt idx="50">
                  <c:v>6681</c:v>
                </c:pt>
                <c:pt idx="51">
                  <c:v>17233</c:v>
                </c:pt>
                <c:pt idx="52">
                  <c:v>11035</c:v>
                </c:pt>
                <c:pt idx="53">
                  <c:v>23923</c:v>
                </c:pt>
                <c:pt idx="54">
                  <c:v>30318</c:v>
                </c:pt>
                <c:pt idx="55">
                  <c:v>20609</c:v>
                </c:pt>
                <c:pt idx="56">
                  <c:v>19226</c:v>
                </c:pt>
                <c:pt idx="57">
                  <c:v>24259</c:v>
                </c:pt>
                <c:pt idx="58">
                  <c:v>21590</c:v>
                </c:pt>
                <c:pt idx="59">
                  <c:v>12145</c:v>
                </c:pt>
                <c:pt idx="60">
                  <c:v>18937</c:v>
                </c:pt>
                <c:pt idx="61">
                  <c:v>21651</c:v>
                </c:pt>
                <c:pt idx="62">
                  <c:v>6042</c:v>
                </c:pt>
                <c:pt idx="63">
                  <c:v>16913</c:v>
                </c:pt>
                <c:pt idx="64">
                  <c:v>28918</c:v>
                </c:pt>
                <c:pt idx="65">
                  <c:v>8576</c:v>
                </c:pt>
                <c:pt idx="66">
                  <c:v>10169</c:v>
                </c:pt>
                <c:pt idx="67">
                  <c:v>7947</c:v>
                </c:pt>
                <c:pt idx="68">
                  <c:v>25512</c:v>
                </c:pt>
                <c:pt idx="69">
                  <c:v>16355</c:v>
                </c:pt>
                <c:pt idx="70">
                  <c:v>20529</c:v>
                </c:pt>
                <c:pt idx="71">
                  <c:v>30236</c:v>
                </c:pt>
                <c:pt idx="72">
                  <c:v>12748</c:v>
                </c:pt>
                <c:pt idx="73">
                  <c:v>22205</c:v>
                </c:pt>
                <c:pt idx="74">
                  <c:v>1991</c:v>
                </c:pt>
                <c:pt idx="75">
                  <c:v>31919</c:v>
                </c:pt>
                <c:pt idx="76">
                  <c:v>9521</c:v>
                </c:pt>
                <c:pt idx="77">
                  <c:v>14238</c:v>
                </c:pt>
                <c:pt idx="78">
                  <c:v>21714</c:v>
                </c:pt>
                <c:pt idx="79">
                  <c:v>24143</c:v>
                </c:pt>
                <c:pt idx="80">
                  <c:v>16728</c:v>
                </c:pt>
                <c:pt idx="81">
                  <c:v>29774</c:v>
                </c:pt>
                <c:pt idx="82">
                  <c:v>24263</c:v>
                </c:pt>
                <c:pt idx="83">
                  <c:v>23612</c:v>
                </c:pt>
                <c:pt idx="84">
                  <c:v>20990</c:v>
                </c:pt>
                <c:pt idx="85">
                  <c:v>8486</c:v>
                </c:pt>
                <c:pt idx="86">
                  <c:v>13111</c:v>
                </c:pt>
                <c:pt idx="87">
                  <c:v>28203</c:v>
                </c:pt>
                <c:pt idx="88">
                  <c:v>15731</c:v>
                </c:pt>
                <c:pt idx="89">
                  <c:v>28684</c:v>
                </c:pt>
                <c:pt idx="90">
                  <c:v>23090</c:v>
                </c:pt>
                <c:pt idx="91">
                  <c:v>28440</c:v>
                </c:pt>
                <c:pt idx="92">
                  <c:v>13455</c:v>
                </c:pt>
                <c:pt idx="93">
                  <c:v>22624</c:v>
                </c:pt>
                <c:pt idx="94">
                  <c:v>31787</c:v>
                </c:pt>
                <c:pt idx="95">
                  <c:v>23261</c:v>
                </c:pt>
                <c:pt idx="96">
                  <c:v>37393</c:v>
                </c:pt>
                <c:pt idx="97">
                  <c:v>25225</c:v>
                </c:pt>
                <c:pt idx="98">
                  <c:v>26127</c:v>
                </c:pt>
                <c:pt idx="99">
                  <c:v>20104</c:v>
                </c:pt>
              </c:numCache>
            </c:numRef>
          </c:yVal>
          <c:smooth val="0"/>
        </c:ser>
        <c:axId val="3665016"/>
        <c:axId val="9547851"/>
      </c:scatterChart>
      <c:valAx>
        <c:axId val="3665016"/>
        <c:scaling>
          <c:orientation val="minMax"/>
        </c:scaling>
        <c:delete val="0"/>
        <c:axPos val="b"/>
        <c:majorGridlines>
          <c:spPr>
            <a:ln w="9360">
              <a:solidFill>
                <a:srgbClr val="d9d9d9"/>
              </a:solidFill>
              <a:round/>
            </a:ln>
          </c:spPr>
        </c:majorGridlines>
        <c:numFmt formatCode="#,##0.00_);\(#,##0.00\)"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9547851"/>
        <c:crosses val="autoZero"/>
        <c:crossBetween val="midCat"/>
      </c:valAx>
      <c:valAx>
        <c:axId val="9547851"/>
        <c:scaling>
          <c:orientation val="minMax"/>
        </c:scaling>
        <c:delete val="0"/>
        <c:axPos val="l"/>
        <c:majorGridlines>
          <c:spPr>
            <a:ln w="9360">
              <a:solidFill>
                <a:srgbClr val="d9d9d9"/>
              </a:solidFill>
              <a:round/>
            </a:ln>
          </c:spPr>
        </c:majorGridlines>
        <c:numFmt formatCode="#,##0.00_);\(#,##0.00\)"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3665016"/>
        <c:crosses val="autoZero"/>
        <c:crossBetween val="midCat"/>
      </c:valAx>
      <c:spPr>
        <a:noFill/>
        <a:ln>
          <a:noFill/>
        </a:ln>
      </c:spPr>
    </c:plotArea>
    <c:plotVisOnly val="1"/>
    <c:dispBlanksAs val="gap"/>
  </c:chart>
  <c:spPr>
    <a:solidFill>
      <a:srgbClr val="ffffff"/>
    </a:solidFill>
    <a:ln w="9360">
      <a:solidFill>
        <a:srgbClr val="d9d9d9"/>
      </a:solidFill>
      <a:round/>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Histogram</a:t>
            </a:r>
          </a:p>
        </c:rich>
      </c:tx>
      <c:overlay val="0"/>
      <c:spPr>
        <a:noFill/>
        <a:ln>
          <a:noFill/>
        </a:ln>
      </c:spPr>
    </c:title>
    <c:autoTitleDeleted val="0"/>
    <c:plotArea>
      <c:barChart>
        <c:barDir val="col"/>
        <c:grouping val="clustered"/>
        <c:varyColors val="0"/>
        <c:ser>
          <c:idx val="0"/>
          <c:order val="0"/>
          <c:spPr>
            <a:solidFill>
              <a:srgbClr val="602320"/>
            </a:solidFill>
            <a:ln>
              <a:noFill/>
            </a:ln>
          </c:spPr>
          <c:invertIfNegative val="0"/>
          <c:dLbls>
            <c:numFmt formatCode="_(* #,##0_);_(* \(#,##0\);_(* \-_);@_)" sourceLinked="1"/>
            <c:dLblPos val="outEnd"/>
            <c:showLegendKey val="0"/>
            <c:showVal val="0"/>
            <c:showCatName val="0"/>
            <c:showSerName val="0"/>
            <c:showPercent val="0"/>
            <c:showLeaderLines val="0"/>
          </c:dLbls>
          <c:cat>
            <c:strRef>
              <c:f>'Section 1 - (ANS)'!$D$21:$D$33</c:f>
              <c:strCache>
                <c:ptCount val="13"/>
                <c:pt idx="0">
                  <c:v>114</c:v>
                </c:pt>
                <c:pt idx="1">
                  <c:v>228</c:v>
                </c:pt>
                <c:pt idx="2">
                  <c:v>342</c:v>
                </c:pt>
                <c:pt idx="3">
                  <c:v>456</c:v>
                </c:pt>
                <c:pt idx="4">
                  <c:v>570</c:v>
                </c:pt>
                <c:pt idx="5">
                  <c:v>684</c:v>
                </c:pt>
                <c:pt idx="6">
                  <c:v>798</c:v>
                </c:pt>
                <c:pt idx="7">
                  <c:v>912</c:v>
                </c:pt>
                <c:pt idx="8">
                  <c:v>1,026</c:v>
                </c:pt>
                <c:pt idx="9">
                  <c:v>1,140</c:v>
                </c:pt>
                <c:pt idx="10">
                  <c:v>1,254</c:v>
                </c:pt>
                <c:pt idx="11">
                  <c:v>1,368</c:v>
                </c:pt>
                <c:pt idx="12">
                  <c:v>More </c:v>
                </c:pt>
              </c:strCache>
            </c:strRef>
          </c:cat>
          <c:val>
            <c:numRef>
              <c:f>'Section 1 - (ANS)'!$E$21:$E$33</c:f>
              <c:numCache>
                <c:formatCode>General</c:formatCode>
                <c:ptCount val="13"/>
                <c:pt idx="0">
                  <c:v>0</c:v>
                </c:pt>
                <c:pt idx="1">
                  <c:v>2</c:v>
                </c:pt>
                <c:pt idx="2">
                  <c:v>3</c:v>
                </c:pt>
                <c:pt idx="3">
                  <c:v>7</c:v>
                </c:pt>
                <c:pt idx="4">
                  <c:v>14</c:v>
                </c:pt>
                <c:pt idx="5">
                  <c:v>15</c:v>
                </c:pt>
                <c:pt idx="6">
                  <c:v>18</c:v>
                </c:pt>
                <c:pt idx="7">
                  <c:v>12</c:v>
                </c:pt>
                <c:pt idx="8">
                  <c:v>9</c:v>
                </c:pt>
                <c:pt idx="9">
                  <c:v>13</c:v>
                </c:pt>
                <c:pt idx="10">
                  <c:v>2</c:v>
                </c:pt>
                <c:pt idx="11">
                  <c:v>4</c:v>
                </c:pt>
                <c:pt idx="12">
                  <c:v>1</c:v>
                </c:pt>
              </c:numCache>
            </c:numRef>
          </c:val>
        </c:ser>
        <c:gapWidth val="219"/>
        <c:overlap val="-27"/>
        <c:axId val="63079696"/>
        <c:axId val="26810343"/>
      </c:barChart>
      <c:catAx>
        <c:axId val="63079696"/>
        <c:scaling>
          <c:orientation val="minMax"/>
        </c:scaling>
        <c:delete val="0"/>
        <c:axPos val="b"/>
        <c:numFmt formatCode="#,##0"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26810343"/>
        <c:crosses val="autoZero"/>
        <c:auto val="1"/>
        <c:lblAlgn val="ctr"/>
        <c:lblOffset val="100"/>
      </c:catAx>
      <c:valAx>
        <c:axId val="26810343"/>
        <c:scaling>
          <c:orientation val="minMax"/>
        </c:scaling>
        <c:delete val="0"/>
        <c:axPos val="l"/>
        <c:majorGridlines>
          <c:spPr>
            <a:ln w="9360">
              <a:solidFill>
                <a:srgbClr val="d9d9d9"/>
              </a:solidFill>
              <a:round/>
            </a:ln>
          </c:spPr>
        </c:majorGridlines>
        <c:numFmt formatCode="_(* #,##0_);_(* \(#,##0\);_(* \-_);@_)"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63079696"/>
        <c:crosses val="autoZero"/>
      </c:valAx>
      <c:spPr>
        <a:noFill/>
        <a:ln>
          <a:noFill/>
        </a:ln>
      </c:spPr>
    </c:plotArea>
    <c:plotVisOnly val="1"/>
    <c:dispBlanksAs val="gap"/>
  </c:chart>
  <c:spPr>
    <a:solidFill>
      <a:srgbClr val="ffffff"/>
    </a:solidFill>
    <a:ln w="9360">
      <a:solidFill>
        <a:srgbClr val="d9d9d9"/>
      </a:solidFill>
      <a:round/>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Histogram</a:t>
            </a:r>
          </a:p>
        </c:rich>
      </c:tx>
      <c:overlay val="0"/>
      <c:spPr>
        <a:noFill/>
        <a:ln>
          <a:noFill/>
        </a:ln>
      </c:spPr>
    </c:title>
    <c:autoTitleDeleted val="0"/>
    <c:plotArea>
      <c:barChart>
        <c:barDir val="col"/>
        <c:grouping val="clustered"/>
        <c:varyColors val="0"/>
        <c:ser>
          <c:idx val="0"/>
          <c:order val="0"/>
          <c:spPr>
            <a:solidFill>
              <a:srgbClr val="602320"/>
            </a:solidFill>
            <a:ln>
              <a:noFill/>
            </a:ln>
          </c:spPr>
          <c:invertIfNegative val="0"/>
          <c:dLbls>
            <c:numFmt formatCode="_(* #,##0_);_(* \(#,##0\);_(* \-_);@_)" sourceLinked="1"/>
            <c:dLblPos val="outEnd"/>
            <c:showLegendKey val="0"/>
            <c:showVal val="0"/>
            <c:showCatName val="0"/>
            <c:showSerName val="0"/>
            <c:showPercent val="0"/>
            <c:showLeaderLines val="0"/>
          </c:dLbls>
          <c:cat>
            <c:strRef>
              <c:f>'Section 1 - (ANS)'!$D$63:$D$75</c:f>
              <c:strCache>
                <c:ptCount val="13"/>
                <c:pt idx="0">
                  <c:v>3,582</c:v>
                </c:pt>
                <c:pt idx="1">
                  <c:v>7,164</c:v>
                </c:pt>
                <c:pt idx="2">
                  <c:v>10,746</c:v>
                </c:pt>
                <c:pt idx="3">
                  <c:v>14,328</c:v>
                </c:pt>
                <c:pt idx="4">
                  <c:v>17,910</c:v>
                </c:pt>
                <c:pt idx="5">
                  <c:v>21,492</c:v>
                </c:pt>
                <c:pt idx="6">
                  <c:v>25,074</c:v>
                </c:pt>
                <c:pt idx="7">
                  <c:v>28,656</c:v>
                </c:pt>
                <c:pt idx="8">
                  <c:v>32,238</c:v>
                </c:pt>
                <c:pt idx="9">
                  <c:v>35,820</c:v>
                </c:pt>
                <c:pt idx="10">
                  <c:v>39,402</c:v>
                </c:pt>
                <c:pt idx="11">
                  <c:v>42,984</c:v>
                </c:pt>
                <c:pt idx="12">
                  <c:v>More </c:v>
                </c:pt>
              </c:strCache>
            </c:strRef>
          </c:cat>
          <c:val>
            <c:numRef>
              <c:f>'Section 1 - (ANS)'!$E$63:$E$75</c:f>
              <c:numCache>
                <c:formatCode>General</c:formatCode>
                <c:ptCount val="13"/>
                <c:pt idx="0">
                  <c:v>1</c:v>
                </c:pt>
                <c:pt idx="1">
                  <c:v>5</c:v>
                </c:pt>
                <c:pt idx="2">
                  <c:v>10</c:v>
                </c:pt>
                <c:pt idx="3">
                  <c:v>12</c:v>
                </c:pt>
                <c:pt idx="4">
                  <c:v>12</c:v>
                </c:pt>
                <c:pt idx="5">
                  <c:v>13</c:v>
                </c:pt>
                <c:pt idx="6">
                  <c:v>22</c:v>
                </c:pt>
                <c:pt idx="7">
                  <c:v>9</c:v>
                </c:pt>
                <c:pt idx="8">
                  <c:v>12</c:v>
                </c:pt>
                <c:pt idx="9">
                  <c:v>2</c:v>
                </c:pt>
                <c:pt idx="10">
                  <c:v>1</c:v>
                </c:pt>
                <c:pt idx="11">
                  <c:v>0</c:v>
                </c:pt>
                <c:pt idx="12">
                  <c:v>1</c:v>
                </c:pt>
              </c:numCache>
            </c:numRef>
          </c:val>
        </c:ser>
        <c:gapWidth val="219"/>
        <c:overlap val="-27"/>
        <c:axId val="64721946"/>
        <c:axId val="2269813"/>
      </c:barChart>
      <c:catAx>
        <c:axId val="64721946"/>
        <c:scaling>
          <c:orientation val="minMax"/>
        </c:scaling>
        <c:delete val="0"/>
        <c:axPos val="b"/>
        <c:numFmt formatCode="#,##0" sourceLinked="1"/>
        <c:majorTickMark val="none"/>
        <c:minorTickMark val="none"/>
        <c:tickLblPos val="nextTo"/>
        <c:spPr>
          <a:ln w="9360">
            <a:solidFill>
              <a:srgbClr val="d9d9d9"/>
            </a:solidFill>
            <a:round/>
          </a:ln>
        </c:spPr>
        <c:txPr>
          <a:bodyPr/>
          <a:lstStyle/>
          <a:p>
            <a:pPr>
              <a:defRPr b="0" sz="900" spc="-1" strike="noStrike">
                <a:solidFill>
                  <a:srgbClr val="595959"/>
                </a:solidFill>
                <a:latin typeface="Calibri"/>
              </a:defRPr>
            </a:pPr>
          </a:p>
        </c:txPr>
        <c:crossAx val="2269813"/>
        <c:crosses val="autoZero"/>
        <c:auto val="1"/>
        <c:lblAlgn val="ctr"/>
        <c:lblOffset val="100"/>
      </c:catAx>
      <c:valAx>
        <c:axId val="2269813"/>
        <c:scaling>
          <c:orientation val="minMax"/>
        </c:scaling>
        <c:delete val="0"/>
        <c:axPos val="l"/>
        <c:majorGridlines>
          <c:spPr>
            <a:ln w="9360">
              <a:solidFill>
                <a:srgbClr val="d9d9d9"/>
              </a:solidFill>
              <a:round/>
            </a:ln>
          </c:spPr>
        </c:majorGridlines>
        <c:numFmt formatCode="_(* #,##0_);_(* \(#,##0\);_(* \-_);@_)" sourceLinked="0"/>
        <c:majorTickMark val="none"/>
        <c:minorTickMark val="none"/>
        <c:tickLblPos val="nextTo"/>
        <c:spPr>
          <a:ln w="6480">
            <a:noFill/>
          </a:ln>
        </c:spPr>
        <c:txPr>
          <a:bodyPr/>
          <a:lstStyle/>
          <a:p>
            <a:pPr>
              <a:defRPr b="0" sz="900" spc="-1" strike="noStrike">
                <a:solidFill>
                  <a:srgbClr val="595959"/>
                </a:solidFill>
                <a:latin typeface="Calibri"/>
              </a:defRPr>
            </a:pPr>
          </a:p>
        </c:txPr>
        <c:crossAx val="64721946"/>
        <c:crosses val="autoZero"/>
      </c:valAx>
      <c:spPr>
        <a:noFill/>
        <a:ln>
          <a:noFill/>
        </a:ln>
      </c:spPr>
    </c:plotArea>
    <c:plotVisOnly val="1"/>
    <c:dispBlanksAs val="gap"/>
  </c:chart>
  <c:spPr>
    <a:solidFill>
      <a:srgbClr val="ffffff"/>
    </a:solidFill>
    <a:ln w="9360">
      <a:solidFill>
        <a:srgbClr val="d9d9d9"/>
      </a:solidFill>
      <a:round/>
    </a:ln>
  </c:spPr>
</c:chartSpace>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0" sz="1400" spc="-1" strike="noStrike">
                <a:solidFill>
                  <a:srgbClr val="595959"/>
                </a:solidFill>
                <a:latin typeface="Calibri"/>
              </a:defRPr>
            </a:pPr>
            <a:r>
              <a:rPr b="0" sz="1400" spc="-1" strike="noStrike">
                <a:solidFill>
                  <a:srgbClr val="595959"/>
                </a:solidFill>
                <a:latin typeface="Calibri"/>
              </a:rPr>
              <a:t>Twitter Mentions</a:t>
            </a:r>
          </a:p>
        </c:rich>
      </c:tx>
      <c:overlay val="0"/>
      <c:spPr>
        <a:noFill/>
        <a:ln>
          <a:noFill/>
        </a:ln>
      </c:spPr>
    </c:title>
    <c:autoTitleDeleted val="0"/>
    <c:plotArea>
      <c:scatterChart>
        <c:scatterStyle val="lineMarker"/>
        <c:varyColors val="0"/>
        <c:ser>
          <c:idx val="0"/>
          <c:order val="0"/>
          <c:spPr>
            <a:solidFill>
              <a:srgbClr val="602320"/>
            </a:solidFill>
            <a:ln w="25560">
              <a:noFill/>
            </a:ln>
          </c:spPr>
          <c:marker>
            <c:symbol val="circle"/>
            <c:size val="5"/>
            <c:spPr>
              <a:solidFill>
                <a:srgbClr val="602320"/>
              </a:solidFill>
            </c:spPr>
          </c:marker>
          <c:dLbls>
            <c:numFmt formatCode="#,##0.00_);\(#,##0.00\)" sourceLinked="1"/>
            <c:dLblPos val="r"/>
            <c:showLegendKey val="0"/>
            <c:showVal val="0"/>
            <c:showCatName val="0"/>
            <c:showSerName val="0"/>
            <c:showPercent val="0"/>
            <c:showLeaderLines val="0"/>
          </c:dLbls>
          <c:trendline>
            <c:spPr>
              <a:ln w="19080">
                <a:solidFill>
                  <a:srgbClr val="602320"/>
                </a:solidFill>
                <a:round/>
              </a:ln>
            </c:spPr>
            <c:trendlineType val="linear"/>
            <c:forward val="10000"/>
            <c:backward val="0"/>
            <c:dispRSqr val="1"/>
            <c:dispEq val="1"/>
          </c:trendline>
          <c:trendline>
            <c:spPr>
              <a:ln w="19080">
                <a:solidFill>
                  <a:srgbClr val="602320"/>
                </a:solidFill>
                <a:round/>
              </a:ln>
            </c:spPr>
            <c:trendlineType val="linear"/>
            <c:forward val="0"/>
            <c:backward val="0"/>
            <c:dispRSqr val="0"/>
            <c:dispEq val="0"/>
          </c:trendline>
          <c:xVal>
            <c:numRef>
              <c:f>'Data Set'!$C$7:$C$106</c:f>
              <c:numCache>
                <c:formatCode>General</c:formatCode>
                <c:ptCount val="100"/>
                <c:pt idx="0">
                  <c:v>16211</c:v>
                </c:pt>
                <c:pt idx="1">
                  <c:v>33564</c:v>
                </c:pt>
                <c:pt idx="2">
                  <c:v>13596</c:v>
                </c:pt>
                <c:pt idx="3">
                  <c:v>6516</c:v>
                </c:pt>
                <c:pt idx="4">
                  <c:v>28869</c:v>
                </c:pt>
                <c:pt idx="5">
                  <c:v>20657</c:v>
                </c:pt>
                <c:pt idx="6">
                  <c:v>28396</c:v>
                </c:pt>
                <c:pt idx="7">
                  <c:v>28863</c:v>
                </c:pt>
                <c:pt idx="8">
                  <c:v>23748</c:v>
                </c:pt>
                <c:pt idx="9">
                  <c:v>35529</c:v>
                </c:pt>
                <c:pt idx="10">
                  <c:v>31512</c:v>
                </c:pt>
                <c:pt idx="11">
                  <c:v>15828</c:v>
                </c:pt>
                <c:pt idx="12">
                  <c:v>21825</c:v>
                </c:pt>
                <c:pt idx="13">
                  <c:v>16702</c:v>
                </c:pt>
                <c:pt idx="14">
                  <c:v>22022</c:v>
                </c:pt>
                <c:pt idx="15">
                  <c:v>25165</c:v>
                </c:pt>
                <c:pt idx="16">
                  <c:v>19478</c:v>
                </c:pt>
                <c:pt idx="17">
                  <c:v>24126</c:v>
                </c:pt>
                <c:pt idx="18">
                  <c:v>12011</c:v>
                </c:pt>
                <c:pt idx="19">
                  <c:v>23548</c:v>
                </c:pt>
                <c:pt idx="20">
                  <c:v>15179</c:v>
                </c:pt>
                <c:pt idx="21">
                  <c:v>20239</c:v>
                </c:pt>
                <c:pt idx="22">
                  <c:v>14604</c:v>
                </c:pt>
                <c:pt idx="23">
                  <c:v>23984</c:v>
                </c:pt>
                <c:pt idx="24">
                  <c:v>13886</c:v>
                </c:pt>
                <c:pt idx="25">
                  <c:v>20208</c:v>
                </c:pt>
                <c:pt idx="26">
                  <c:v>7648</c:v>
                </c:pt>
                <c:pt idx="27">
                  <c:v>23363</c:v>
                </c:pt>
                <c:pt idx="28">
                  <c:v>17564</c:v>
                </c:pt>
                <c:pt idx="29">
                  <c:v>26423</c:v>
                </c:pt>
                <c:pt idx="30">
                  <c:v>9159</c:v>
                </c:pt>
                <c:pt idx="31">
                  <c:v>10359</c:v>
                </c:pt>
                <c:pt idx="32">
                  <c:v>18196</c:v>
                </c:pt>
                <c:pt idx="33">
                  <c:v>18907</c:v>
                </c:pt>
                <c:pt idx="34">
                  <c:v>31227</c:v>
                </c:pt>
                <c:pt idx="35">
                  <c:v>25332</c:v>
                </c:pt>
                <c:pt idx="36">
                  <c:v>6866</c:v>
                </c:pt>
                <c:pt idx="37">
                  <c:v>23184</c:v>
                </c:pt>
                <c:pt idx="38">
                  <c:v>17631</c:v>
                </c:pt>
                <c:pt idx="39">
                  <c:v>31239</c:v>
                </c:pt>
                <c:pt idx="40">
                  <c:v>7774</c:v>
                </c:pt>
                <c:pt idx="41">
                  <c:v>6918</c:v>
                </c:pt>
                <c:pt idx="42">
                  <c:v>21821</c:v>
                </c:pt>
                <c:pt idx="43">
                  <c:v>19865</c:v>
                </c:pt>
                <c:pt idx="44">
                  <c:v>11124</c:v>
                </c:pt>
                <c:pt idx="45">
                  <c:v>24879</c:v>
                </c:pt>
                <c:pt idx="46">
                  <c:v>14125</c:v>
                </c:pt>
                <c:pt idx="47">
                  <c:v>42990</c:v>
                </c:pt>
                <c:pt idx="48">
                  <c:v>13641</c:v>
                </c:pt>
                <c:pt idx="49">
                  <c:v>7582</c:v>
                </c:pt>
                <c:pt idx="50">
                  <c:v>6681</c:v>
                </c:pt>
                <c:pt idx="51">
                  <c:v>17233</c:v>
                </c:pt>
                <c:pt idx="52">
                  <c:v>11035</c:v>
                </c:pt>
                <c:pt idx="53">
                  <c:v>23923</c:v>
                </c:pt>
                <c:pt idx="54">
                  <c:v>30318</c:v>
                </c:pt>
                <c:pt idx="55">
                  <c:v>20609</c:v>
                </c:pt>
                <c:pt idx="56">
                  <c:v>19226</c:v>
                </c:pt>
                <c:pt idx="57">
                  <c:v>24259</c:v>
                </c:pt>
                <c:pt idx="58">
                  <c:v>21590</c:v>
                </c:pt>
                <c:pt idx="59">
                  <c:v>12145</c:v>
                </c:pt>
                <c:pt idx="60">
                  <c:v>18937</c:v>
                </c:pt>
                <c:pt idx="61">
                  <c:v>21651</c:v>
                </c:pt>
                <c:pt idx="62">
                  <c:v>6042</c:v>
                </c:pt>
                <c:pt idx="63">
                  <c:v>16913</c:v>
                </c:pt>
                <c:pt idx="64">
                  <c:v>28918</c:v>
                </c:pt>
                <c:pt idx="65">
                  <c:v>8576</c:v>
                </c:pt>
                <c:pt idx="66">
                  <c:v>10169</c:v>
                </c:pt>
                <c:pt idx="67">
                  <c:v>7947</c:v>
                </c:pt>
                <c:pt idx="68">
                  <c:v>25512</c:v>
                </c:pt>
                <c:pt idx="69">
                  <c:v>16355</c:v>
                </c:pt>
                <c:pt idx="70">
                  <c:v>20529</c:v>
                </c:pt>
                <c:pt idx="71">
                  <c:v>30236</c:v>
                </c:pt>
                <c:pt idx="72">
                  <c:v>12748</c:v>
                </c:pt>
                <c:pt idx="73">
                  <c:v>22205</c:v>
                </c:pt>
                <c:pt idx="74">
                  <c:v>1991</c:v>
                </c:pt>
                <c:pt idx="75">
                  <c:v>31919</c:v>
                </c:pt>
                <c:pt idx="76">
                  <c:v>9521</c:v>
                </c:pt>
                <c:pt idx="77">
                  <c:v>14238</c:v>
                </c:pt>
                <c:pt idx="78">
                  <c:v>21714</c:v>
                </c:pt>
                <c:pt idx="79">
                  <c:v>24143</c:v>
                </c:pt>
                <c:pt idx="80">
                  <c:v>16728</c:v>
                </c:pt>
                <c:pt idx="81">
                  <c:v>29774</c:v>
                </c:pt>
                <c:pt idx="82">
                  <c:v>24263</c:v>
                </c:pt>
                <c:pt idx="83">
                  <c:v>23612</c:v>
                </c:pt>
                <c:pt idx="84">
                  <c:v>20990</c:v>
                </c:pt>
                <c:pt idx="85">
                  <c:v>8486</c:v>
                </c:pt>
                <c:pt idx="86">
                  <c:v>13111</c:v>
                </c:pt>
                <c:pt idx="87">
                  <c:v>28203</c:v>
                </c:pt>
                <c:pt idx="88">
                  <c:v>15731</c:v>
                </c:pt>
                <c:pt idx="89">
                  <c:v>28684</c:v>
                </c:pt>
                <c:pt idx="90">
                  <c:v>23090</c:v>
                </c:pt>
                <c:pt idx="91">
                  <c:v>28440</c:v>
                </c:pt>
                <c:pt idx="92">
                  <c:v>13455</c:v>
                </c:pt>
                <c:pt idx="93">
                  <c:v>22624</c:v>
                </c:pt>
                <c:pt idx="94">
                  <c:v>31787</c:v>
                </c:pt>
                <c:pt idx="95">
                  <c:v>23261</c:v>
                </c:pt>
                <c:pt idx="96">
                  <c:v>37393</c:v>
                </c:pt>
                <c:pt idx="97">
                  <c:v>25225</c:v>
                </c:pt>
                <c:pt idx="98">
                  <c:v>26127</c:v>
                </c:pt>
                <c:pt idx="99">
                  <c:v>20104</c:v>
                </c:pt>
              </c:numCache>
            </c:numRef>
          </c:xVal>
          <c:yVal>
            <c:numRef>
              <c:f>'Data Set'!$B$7:$B$106</c:f>
              <c:numCache>
                <c:formatCode>General</c:formatCode>
                <c:ptCount val="100"/>
                <c:pt idx="0">
                  <c:v>610</c:v>
                </c:pt>
                <c:pt idx="1">
                  <c:v>1135</c:v>
                </c:pt>
                <c:pt idx="2">
                  <c:v>725</c:v>
                </c:pt>
                <c:pt idx="3">
                  <c:v>325</c:v>
                </c:pt>
                <c:pt idx="4">
                  <c:v>1114</c:v>
                </c:pt>
                <c:pt idx="5">
                  <c:v>1031</c:v>
                </c:pt>
                <c:pt idx="6">
                  <c:v>856</c:v>
                </c:pt>
                <c:pt idx="7">
                  <c:v>713</c:v>
                </c:pt>
                <c:pt idx="8">
                  <c:v>544</c:v>
                </c:pt>
                <c:pt idx="9">
                  <c:v>1353</c:v>
                </c:pt>
                <c:pt idx="10">
                  <c:v>1246</c:v>
                </c:pt>
                <c:pt idx="11">
                  <c:v>664</c:v>
                </c:pt>
                <c:pt idx="12">
                  <c:v>709</c:v>
                </c:pt>
                <c:pt idx="13">
                  <c:v>491</c:v>
                </c:pt>
                <c:pt idx="14">
                  <c:v>733</c:v>
                </c:pt>
                <c:pt idx="15">
                  <c:v>1036</c:v>
                </c:pt>
                <c:pt idx="16">
                  <c:v>1044</c:v>
                </c:pt>
                <c:pt idx="17">
                  <c:v>1034</c:v>
                </c:pt>
                <c:pt idx="18">
                  <c:v>543</c:v>
                </c:pt>
                <c:pt idx="19">
                  <c:v>766</c:v>
                </c:pt>
                <c:pt idx="20">
                  <c:v>582</c:v>
                </c:pt>
                <c:pt idx="21">
                  <c:v>774</c:v>
                </c:pt>
                <c:pt idx="22">
                  <c:v>579</c:v>
                </c:pt>
                <c:pt idx="23">
                  <c:v>608</c:v>
                </c:pt>
                <c:pt idx="24">
                  <c:v>564</c:v>
                </c:pt>
                <c:pt idx="25">
                  <c:v>891</c:v>
                </c:pt>
                <c:pt idx="26">
                  <c:v>439</c:v>
                </c:pt>
                <c:pt idx="27">
                  <c:v>694</c:v>
                </c:pt>
                <c:pt idx="28">
                  <c:v>473</c:v>
                </c:pt>
                <c:pt idx="29">
                  <c:v>1081</c:v>
                </c:pt>
                <c:pt idx="30">
                  <c:v>591</c:v>
                </c:pt>
                <c:pt idx="31">
                  <c:v>505</c:v>
                </c:pt>
                <c:pt idx="32">
                  <c:v>707</c:v>
                </c:pt>
                <c:pt idx="33">
                  <c:v>806</c:v>
                </c:pt>
                <c:pt idx="34">
                  <c:v>836</c:v>
                </c:pt>
                <c:pt idx="35">
                  <c:v>985</c:v>
                </c:pt>
                <c:pt idx="36">
                  <c:v>510</c:v>
                </c:pt>
                <c:pt idx="37">
                  <c:v>700</c:v>
                </c:pt>
                <c:pt idx="38">
                  <c:v>449</c:v>
                </c:pt>
                <c:pt idx="39">
                  <c:v>1096</c:v>
                </c:pt>
                <c:pt idx="40">
                  <c:v>747</c:v>
                </c:pt>
                <c:pt idx="41">
                  <c:v>128</c:v>
                </c:pt>
                <c:pt idx="42">
                  <c:v>524</c:v>
                </c:pt>
                <c:pt idx="43">
                  <c:v>844</c:v>
                </c:pt>
                <c:pt idx="44">
                  <c:v>633</c:v>
                </c:pt>
                <c:pt idx="45">
                  <c:v>1041</c:v>
                </c:pt>
                <c:pt idx="46">
                  <c:v>581</c:v>
                </c:pt>
                <c:pt idx="47">
                  <c:v>1331</c:v>
                </c:pt>
                <c:pt idx="48">
                  <c:v>551</c:v>
                </c:pt>
                <c:pt idx="49">
                  <c:v>413</c:v>
                </c:pt>
                <c:pt idx="50">
                  <c:v>357</c:v>
                </c:pt>
                <c:pt idx="51">
                  <c:v>630</c:v>
                </c:pt>
                <c:pt idx="52">
                  <c:v>511</c:v>
                </c:pt>
                <c:pt idx="53">
                  <c:v>858</c:v>
                </c:pt>
                <c:pt idx="54">
                  <c:v>1376</c:v>
                </c:pt>
                <c:pt idx="55">
                  <c:v>557</c:v>
                </c:pt>
                <c:pt idx="56">
                  <c:v>812</c:v>
                </c:pt>
                <c:pt idx="57">
                  <c:v>776</c:v>
                </c:pt>
                <c:pt idx="58">
                  <c:v>821</c:v>
                </c:pt>
                <c:pt idx="59">
                  <c:v>846</c:v>
                </c:pt>
                <c:pt idx="60">
                  <c:v>694</c:v>
                </c:pt>
                <c:pt idx="61">
                  <c:v>737</c:v>
                </c:pt>
                <c:pt idx="62">
                  <c:v>285</c:v>
                </c:pt>
                <c:pt idx="63">
                  <c:v>586</c:v>
                </c:pt>
                <c:pt idx="64">
                  <c:v>1362</c:v>
                </c:pt>
                <c:pt idx="65">
                  <c:v>544</c:v>
                </c:pt>
                <c:pt idx="66">
                  <c:v>572</c:v>
                </c:pt>
                <c:pt idx="67">
                  <c:v>449</c:v>
                </c:pt>
                <c:pt idx="68">
                  <c:v>944</c:v>
                </c:pt>
                <c:pt idx="69">
                  <c:v>752</c:v>
                </c:pt>
                <c:pt idx="70">
                  <c:v>871</c:v>
                </c:pt>
                <c:pt idx="71">
                  <c:v>927</c:v>
                </c:pt>
                <c:pt idx="72">
                  <c:v>633</c:v>
                </c:pt>
                <c:pt idx="73">
                  <c:v>1031</c:v>
                </c:pt>
                <c:pt idx="74">
                  <c:v>210</c:v>
                </c:pt>
                <c:pt idx="75">
                  <c:v>607</c:v>
                </c:pt>
                <c:pt idx="76">
                  <c:v>589</c:v>
                </c:pt>
                <c:pt idx="77">
                  <c:v>352</c:v>
                </c:pt>
                <c:pt idx="78">
                  <c:v>917</c:v>
                </c:pt>
                <c:pt idx="79">
                  <c:v>826</c:v>
                </c:pt>
                <c:pt idx="80">
                  <c:v>734</c:v>
                </c:pt>
                <c:pt idx="81">
                  <c:v>1048</c:v>
                </c:pt>
                <c:pt idx="82">
                  <c:v>1085</c:v>
                </c:pt>
                <c:pt idx="83">
                  <c:v>534</c:v>
                </c:pt>
                <c:pt idx="84">
                  <c:v>779</c:v>
                </c:pt>
                <c:pt idx="85">
                  <c:v>543</c:v>
                </c:pt>
                <c:pt idx="86">
                  <c:v>350</c:v>
                </c:pt>
                <c:pt idx="87">
                  <c:v>1001</c:v>
                </c:pt>
                <c:pt idx="88">
                  <c:v>306</c:v>
                </c:pt>
                <c:pt idx="89">
                  <c:v>976</c:v>
                </c:pt>
                <c:pt idx="90">
                  <c:v>958</c:v>
                </c:pt>
                <c:pt idx="91">
                  <c:v>922</c:v>
                </c:pt>
                <c:pt idx="92">
                  <c:v>572</c:v>
                </c:pt>
                <c:pt idx="93">
                  <c:v>1324</c:v>
                </c:pt>
                <c:pt idx="94">
                  <c:v>1150</c:v>
                </c:pt>
                <c:pt idx="95">
                  <c:v>688</c:v>
                </c:pt>
                <c:pt idx="96">
                  <c:v>1022</c:v>
                </c:pt>
                <c:pt idx="97">
                  <c:v>811</c:v>
                </c:pt>
                <c:pt idx="98">
                  <c:v>1037</c:v>
                </c:pt>
                <c:pt idx="99">
                  <c:v>739</c:v>
                </c:pt>
              </c:numCache>
            </c:numRef>
          </c:yVal>
          <c:smooth val="0"/>
        </c:ser>
        <c:axId val="92013682"/>
        <c:axId val="74039464"/>
      </c:scatterChart>
      <c:valAx>
        <c:axId val="92013682"/>
        <c:scaling>
          <c:orientation val="minMax"/>
        </c:scaling>
        <c:delete val="0"/>
        <c:axPos val="b"/>
        <c:majorGridlines>
          <c:spPr>
            <a:ln w="9360">
              <a:solidFill>
                <a:srgbClr val="d9d9d9"/>
              </a:solidFill>
              <a:round/>
            </a:ln>
          </c:spPr>
        </c:majorGridlines>
        <c:numFmt formatCode="#,##0.00_);\(#,##0.00\)"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74039464"/>
        <c:crosses val="autoZero"/>
        <c:crossBetween val="midCat"/>
      </c:valAx>
      <c:valAx>
        <c:axId val="74039464"/>
        <c:scaling>
          <c:orientation val="minMax"/>
        </c:scaling>
        <c:delete val="0"/>
        <c:axPos val="l"/>
        <c:majorGridlines>
          <c:spPr>
            <a:ln w="9360">
              <a:solidFill>
                <a:srgbClr val="d9d9d9"/>
              </a:solidFill>
              <a:round/>
            </a:ln>
          </c:spPr>
        </c:majorGridlines>
        <c:numFmt formatCode="#,##0.00_);\(#,##0.00\)" sourceLinked="0"/>
        <c:majorTickMark val="none"/>
        <c:minorTickMark val="none"/>
        <c:tickLblPos val="nextTo"/>
        <c:spPr>
          <a:ln w="9360">
            <a:solidFill>
              <a:srgbClr val="bfbfbf"/>
            </a:solidFill>
            <a:round/>
          </a:ln>
        </c:spPr>
        <c:txPr>
          <a:bodyPr/>
          <a:lstStyle/>
          <a:p>
            <a:pPr>
              <a:defRPr b="0" sz="900" spc="-1" strike="noStrike">
                <a:solidFill>
                  <a:srgbClr val="595959"/>
                </a:solidFill>
                <a:latin typeface="Calibri"/>
              </a:defRPr>
            </a:pPr>
          </a:p>
        </c:txPr>
        <c:crossAx val="92013682"/>
        <c:crosses val="autoZero"/>
        <c:crossBetween val="midCat"/>
      </c:valAx>
      <c:spPr>
        <a:noFill/>
        <a:ln>
          <a:noFill/>
        </a:ln>
      </c:spPr>
    </c:plotArea>
    <c:plotVisOnly val="1"/>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
</Relationships>
</file>

<file path=xl/drawings/_rels/drawing2.xml.rels><?xml version="1.0" encoding="UTF-8"?>
<Relationships xmlns="http://schemas.openxmlformats.org/package/2006/relationships"><Relationship Id="rId1" Type="http://schemas.openxmlformats.org/officeDocument/2006/relationships/chart" Target="../charts/chart4.xml"/><Relationship Id="rId2" Type="http://schemas.openxmlformats.org/officeDocument/2006/relationships/chart" Target="../charts/chart5.xml"/><Relationship Id="rId3" Type="http://schemas.openxmlformats.org/officeDocument/2006/relationships/chart" Target="../charts/chart6.xml"/><Relationship Id="rId4" Type="http://schemas.openxmlformats.org/officeDocument/2006/relationships/chart" Target="../charts/chart7.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355680</xdr:colOff>
      <xdr:row>47</xdr:row>
      <xdr:rowOff>51120</xdr:rowOff>
    </xdr:from>
    <xdr:to>
      <xdr:col>14</xdr:col>
      <xdr:colOff>138960</xdr:colOff>
      <xdr:row>47</xdr:row>
      <xdr:rowOff>151920</xdr:rowOff>
    </xdr:to>
    <xdr:graphicFrame>
      <xdr:nvGraphicFramePr>
        <xdr:cNvPr id="0" name="Chart 2"/>
        <xdr:cNvGraphicFramePr/>
      </xdr:nvGraphicFramePr>
      <xdr:xfrm>
        <a:off x="5795640" y="7837920"/>
        <a:ext cx="4995360" cy="1008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406440</xdr:colOff>
      <xdr:row>90</xdr:row>
      <xdr:rowOff>12600</xdr:rowOff>
    </xdr:from>
    <xdr:to>
      <xdr:col>14</xdr:col>
      <xdr:colOff>75600</xdr:colOff>
      <xdr:row>90</xdr:row>
      <xdr:rowOff>37440</xdr:rowOff>
    </xdr:to>
    <xdr:graphicFrame>
      <xdr:nvGraphicFramePr>
        <xdr:cNvPr id="1" name="Chart 3"/>
        <xdr:cNvGraphicFramePr/>
      </xdr:nvGraphicFramePr>
      <xdr:xfrm>
        <a:off x="5846400" y="7962120"/>
        <a:ext cx="4881240" cy="2484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360</xdr:colOff>
      <xdr:row>196</xdr:row>
      <xdr:rowOff>0</xdr:rowOff>
    </xdr:from>
    <xdr:to>
      <xdr:col>8</xdr:col>
      <xdr:colOff>371160</xdr:colOff>
      <xdr:row>196</xdr:row>
      <xdr:rowOff>360</xdr:rowOff>
    </xdr:to>
    <xdr:graphicFrame>
      <xdr:nvGraphicFramePr>
        <xdr:cNvPr id="2" name="Chart 5"/>
        <xdr:cNvGraphicFramePr/>
      </xdr:nvGraphicFramePr>
      <xdr:xfrm>
        <a:off x="651600" y="8274600"/>
        <a:ext cx="6462360" cy="36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73080</xdr:colOff>
      <xdr:row>94</xdr:row>
      <xdr:rowOff>108720</xdr:rowOff>
    </xdr:from>
    <xdr:to>
      <xdr:col>10</xdr:col>
      <xdr:colOff>358200</xdr:colOff>
      <xdr:row>112</xdr:row>
      <xdr:rowOff>92520</xdr:rowOff>
    </xdr:to>
    <xdr:graphicFrame>
      <xdr:nvGraphicFramePr>
        <xdr:cNvPr id="3" name="Chart 2"/>
        <xdr:cNvGraphicFramePr/>
      </xdr:nvGraphicFramePr>
      <xdr:xfrm>
        <a:off x="724320" y="16901280"/>
        <a:ext cx="7921080" cy="30603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355680</xdr:colOff>
      <xdr:row>19</xdr:row>
      <xdr:rowOff>50760</xdr:rowOff>
    </xdr:from>
    <xdr:to>
      <xdr:col>14</xdr:col>
      <xdr:colOff>138960</xdr:colOff>
      <xdr:row>32</xdr:row>
      <xdr:rowOff>151560</xdr:rowOff>
    </xdr:to>
    <xdr:graphicFrame>
      <xdr:nvGraphicFramePr>
        <xdr:cNvPr id="4" name="Chart 4"/>
        <xdr:cNvGraphicFramePr/>
      </xdr:nvGraphicFramePr>
      <xdr:xfrm>
        <a:off x="6036840" y="3460680"/>
        <a:ext cx="4995360" cy="22057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406440</xdr:colOff>
      <xdr:row>61</xdr:row>
      <xdr:rowOff>12600</xdr:rowOff>
    </xdr:from>
    <xdr:to>
      <xdr:col>14</xdr:col>
      <xdr:colOff>75600</xdr:colOff>
      <xdr:row>75</xdr:row>
      <xdr:rowOff>37440</xdr:rowOff>
    </xdr:to>
    <xdr:graphicFrame>
      <xdr:nvGraphicFramePr>
        <xdr:cNvPr id="5" name="Chart 6"/>
        <xdr:cNvGraphicFramePr/>
      </xdr:nvGraphicFramePr>
      <xdr:xfrm>
        <a:off x="6087600" y="11375640"/>
        <a:ext cx="4881240" cy="230148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12600</xdr:colOff>
      <xdr:row>128</xdr:row>
      <xdr:rowOff>63360</xdr:rowOff>
    </xdr:from>
    <xdr:to>
      <xdr:col>10</xdr:col>
      <xdr:colOff>430920</xdr:colOff>
      <xdr:row>146</xdr:row>
      <xdr:rowOff>138960</xdr:rowOff>
    </xdr:to>
    <xdr:graphicFrame>
      <xdr:nvGraphicFramePr>
        <xdr:cNvPr id="6" name="Chart 8"/>
        <xdr:cNvGraphicFramePr/>
      </xdr:nvGraphicFramePr>
      <xdr:xfrm>
        <a:off x="663840" y="22599360"/>
        <a:ext cx="8054280" cy="299016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worksheets/_rels/sheet4.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9" activeCellId="0" sqref="C9"/>
    </sheetView>
  </sheetViews>
  <sheetFormatPr defaultRowHeight="12" zeroHeight="false" outlineLevelRow="0" outlineLevelCol="0"/>
  <cols>
    <col collapsed="false" customWidth="true" hidden="false" outlineLevel="0" max="1025" min="1" style="0" width="9"/>
  </cols>
  <sheetData>
    <row r="1" customFormat="false" ht="18.75" hidden="false" customHeight="false" outlineLevel="0" collapsed="false">
      <c r="A1" s="1" t="s">
        <v>0</v>
      </c>
    </row>
    <row r="2" customFormat="false" ht="18.75" hidden="false" customHeight="false" outlineLevel="0" collapsed="false">
      <c r="A2" s="1" t="s">
        <v>1</v>
      </c>
    </row>
    <row r="3" customFormat="false" ht="18.75" hidden="false" customHeight="false" outlineLevel="0" collapsed="false">
      <c r="A3" s="1" t="s">
        <v>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E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E1" activeCellId="0" sqref="E1"/>
    </sheetView>
  </sheetViews>
  <sheetFormatPr defaultRowHeight="12" zeroHeight="false" outlineLevelRow="0" outlineLevelCol="0"/>
  <cols>
    <col collapsed="false" customWidth="true" hidden="false" outlineLevel="0" max="2" min="1" style="0" width="8.65"/>
    <col collapsed="false" customWidth="true" hidden="false" outlineLevel="0" max="3" min="3" style="0" width="33.33"/>
    <col collapsed="false" customWidth="true" hidden="false" outlineLevel="0" max="4" min="4" style="0" width="14.83"/>
    <col collapsed="false" customWidth="true" hidden="false" outlineLevel="0" max="5" min="5" style="0" width="40.16"/>
    <col collapsed="false" customWidth="true" hidden="false" outlineLevel="0" max="1025" min="6" style="0" width="8.65"/>
  </cols>
  <sheetData>
    <row r="1" customFormat="false" ht="12.75" hidden="false" customHeight="false" outlineLevel="0" collapsed="false">
      <c r="A1" s="2" t="str">
        <f aca="false">Introduction!A1</f>
        <v>Problem Solving with Excel</v>
      </c>
      <c r="B1" s="3"/>
    </row>
    <row r="2" customFormat="false" ht="12.75" hidden="false" customHeight="false" outlineLevel="0" collapsed="false">
      <c r="A2" s="2" t="str">
        <f aca="false">Introduction!A2</f>
        <v>Week 4</v>
      </c>
      <c r="B2" s="3"/>
    </row>
    <row r="3" customFormat="false" ht="12.75" hidden="false" customHeight="false" outlineLevel="0" collapsed="false">
      <c r="A3" s="2" t="str">
        <f aca="false">Introduction!A3</f>
        <v>Statistical Forecasting</v>
      </c>
      <c r="B3" s="3"/>
    </row>
    <row r="4" customFormat="false" ht="12.75" hidden="false" customHeight="false" outlineLevel="0" collapsed="false">
      <c r="A4" s="4" t="s">
        <v>3</v>
      </c>
      <c r="B4" s="3"/>
    </row>
    <row r="6" customFormat="false" ht="24.75" hidden="false" customHeight="false" outlineLevel="0" collapsed="false">
      <c r="B6" s="5" t="s">
        <v>4</v>
      </c>
      <c r="C6" s="5" t="s">
        <v>5</v>
      </c>
      <c r="D6" s="5" t="s">
        <v>6</v>
      </c>
      <c r="E6" s="5" t="s">
        <v>7</v>
      </c>
    </row>
    <row r="7" customFormat="false" ht="12.75" hidden="false" customHeight="false" outlineLevel="0" collapsed="false">
      <c r="B7" s="6" t="n">
        <v>1</v>
      </c>
      <c r="C7" s="7" t="s">
        <v>8</v>
      </c>
      <c r="D7" s="8" t="s">
        <v>9</v>
      </c>
      <c r="E7" s="8" t="s">
        <v>10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tabColor rgb="FF000000"/>
    <pageSetUpPr fitToPage="false"/>
  </sheetPr>
  <dimension ref="A1:G106"/>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L1" activeCellId="0" sqref="L1"/>
    </sheetView>
  </sheetViews>
  <sheetFormatPr defaultRowHeight="12.75" zeroHeight="false" outlineLevelRow="0" outlineLevelCol="0"/>
  <cols>
    <col collapsed="false" customWidth="true" hidden="false" outlineLevel="0" max="1" min="1" style="0" width="9"/>
    <col collapsed="false" customWidth="true" hidden="false" outlineLevel="0" max="2" min="2" style="0" width="27.34"/>
    <col collapsed="false" customWidth="true" hidden="false" outlineLevel="0" max="3" min="3" style="0" width="18.5"/>
    <col collapsed="false" customWidth="true" hidden="false" outlineLevel="0" max="4" min="4" style="0" width="9"/>
    <col collapsed="false" customWidth="true" hidden="false" outlineLevel="0" max="5" min="5" style="0" width="14"/>
    <col collapsed="false" customWidth="false" hidden="false" outlineLevel="0" max="6" min="6" style="0" width="11.66"/>
    <col collapsed="false" customWidth="true" hidden="false" outlineLevel="0" max="1025" min="7" style="0" width="9"/>
  </cols>
  <sheetData>
    <row r="1" customFormat="false" ht="12.75" hidden="false" customHeight="false" outlineLevel="0" collapsed="false">
      <c r="A1" s="2" t="str">
        <f aca="false">Introduction!A1</f>
        <v>Problem Solving with Excel</v>
      </c>
    </row>
    <row r="2" customFormat="false" ht="12.75" hidden="false" customHeight="false" outlineLevel="0" collapsed="false">
      <c r="A2" s="2" t="str">
        <f aca="false">Introduction!A2</f>
        <v>Week 4</v>
      </c>
    </row>
    <row r="3" customFormat="false" ht="12.75" hidden="false" customHeight="false" outlineLevel="0" collapsed="false">
      <c r="A3" s="2" t="str">
        <f aca="false">Introduction!A3</f>
        <v>Statistical Forecasting</v>
      </c>
    </row>
    <row r="4" customFormat="false" ht="12.75" hidden="false" customHeight="false" outlineLevel="0" collapsed="false">
      <c r="A4" s="2" t="s">
        <v>11</v>
      </c>
    </row>
    <row r="5" customFormat="false" ht="12.75" hidden="false" customHeight="false" outlineLevel="0" collapsed="false">
      <c r="E5" s="9"/>
    </row>
    <row r="6" customFormat="false" ht="12.75" hidden="false" customHeight="false" outlineLevel="0" collapsed="false">
      <c r="B6" s="10" t="s">
        <v>12</v>
      </c>
      <c r="C6" s="10" t="s">
        <v>13</v>
      </c>
      <c r="F6" s="9"/>
      <c r="G6" s="9"/>
    </row>
    <row r="7" customFormat="false" ht="12.75" hidden="false" customHeight="false" outlineLevel="0" collapsed="false">
      <c r="B7" s="11" t="n">
        <v>610</v>
      </c>
      <c r="C7" s="11" t="n">
        <v>16211</v>
      </c>
      <c r="E7" s="12"/>
      <c r="F7" s="13"/>
    </row>
    <row r="8" customFormat="false" ht="12.75" hidden="false" customHeight="false" outlineLevel="0" collapsed="false">
      <c r="B8" s="11" t="n">
        <v>1135</v>
      </c>
      <c r="C8" s="11" t="n">
        <v>33564</v>
      </c>
      <c r="E8" s="12"/>
    </row>
    <row r="9" customFormat="false" ht="12.75" hidden="false" customHeight="false" outlineLevel="0" collapsed="false">
      <c r="B9" s="11" t="n">
        <v>725</v>
      </c>
      <c r="C9" s="11" t="n">
        <v>13596</v>
      </c>
    </row>
    <row r="10" customFormat="false" ht="12.75" hidden="false" customHeight="false" outlineLevel="0" collapsed="false">
      <c r="B10" s="11" t="n">
        <v>325</v>
      </c>
      <c r="C10" s="11" t="n">
        <v>6516</v>
      </c>
    </row>
    <row r="11" customFormat="false" ht="12.75" hidden="false" customHeight="false" outlineLevel="0" collapsed="false">
      <c r="B11" s="11" t="n">
        <v>1114</v>
      </c>
      <c r="C11" s="11" t="n">
        <v>28869</v>
      </c>
    </row>
    <row r="12" customFormat="false" ht="12.75" hidden="false" customHeight="false" outlineLevel="0" collapsed="false">
      <c r="B12" s="11" t="n">
        <v>1031</v>
      </c>
      <c r="C12" s="11" t="n">
        <v>20657</v>
      </c>
    </row>
    <row r="13" customFormat="false" ht="12.75" hidden="false" customHeight="false" outlineLevel="0" collapsed="false">
      <c r="B13" s="11" t="n">
        <v>856</v>
      </c>
      <c r="C13" s="11" t="n">
        <v>28396</v>
      </c>
    </row>
    <row r="14" customFormat="false" ht="12.75" hidden="false" customHeight="false" outlineLevel="0" collapsed="false">
      <c r="B14" s="11" t="n">
        <v>713</v>
      </c>
      <c r="C14" s="11" t="n">
        <v>28863</v>
      </c>
    </row>
    <row r="15" customFormat="false" ht="12.75" hidden="false" customHeight="false" outlineLevel="0" collapsed="false">
      <c r="B15" s="11" t="n">
        <v>544</v>
      </c>
      <c r="C15" s="11" t="n">
        <v>23748</v>
      </c>
    </row>
    <row r="16" customFormat="false" ht="12.75" hidden="false" customHeight="false" outlineLevel="0" collapsed="false">
      <c r="B16" s="11" t="n">
        <v>1353</v>
      </c>
      <c r="C16" s="11" t="n">
        <v>35529</v>
      </c>
    </row>
    <row r="17" customFormat="false" ht="12.75" hidden="false" customHeight="false" outlineLevel="0" collapsed="false">
      <c r="B17" s="11" t="n">
        <v>1246</v>
      </c>
      <c r="C17" s="11" t="n">
        <v>31512</v>
      </c>
    </row>
    <row r="18" customFormat="false" ht="12.75" hidden="false" customHeight="false" outlineLevel="0" collapsed="false">
      <c r="B18" s="11" t="n">
        <v>664</v>
      </c>
      <c r="C18" s="11" t="n">
        <v>15828</v>
      </c>
    </row>
    <row r="19" customFormat="false" ht="12.75" hidden="false" customHeight="false" outlineLevel="0" collapsed="false">
      <c r="B19" s="11" t="n">
        <v>709</v>
      </c>
      <c r="C19" s="11" t="n">
        <v>21825</v>
      </c>
    </row>
    <row r="20" customFormat="false" ht="12.75" hidden="false" customHeight="false" outlineLevel="0" collapsed="false">
      <c r="B20" s="11" t="n">
        <v>491</v>
      </c>
      <c r="C20" s="11" t="n">
        <v>16702</v>
      </c>
    </row>
    <row r="21" customFormat="false" ht="12.75" hidden="false" customHeight="false" outlineLevel="0" collapsed="false">
      <c r="B21" s="11" t="n">
        <v>733</v>
      </c>
      <c r="C21" s="11" t="n">
        <v>22022</v>
      </c>
    </row>
    <row r="22" customFormat="false" ht="12.75" hidden="false" customHeight="false" outlineLevel="0" collapsed="false">
      <c r="B22" s="11" t="n">
        <v>1036</v>
      </c>
      <c r="C22" s="11" t="n">
        <v>25165</v>
      </c>
    </row>
    <row r="23" customFormat="false" ht="12.75" hidden="false" customHeight="false" outlineLevel="0" collapsed="false">
      <c r="B23" s="11" t="n">
        <v>1044</v>
      </c>
      <c r="C23" s="11" t="n">
        <v>19478</v>
      </c>
    </row>
    <row r="24" customFormat="false" ht="12.75" hidden="false" customHeight="false" outlineLevel="0" collapsed="false">
      <c r="B24" s="11" t="n">
        <v>1034</v>
      </c>
      <c r="C24" s="11" t="n">
        <v>24126</v>
      </c>
    </row>
    <row r="25" customFormat="false" ht="12.75" hidden="false" customHeight="false" outlineLevel="0" collapsed="false">
      <c r="B25" s="11" t="n">
        <v>543</v>
      </c>
      <c r="C25" s="11" t="n">
        <v>12011</v>
      </c>
    </row>
    <row r="26" customFormat="false" ht="12.75" hidden="false" customHeight="false" outlineLevel="0" collapsed="false">
      <c r="B26" s="11" t="n">
        <v>766</v>
      </c>
      <c r="C26" s="11" t="n">
        <v>23548</v>
      </c>
    </row>
    <row r="27" customFormat="false" ht="12.75" hidden="false" customHeight="false" outlineLevel="0" collapsed="false">
      <c r="B27" s="11" t="n">
        <v>582</v>
      </c>
      <c r="C27" s="11" t="n">
        <v>15179</v>
      </c>
    </row>
    <row r="28" customFormat="false" ht="12.75" hidden="false" customHeight="false" outlineLevel="0" collapsed="false">
      <c r="B28" s="11" t="n">
        <v>774</v>
      </c>
      <c r="C28" s="11" t="n">
        <v>20239</v>
      </c>
    </row>
    <row r="29" customFormat="false" ht="12.75" hidden="false" customHeight="false" outlineLevel="0" collapsed="false">
      <c r="B29" s="11" t="n">
        <v>579</v>
      </c>
      <c r="C29" s="11" t="n">
        <v>14604</v>
      </c>
    </row>
    <row r="30" customFormat="false" ht="12.75" hidden="false" customHeight="false" outlineLevel="0" collapsed="false">
      <c r="B30" s="11" t="n">
        <v>608</v>
      </c>
      <c r="C30" s="11" t="n">
        <v>23984</v>
      </c>
    </row>
    <row r="31" customFormat="false" ht="12.75" hidden="false" customHeight="false" outlineLevel="0" collapsed="false">
      <c r="B31" s="11" t="n">
        <v>564</v>
      </c>
      <c r="C31" s="11" t="n">
        <v>13886</v>
      </c>
    </row>
    <row r="32" customFormat="false" ht="12.75" hidden="false" customHeight="false" outlineLevel="0" collapsed="false">
      <c r="B32" s="11" t="n">
        <v>891</v>
      </c>
      <c r="C32" s="11" t="n">
        <v>20208</v>
      </c>
    </row>
    <row r="33" customFormat="false" ht="12.75" hidden="false" customHeight="false" outlineLevel="0" collapsed="false">
      <c r="B33" s="11" t="n">
        <v>439</v>
      </c>
      <c r="C33" s="11" t="n">
        <v>7648</v>
      </c>
    </row>
    <row r="34" customFormat="false" ht="12.75" hidden="false" customHeight="false" outlineLevel="0" collapsed="false">
      <c r="B34" s="11" t="n">
        <v>694</v>
      </c>
      <c r="C34" s="11" t="n">
        <v>23363</v>
      </c>
    </row>
    <row r="35" customFormat="false" ht="12.75" hidden="false" customHeight="false" outlineLevel="0" collapsed="false">
      <c r="B35" s="11" t="n">
        <v>473</v>
      </c>
      <c r="C35" s="11" t="n">
        <v>17564</v>
      </c>
    </row>
    <row r="36" customFormat="false" ht="12.75" hidden="false" customHeight="false" outlineLevel="0" collapsed="false">
      <c r="B36" s="11" t="n">
        <v>1081</v>
      </c>
      <c r="C36" s="11" t="n">
        <v>26423</v>
      </c>
    </row>
    <row r="37" customFormat="false" ht="12.75" hidden="false" customHeight="false" outlineLevel="0" collapsed="false">
      <c r="B37" s="11" t="n">
        <v>591</v>
      </c>
      <c r="C37" s="11" t="n">
        <v>9159</v>
      </c>
    </row>
    <row r="38" customFormat="false" ht="12.75" hidden="false" customHeight="false" outlineLevel="0" collapsed="false">
      <c r="B38" s="11" t="n">
        <v>505</v>
      </c>
      <c r="C38" s="11" t="n">
        <v>10359</v>
      </c>
    </row>
    <row r="39" customFormat="false" ht="12.75" hidden="false" customHeight="false" outlineLevel="0" collapsed="false">
      <c r="B39" s="11" t="n">
        <v>707</v>
      </c>
      <c r="C39" s="11" t="n">
        <v>18196</v>
      </c>
    </row>
    <row r="40" customFormat="false" ht="12.75" hidden="false" customHeight="false" outlineLevel="0" collapsed="false">
      <c r="B40" s="11" t="n">
        <v>806</v>
      </c>
      <c r="C40" s="11" t="n">
        <v>18907</v>
      </c>
    </row>
    <row r="41" customFormat="false" ht="12.75" hidden="false" customHeight="false" outlineLevel="0" collapsed="false">
      <c r="B41" s="11" t="n">
        <v>836</v>
      </c>
      <c r="C41" s="11" t="n">
        <v>31227</v>
      </c>
    </row>
    <row r="42" customFormat="false" ht="12.75" hidden="false" customHeight="false" outlineLevel="0" collapsed="false">
      <c r="B42" s="11" t="n">
        <v>985</v>
      </c>
      <c r="C42" s="11" t="n">
        <v>25332</v>
      </c>
    </row>
    <row r="43" customFormat="false" ht="12.75" hidden="false" customHeight="false" outlineLevel="0" collapsed="false">
      <c r="B43" s="11" t="n">
        <v>510</v>
      </c>
      <c r="C43" s="11" t="n">
        <v>6866</v>
      </c>
    </row>
    <row r="44" customFormat="false" ht="12.75" hidden="false" customHeight="false" outlineLevel="0" collapsed="false">
      <c r="B44" s="11" t="n">
        <v>700</v>
      </c>
      <c r="C44" s="11" t="n">
        <v>23184</v>
      </c>
    </row>
    <row r="45" customFormat="false" ht="12.75" hidden="false" customHeight="false" outlineLevel="0" collapsed="false">
      <c r="B45" s="11" t="n">
        <v>449</v>
      </c>
      <c r="C45" s="11" t="n">
        <v>17631</v>
      </c>
    </row>
    <row r="46" customFormat="false" ht="12.75" hidden="false" customHeight="false" outlineLevel="0" collapsed="false">
      <c r="B46" s="11" t="n">
        <v>1096</v>
      </c>
      <c r="C46" s="11" t="n">
        <v>31239</v>
      </c>
    </row>
    <row r="47" customFormat="false" ht="12.75" hidden="false" customHeight="false" outlineLevel="0" collapsed="false">
      <c r="B47" s="11" t="n">
        <v>747</v>
      </c>
      <c r="C47" s="11" t="n">
        <v>7774</v>
      </c>
    </row>
    <row r="48" customFormat="false" ht="12.75" hidden="false" customHeight="false" outlineLevel="0" collapsed="false">
      <c r="B48" s="11" t="n">
        <v>128</v>
      </c>
      <c r="C48" s="11" t="n">
        <v>6918</v>
      </c>
    </row>
    <row r="49" customFormat="false" ht="12.75" hidden="false" customHeight="false" outlineLevel="0" collapsed="false">
      <c r="B49" s="11" t="n">
        <v>524</v>
      </c>
      <c r="C49" s="11" t="n">
        <v>21821</v>
      </c>
    </row>
    <row r="50" customFormat="false" ht="12.75" hidden="false" customHeight="false" outlineLevel="0" collapsed="false">
      <c r="B50" s="11" t="n">
        <v>844</v>
      </c>
      <c r="C50" s="11" t="n">
        <v>19865</v>
      </c>
    </row>
    <row r="51" customFormat="false" ht="12.75" hidden="false" customHeight="false" outlineLevel="0" collapsed="false">
      <c r="B51" s="11" t="n">
        <v>633</v>
      </c>
      <c r="C51" s="11" t="n">
        <v>11124</v>
      </c>
    </row>
    <row r="52" customFormat="false" ht="12.75" hidden="false" customHeight="false" outlineLevel="0" collapsed="false">
      <c r="B52" s="11" t="n">
        <v>1041</v>
      </c>
      <c r="C52" s="11" t="n">
        <v>24879</v>
      </c>
    </row>
    <row r="53" customFormat="false" ht="12.75" hidden="false" customHeight="false" outlineLevel="0" collapsed="false">
      <c r="B53" s="11" t="n">
        <v>581</v>
      </c>
      <c r="C53" s="11" t="n">
        <v>14125</v>
      </c>
    </row>
    <row r="54" customFormat="false" ht="12.75" hidden="false" customHeight="false" outlineLevel="0" collapsed="false">
      <c r="B54" s="11" t="n">
        <v>1331</v>
      </c>
      <c r="C54" s="11" t="n">
        <v>42990</v>
      </c>
    </row>
    <row r="55" customFormat="false" ht="12.75" hidden="false" customHeight="false" outlineLevel="0" collapsed="false">
      <c r="B55" s="11" t="n">
        <v>551</v>
      </c>
      <c r="C55" s="11" t="n">
        <v>13641</v>
      </c>
    </row>
    <row r="56" customFormat="false" ht="12.75" hidden="false" customHeight="false" outlineLevel="0" collapsed="false">
      <c r="B56" s="11" t="n">
        <v>413</v>
      </c>
      <c r="C56" s="11" t="n">
        <v>7582</v>
      </c>
    </row>
    <row r="57" customFormat="false" ht="12.75" hidden="false" customHeight="false" outlineLevel="0" collapsed="false">
      <c r="B57" s="11" t="n">
        <v>357</v>
      </c>
      <c r="C57" s="11" t="n">
        <v>6681</v>
      </c>
    </row>
    <row r="58" customFormat="false" ht="12.75" hidden="false" customHeight="false" outlineLevel="0" collapsed="false">
      <c r="B58" s="11" t="n">
        <v>630</v>
      </c>
      <c r="C58" s="11" t="n">
        <v>17233</v>
      </c>
    </row>
    <row r="59" customFormat="false" ht="12.75" hidden="false" customHeight="false" outlineLevel="0" collapsed="false">
      <c r="B59" s="11" t="n">
        <v>511</v>
      </c>
      <c r="C59" s="11" t="n">
        <v>11035</v>
      </c>
    </row>
    <row r="60" customFormat="false" ht="12.75" hidden="false" customHeight="false" outlineLevel="0" collapsed="false">
      <c r="B60" s="11" t="n">
        <v>858</v>
      </c>
      <c r="C60" s="11" t="n">
        <v>23923</v>
      </c>
    </row>
    <row r="61" customFormat="false" ht="12.75" hidden="false" customHeight="false" outlineLevel="0" collapsed="false">
      <c r="B61" s="11" t="n">
        <v>1376</v>
      </c>
      <c r="C61" s="11" t="n">
        <v>30318</v>
      </c>
    </row>
    <row r="62" customFormat="false" ht="12.75" hidden="false" customHeight="false" outlineLevel="0" collapsed="false">
      <c r="B62" s="11" t="n">
        <v>557</v>
      </c>
      <c r="C62" s="11" t="n">
        <v>20609</v>
      </c>
    </row>
    <row r="63" customFormat="false" ht="12.75" hidden="false" customHeight="false" outlineLevel="0" collapsed="false">
      <c r="B63" s="11" t="n">
        <v>812</v>
      </c>
      <c r="C63" s="11" t="n">
        <v>19226</v>
      </c>
    </row>
    <row r="64" customFormat="false" ht="12.75" hidden="false" customHeight="false" outlineLevel="0" collapsed="false">
      <c r="B64" s="11" t="n">
        <v>776</v>
      </c>
      <c r="C64" s="11" t="n">
        <v>24259</v>
      </c>
    </row>
    <row r="65" customFormat="false" ht="12.75" hidden="false" customHeight="false" outlineLevel="0" collapsed="false">
      <c r="B65" s="11" t="n">
        <v>821</v>
      </c>
      <c r="C65" s="11" t="n">
        <v>21590</v>
      </c>
    </row>
    <row r="66" customFormat="false" ht="12.75" hidden="false" customHeight="false" outlineLevel="0" collapsed="false">
      <c r="B66" s="11" t="n">
        <v>846</v>
      </c>
      <c r="C66" s="11" t="n">
        <v>12145</v>
      </c>
    </row>
    <row r="67" customFormat="false" ht="12.75" hidden="false" customHeight="false" outlineLevel="0" collapsed="false">
      <c r="B67" s="11" t="n">
        <v>694</v>
      </c>
      <c r="C67" s="11" t="n">
        <v>18937</v>
      </c>
    </row>
    <row r="68" customFormat="false" ht="12.75" hidden="false" customHeight="false" outlineLevel="0" collapsed="false">
      <c r="B68" s="11" t="n">
        <v>737</v>
      </c>
      <c r="C68" s="11" t="n">
        <v>21651</v>
      </c>
    </row>
    <row r="69" customFormat="false" ht="12.75" hidden="false" customHeight="false" outlineLevel="0" collapsed="false">
      <c r="B69" s="11" t="n">
        <v>285</v>
      </c>
      <c r="C69" s="11" t="n">
        <v>6042</v>
      </c>
    </row>
    <row r="70" customFormat="false" ht="12.75" hidden="false" customHeight="false" outlineLevel="0" collapsed="false">
      <c r="B70" s="11" t="n">
        <v>586</v>
      </c>
      <c r="C70" s="11" t="n">
        <v>16913</v>
      </c>
    </row>
    <row r="71" customFormat="false" ht="12.75" hidden="false" customHeight="false" outlineLevel="0" collapsed="false">
      <c r="B71" s="11" t="n">
        <v>1362</v>
      </c>
      <c r="C71" s="11" t="n">
        <v>28918</v>
      </c>
    </row>
    <row r="72" customFormat="false" ht="12.75" hidden="false" customHeight="false" outlineLevel="0" collapsed="false">
      <c r="B72" s="11" t="n">
        <v>544</v>
      </c>
      <c r="C72" s="11" t="n">
        <v>8576</v>
      </c>
    </row>
    <row r="73" customFormat="false" ht="12.75" hidden="false" customHeight="false" outlineLevel="0" collapsed="false">
      <c r="B73" s="11" t="n">
        <v>572</v>
      </c>
      <c r="C73" s="11" t="n">
        <v>10169</v>
      </c>
    </row>
    <row r="74" customFormat="false" ht="12.75" hidden="false" customHeight="false" outlineLevel="0" collapsed="false">
      <c r="B74" s="11" t="n">
        <v>449</v>
      </c>
      <c r="C74" s="11" t="n">
        <v>7947</v>
      </c>
    </row>
    <row r="75" customFormat="false" ht="12.75" hidden="false" customHeight="false" outlineLevel="0" collapsed="false">
      <c r="B75" s="11" t="n">
        <v>944</v>
      </c>
      <c r="C75" s="11" t="n">
        <v>25512</v>
      </c>
    </row>
    <row r="76" customFormat="false" ht="12.75" hidden="false" customHeight="false" outlineLevel="0" collapsed="false">
      <c r="B76" s="11" t="n">
        <v>752</v>
      </c>
      <c r="C76" s="11" t="n">
        <v>16355</v>
      </c>
    </row>
    <row r="77" customFormat="false" ht="12.75" hidden="false" customHeight="false" outlineLevel="0" collapsed="false">
      <c r="B77" s="11" t="n">
        <v>871</v>
      </c>
      <c r="C77" s="11" t="n">
        <v>20529</v>
      </c>
    </row>
    <row r="78" customFormat="false" ht="12.75" hidden="false" customHeight="false" outlineLevel="0" collapsed="false">
      <c r="B78" s="11" t="n">
        <v>927</v>
      </c>
      <c r="C78" s="11" t="n">
        <v>30236</v>
      </c>
    </row>
    <row r="79" customFormat="false" ht="12.75" hidden="false" customHeight="false" outlineLevel="0" collapsed="false">
      <c r="B79" s="11" t="n">
        <v>633</v>
      </c>
      <c r="C79" s="11" t="n">
        <v>12748</v>
      </c>
    </row>
    <row r="80" customFormat="false" ht="12.75" hidden="false" customHeight="false" outlineLevel="0" collapsed="false">
      <c r="B80" s="11" t="n">
        <v>1031</v>
      </c>
      <c r="C80" s="11" t="n">
        <v>22205</v>
      </c>
    </row>
    <row r="81" customFormat="false" ht="12.75" hidden="false" customHeight="false" outlineLevel="0" collapsed="false">
      <c r="B81" s="11" t="n">
        <v>210</v>
      </c>
      <c r="C81" s="11" t="n">
        <v>1991</v>
      </c>
    </row>
    <row r="82" customFormat="false" ht="12.75" hidden="false" customHeight="false" outlineLevel="0" collapsed="false">
      <c r="B82" s="11" t="n">
        <v>607</v>
      </c>
      <c r="C82" s="11" t="n">
        <v>31919</v>
      </c>
    </row>
    <row r="83" customFormat="false" ht="12.75" hidden="false" customHeight="false" outlineLevel="0" collapsed="false">
      <c r="B83" s="11" t="n">
        <v>589</v>
      </c>
      <c r="C83" s="11" t="n">
        <v>9521</v>
      </c>
    </row>
    <row r="84" customFormat="false" ht="12.75" hidden="false" customHeight="false" outlineLevel="0" collapsed="false">
      <c r="B84" s="11" t="n">
        <v>352</v>
      </c>
      <c r="C84" s="11" t="n">
        <v>14238</v>
      </c>
    </row>
    <row r="85" customFormat="false" ht="12.75" hidden="false" customHeight="false" outlineLevel="0" collapsed="false">
      <c r="B85" s="11" t="n">
        <v>917</v>
      </c>
      <c r="C85" s="11" t="n">
        <v>21714</v>
      </c>
    </row>
    <row r="86" customFormat="false" ht="12.75" hidden="false" customHeight="false" outlineLevel="0" collapsed="false">
      <c r="B86" s="11" t="n">
        <v>826</v>
      </c>
      <c r="C86" s="11" t="n">
        <v>24143</v>
      </c>
    </row>
    <row r="87" customFormat="false" ht="12.75" hidden="false" customHeight="false" outlineLevel="0" collapsed="false">
      <c r="B87" s="11" t="n">
        <v>734</v>
      </c>
      <c r="C87" s="11" t="n">
        <v>16728</v>
      </c>
    </row>
    <row r="88" customFormat="false" ht="12.75" hidden="false" customHeight="false" outlineLevel="0" collapsed="false">
      <c r="B88" s="11" t="n">
        <v>1048</v>
      </c>
      <c r="C88" s="11" t="n">
        <v>29774</v>
      </c>
    </row>
    <row r="89" customFormat="false" ht="12.75" hidden="false" customHeight="false" outlineLevel="0" collapsed="false">
      <c r="B89" s="11" t="n">
        <v>1085</v>
      </c>
      <c r="C89" s="11" t="n">
        <v>24263</v>
      </c>
    </row>
    <row r="90" customFormat="false" ht="12.75" hidden="false" customHeight="false" outlineLevel="0" collapsed="false">
      <c r="B90" s="11" t="n">
        <v>534</v>
      </c>
      <c r="C90" s="11" t="n">
        <v>23612</v>
      </c>
    </row>
    <row r="91" customFormat="false" ht="12.75" hidden="false" customHeight="false" outlineLevel="0" collapsed="false">
      <c r="B91" s="11" t="n">
        <v>779</v>
      </c>
      <c r="C91" s="11" t="n">
        <v>20990</v>
      </c>
    </row>
    <row r="92" customFormat="false" ht="12.75" hidden="false" customHeight="false" outlineLevel="0" collapsed="false">
      <c r="B92" s="11" t="n">
        <v>543</v>
      </c>
      <c r="C92" s="11" t="n">
        <v>8486</v>
      </c>
    </row>
    <row r="93" customFormat="false" ht="12.75" hidden="false" customHeight="false" outlineLevel="0" collapsed="false">
      <c r="B93" s="11" t="n">
        <v>350</v>
      </c>
      <c r="C93" s="11" t="n">
        <v>13111</v>
      </c>
    </row>
    <row r="94" customFormat="false" ht="12.75" hidden="false" customHeight="false" outlineLevel="0" collapsed="false">
      <c r="B94" s="11" t="n">
        <v>1001</v>
      </c>
      <c r="C94" s="11" t="n">
        <v>28203</v>
      </c>
    </row>
    <row r="95" customFormat="false" ht="12.75" hidden="false" customHeight="false" outlineLevel="0" collapsed="false">
      <c r="B95" s="11" t="n">
        <v>306</v>
      </c>
      <c r="C95" s="11" t="n">
        <v>15731</v>
      </c>
    </row>
    <row r="96" customFormat="false" ht="12.75" hidden="false" customHeight="false" outlineLevel="0" collapsed="false">
      <c r="B96" s="11" t="n">
        <v>976</v>
      </c>
      <c r="C96" s="11" t="n">
        <v>28684</v>
      </c>
    </row>
    <row r="97" customFormat="false" ht="12.75" hidden="false" customHeight="false" outlineLevel="0" collapsed="false">
      <c r="B97" s="11" t="n">
        <v>958</v>
      </c>
      <c r="C97" s="11" t="n">
        <v>23090</v>
      </c>
    </row>
    <row r="98" customFormat="false" ht="12.75" hidden="false" customHeight="false" outlineLevel="0" collapsed="false">
      <c r="B98" s="11" t="n">
        <v>922</v>
      </c>
      <c r="C98" s="11" t="n">
        <v>28440</v>
      </c>
    </row>
    <row r="99" customFormat="false" ht="12.75" hidden="false" customHeight="false" outlineLevel="0" collapsed="false">
      <c r="B99" s="11" t="n">
        <v>572</v>
      </c>
      <c r="C99" s="11" t="n">
        <v>13455</v>
      </c>
    </row>
    <row r="100" customFormat="false" ht="12.75" hidden="false" customHeight="false" outlineLevel="0" collapsed="false">
      <c r="B100" s="11" t="n">
        <v>1324</v>
      </c>
      <c r="C100" s="11" t="n">
        <v>22624</v>
      </c>
    </row>
    <row r="101" customFormat="false" ht="12.75" hidden="false" customHeight="false" outlineLevel="0" collapsed="false">
      <c r="B101" s="11" t="n">
        <v>1150</v>
      </c>
      <c r="C101" s="11" t="n">
        <v>31787</v>
      </c>
    </row>
    <row r="102" customFormat="false" ht="12.75" hidden="false" customHeight="false" outlineLevel="0" collapsed="false">
      <c r="B102" s="11" t="n">
        <v>688</v>
      </c>
      <c r="C102" s="11" t="n">
        <v>23261</v>
      </c>
    </row>
    <row r="103" customFormat="false" ht="12.75" hidden="false" customHeight="false" outlineLevel="0" collapsed="false">
      <c r="B103" s="11" t="n">
        <v>1022</v>
      </c>
      <c r="C103" s="11" t="n">
        <v>37393</v>
      </c>
    </row>
    <row r="104" customFormat="false" ht="12.75" hidden="false" customHeight="false" outlineLevel="0" collapsed="false">
      <c r="B104" s="11" t="n">
        <v>811</v>
      </c>
      <c r="C104" s="11" t="n">
        <v>25225</v>
      </c>
    </row>
    <row r="105" customFormat="false" ht="12.75" hidden="false" customHeight="false" outlineLevel="0" collapsed="false">
      <c r="B105" s="11" t="n">
        <v>1037</v>
      </c>
      <c r="C105" s="11" t="n">
        <v>26127</v>
      </c>
    </row>
    <row r="106" customFormat="false" ht="12.75" hidden="false" customHeight="false" outlineLevel="0" collapsed="false">
      <c r="B106" s="11" t="n">
        <v>739</v>
      </c>
      <c r="C106" s="11" t="n">
        <v>20104</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P196"/>
  <sheetViews>
    <sheetView showFormulas="false" showGridLines="false" showRowColHeaders="true" showZeros="true" rightToLeft="false" tabSelected="true" showOutlineSymbols="true" defaultGridColor="true" view="normal" topLeftCell="A7" colorId="64" zoomScale="100" zoomScaleNormal="100" zoomScalePageLayoutView="100" workbookViewId="0">
      <selection pane="topLeft" activeCell="D19" activeCellId="0" sqref="D19"/>
    </sheetView>
  </sheetViews>
  <sheetFormatPr defaultRowHeight="12.8" zeroHeight="false" outlineLevelRow="1" outlineLevelCol="0"/>
  <cols>
    <col collapsed="false" customWidth="true" hidden="false" outlineLevel="0" max="1" min="1" style="0" width="9"/>
    <col collapsed="false" customWidth="true" hidden="false" outlineLevel="0" max="2" min="2" style="0" width="25.17"/>
    <col collapsed="false" customWidth="true" hidden="false" outlineLevel="0" max="3" min="3" style="0" width="14"/>
    <col collapsed="false" customWidth="true" hidden="false" outlineLevel="0" max="1025" min="4" style="0" width="9"/>
  </cols>
  <sheetData>
    <row r="1" customFormat="false" ht="12.75" hidden="false" customHeight="false" outlineLevel="0" collapsed="false">
      <c r="A1" s="2" t="str">
        <f aca="false">Introduction!A1</f>
        <v>Problem Solving with Excel</v>
      </c>
    </row>
    <row r="2" customFormat="false" ht="12.75" hidden="false" customHeight="false" outlineLevel="0" collapsed="false">
      <c r="A2" s="2" t="str">
        <f aca="false">Introduction!A2</f>
        <v>Week 4</v>
      </c>
    </row>
    <row r="3" customFormat="false" ht="12.75" hidden="false" customHeight="false" outlineLevel="0" collapsed="false">
      <c r="A3" s="2" t="str">
        <f aca="false">Introduction!A3</f>
        <v>Statistical Forecasting</v>
      </c>
    </row>
    <row r="4" customFormat="false" ht="12.75" hidden="false" customHeight="false" outlineLevel="0" collapsed="false">
      <c r="A4" s="2"/>
    </row>
    <row r="5" customFormat="false" ht="12.75" hidden="false" customHeight="false" outlineLevel="0" collapsed="false">
      <c r="P5" s="14"/>
    </row>
    <row r="6" customFormat="false" ht="12.75" hidden="false" customHeight="false" outlineLevel="0" collapsed="false"/>
    <row r="7" customFormat="false" ht="18.75" hidden="false" customHeight="false" outlineLevel="0" collapsed="false">
      <c r="B7" s="15" t="s">
        <v>14</v>
      </c>
    </row>
    <row r="8" customFormat="false" ht="18.75" hidden="false" customHeight="false" outlineLevel="1" collapsed="false">
      <c r="B8" s="15"/>
    </row>
    <row r="9" customFormat="false" ht="12.75" hidden="false" customHeight="false" outlineLevel="1" collapsed="false">
      <c r="B9" s="16" t="s">
        <v>15</v>
      </c>
    </row>
    <row r="10" customFormat="false" ht="12.8" hidden="false" customHeight="false" outlineLevel="1" collapsed="false">
      <c r="B10" s="0" t="n">
        <f aca="false">_xlfn.STDEV.S(SocialMedia_Mentions)</f>
        <v>269.63280006091</v>
      </c>
      <c r="C10" s="17" t="n">
        <f aca="false">AVERAGE(SocialMedia_Mentions)</f>
        <v>753.46</v>
      </c>
      <c r="D10" s="18" t="n">
        <f aca="false">B10/C10</f>
        <v>0.357859475036379</v>
      </c>
      <c r="E10" s="0" t="s">
        <v>16</v>
      </c>
      <c r="P10" s="19"/>
    </row>
    <row r="11" customFormat="false" ht="12.8" hidden="false" customHeight="false" outlineLevel="1" collapsed="false">
      <c r="D11" s="0" t="s">
        <v>17</v>
      </c>
      <c r="P11" s="19"/>
    </row>
    <row r="12" customFormat="false" ht="12.8" hidden="false" customHeight="false" outlineLevel="1" collapsed="false">
      <c r="P12" s="19"/>
    </row>
    <row r="13" customFormat="false" ht="12.8" hidden="false" customHeight="false" outlineLevel="1" collapsed="false">
      <c r="P13" s="19"/>
    </row>
    <row r="14" customFormat="false" ht="12.8" hidden="false" customHeight="false" outlineLevel="1" collapsed="false">
      <c r="B14" s="16" t="s">
        <v>18</v>
      </c>
      <c r="C14" s="20"/>
      <c r="P14" s="19"/>
    </row>
    <row r="15" customFormat="false" ht="12.8" hidden="false" customHeight="false" outlineLevel="1" collapsed="false">
      <c r="B15" s="16" t="s">
        <v>19</v>
      </c>
      <c r="C15" s="20"/>
      <c r="P15" s="19"/>
    </row>
    <row r="16" customFormat="false" ht="12.8" hidden="false" customHeight="false" outlineLevel="1" collapsed="false">
      <c r="B16" s="0" t="s">
        <v>20</v>
      </c>
      <c r="C16" s="0" t="n">
        <f aca="false">MIN(SocialMedia_Mentions)</f>
        <v>128</v>
      </c>
      <c r="P16" s="19"/>
    </row>
    <row r="17" customFormat="false" ht="12.8" hidden="false" customHeight="false" outlineLevel="1" collapsed="false">
      <c r="B17" s="0" t="s">
        <v>21</v>
      </c>
      <c r="C17" s="0" t="n">
        <f aca="false">MAX(SocialMedia_Mentions)</f>
        <v>1376</v>
      </c>
      <c r="P17" s="19"/>
    </row>
    <row r="18" customFormat="false" ht="12.8" hidden="false" customHeight="false" outlineLevel="1" collapsed="false">
      <c r="B18" s="16" t="s">
        <v>22</v>
      </c>
      <c r="C18" s="20"/>
      <c r="P18" s="19"/>
    </row>
    <row r="19" customFormat="false" ht="12.8" hidden="false" customHeight="false" outlineLevel="1" collapsed="false">
      <c r="B19" s="0" t="s">
        <v>23</v>
      </c>
      <c r="C19" s="0" t="n">
        <v>12</v>
      </c>
      <c r="D19" s="9" t="s">
        <v>24</v>
      </c>
      <c r="E19" s="9"/>
      <c r="H19" s="9" t="s">
        <v>25</v>
      </c>
      <c r="I19" s="9"/>
      <c r="P19" s="19"/>
    </row>
    <row r="20" customFormat="false" ht="12.8" hidden="false" customHeight="false" outlineLevel="1" collapsed="false">
      <c r="B20" s="0" t="s">
        <v>26</v>
      </c>
      <c r="C20" s="0" t="n">
        <f aca="false">INT(C17/C19)</f>
        <v>114</v>
      </c>
      <c r="D20" s="21"/>
      <c r="E20" s="21"/>
      <c r="P20" s="19"/>
    </row>
    <row r="21" customFormat="false" ht="12.8" hidden="false" customHeight="false" outlineLevel="1" collapsed="false">
      <c r="B21" s="9" t="s">
        <v>27</v>
      </c>
      <c r="D21" s="22"/>
      <c r="E21" s="23"/>
      <c r="P21" s="19"/>
    </row>
    <row r="22" customFormat="false" ht="12.8" hidden="false" customHeight="false" outlineLevel="1" collapsed="false">
      <c r="B22" s="24" t="n">
        <f aca="false">BinSize_SocialMedia_Mentions</f>
        <v>0</v>
      </c>
      <c r="D22" s="22"/>
      <c r="E22" s="23"/>
      <c r="P22" s="19"/>
    </row>
    <row r="23" customFormat="false" ht="12.8" hidden="false" customHeight="false" outlineLevel="1" collapsed="false">
      <c r="B23" s="25" t="n">
        <f aca="false">B22+BinSize_SocialMedia_Mentions</f>
        <v>0</v>
      </c>
      <c r="D23" s="22"/>
      <c r="E23" s="23"/>
      <c r="P23" s="19"/>
    </row>
    <row r="24" customFormat="false" ht="12.8" hidden="false" customHeight="false" outlineLevel="1" collapsed="false">
      <c r="B24" s="25" t="n">
        <f aca="false">B23+BinSize_SocialMedia_Mentions</f>
        <v>0</v>
      </c>
      <c r="D24" s="22"/>
      <c r="E24" s="23"/>
      <c r="P24" s="19"/>
    </row>
    <row r="25" customFormat="false" ht="12.8" hidden="false" customHeight="false" outlineLevel="1" collapsed="false">
      <c r="B25" s="25" t="n">
        <f aca="false">B24+BinSize_SocialMedia_Mentions</f>
        <v>0</v>
      </c>
      <c r="D25" s="22"/>
      <c r="E25" s="23"/>
      <c r="P25" s="19"/>
    </row>
    <row r="26" customFormat="false" ht="12.8" hidden="false" customHeight="false" outlineLevel="1" collapsed="false">
      <c r="B26" s="25" t="n">
        <f aca="false">B25+BinSize_SocialMedia_Mentions</f>
        <v>0</v>
      </c>
      <c r="D26" s="22"/>
      <c r="E26" s="23"/>
      <c r="P26" s="19"/>
    </row>
    <row r="27" customFormat="false" ht="12.8" hidden="false" customHeight="false" outlineLevel="1" collapsed="false">
      <c r="B27" s="25" t="n">
        <f aca="false">B26+BinSize_SocialMedia_Mentions</f>
        <v>0</v>
      </c>
      <c r="D27" s="22"/>
      <c r="E27" s="23"/>
      <c r="P27" s="19"/>
    </row>
    <row r="28" customFormat="false" ht="12.8" hidden="false" customHeight="false" outlineLevel="1" collapsed="false">
      <c r="B28" s="25" t="n">
        <f aca="false">B27+BinSize_SocialMedia_Mentions</f>
        <v>0</v>
      </c>
      <c r="D28" s="22"/>
      <c r="E28" s="23"/>
      <c r="P28" s="19"/>
    </row>
    <row r="29" customFormat="false" ht="12.8" hidden="false" customHeight="false" outlineLevel="1" collapsed="false">
      <c r="B29" s="25" t="n">
        <f aca="false">B28+BinSize_SocialMedia_Mentions</f>
        <v>0</v>
      </c>
      <c r="D29" s="22"/>
      <c r="E29" s="23"/>
      <c r="P29" s="19"/>
    </row>
    <row r="30" customFormat="false" ht="12.8" hidden="false" customHeight="false" outlineLevel="1" collapsed="false">
      <c r="B30" s="25" t="n">
        <f aca="false">B29+BinSize_SocialMedia_Mentions</f>
        <v>0</v>
      </c>
      <c r="D30" s="22"/>
      <c r="E30" s="23"/>
      <c r="P30" s="19"/>
    </row>
    <row r="31" customFormat="false" ht="12.8" hidden="false" customHeight="false" outlineLevel="1" collapsed="false">
      <c r="B31" s="25" t="n">
        <f aca="false">B30+BinSize_SocialMedia_Mentions</f>
        <v>0</v>
      </c>
      <c r="D31" s="22"/>
      <c r="E31" s="23"/>
      <c r="P31" s="19"/>
    </row>
    <row r="32" customFormat="false" ht="12.8" hidden="false" customHeight="false" outlineLevel="1" collapsed="false">
      <c r="B32" s="25" t="n">
        <f aca="false">B31+BinSize_SocialMedia_Mentions</f>
        <v>0</v>
      </c>
      <c r="D32" s="22"/>
      <c r="E32" s="23"/>
      <c r="P32" s="19"/>
    </row>
    <row r="33" customFormat="false" ht="12.8" hidden="false" customHeight="false" outlineLevel="1" collapsed="false">
      <c r="B33" s="25" t="n">
        <f aca="false">B32+BinSize_SocialMedia_Mentions</f>
        <v>0</v>
      </c>
      <c r="D33" s="26"/>
      <c r="E33" s="26"/>
      <c r="P33" s="19"/>
    </row>
    <row r="34" customFormat="false" ht="12.8" hidden="false" customHeight="false" outlineLevel="1" collapsed="false">
      <c r="P34" s="19"/>
    </row>
    <row r="35" customFormat="false" ht="12.8" hidden="false" customHeight="false" outlineLevel="1" collapsed="false">
      <c r="P35" s="19"/>
    </row>
    <row r="36" customFormat="false" ht="12.8" hidden="false" customHeight="false" outlineLevel="1" collapsed="false">
      <c r="P36" s="19"/>
    </row>
    <row r="37" customFormat="false" ht="12.8" hidden="false" customHeight="false" outlineLevel="1" collapsed="false">
      <c r="C37" s="17"/>
      <c r="P37" s="19"/>
    </row>
    <row r="38" customFormat="false" ht="12.8" hidden="false" customHeight="false" outlineLevel="1" collapsed="false">
      <c r="B38" s="16" t="s">
        <v>28</v>
      </c>
      <c r="P38" s="19"/>
    </row>
    <row r="39" customFormat="false" ht="12.8" hidden="false" customHeight="false" outlineLevel="1" collapsed="false">
      <c r="B39" s="0" t="s">
        <v>29</v>
      </c>
      <c r="P39" s="19"/>
    </row>
    <row r="40" customFormat="false" ht="12.8" hidden="false" customHeight="false" outlineLevel="1" collapsed="false">
      <c r="C40" s="17"/>
      <c r="P40" s="19"/>
    </row>
    <row r="41" customFormat="false" ht="12.8" hidden="false" customHeight="false" outlineLevel="1" collapsed="false">
      <c r="B41" s="16" t="s">
        <v>30</v>
      </c>
      <c r="P41" s="19"/>
    </row>
    <row r="42" customFormat="false" ht="12.8" hidden="false" customHeight="false" outlineLevel="1" collapsed="false">
      <c r="B42" s="0" t="s">
        <v>31</v>
      </c>
      <c r="P42" s="19"/>
    </row>
    <row r="43" customFormat="false" ht="12.8" hidden="false" customHeight="false" outlineLevel="1" collapsed="false">
      <c r="C43" s="17"/>
      <c r="P43" s="19"/>
    </row>
    <row r="44" customFormat="false" ht="12.8" hidden="false" customHeight="false" outlineLevel="1" collapsed="false">
      <c r="B44" s="16" t="s">
        <v>32</v>
      </c>
      <c r="P44" s="19"/>
    </row>
    <row r="45" customFormat="false" ht="12.8" hidden="false" customHeight="false" outlineLevel="1" collapsed="false">
      <c r="B45" s="0" t="s">
        <v>33</v>
      </c>
      <c r="P45" s="19"/>
    </row>
    <row r="46" customFormat="false" ht="12.8" hidden="false" customHeight="false" outlineLevel="1" collapsed="false">
      <c r="C46" s="17"/>
      <c r="P46" s="19"/>
    </row>
    <row r="47" customFormat="false" ht="12.8" hidden="false" customHeight="false" outlineLevel="1" collapsed="false">
      <c r="B47" s="16" t="s">
        <v>34</v>
      </c>
      <c r="P47" s="19"/>
    </row>
    <row r="48" customFormat="false" ht="12.8" hidden="false" customHeight="false" outlineLevel="0" collapsed="false">
      <c r="B48" s="0" t="s">
        <v>35</v>
      </c>
      <c r="P48" s="19"/>
    </row>
    <row r="49" customFormat="false" ht="12.8" hidden="true" customHeight="false" outlineLevel="1" collapsed="false">
      <c r="P49" s="19"/>
    </row>
    <row r="50" customFormat="false" ht="24" hidden="true" customHeight="true" outlineLevel="1" collapsed="false">
      <c r="B50" s="15" t="s">
        <v>36</v>
      </c>
      <c r="P50" s="19"/>
    </row>
    <row r="51" customFormat="false" ht="12.8" hidden="true" customHeight="false" outlineLevel="1" collapsed="false">
      <c r="B51" s="16" t="s">
        <v>37</v>
      </c>
      <c r="P51" s="19"/>
    </row>
    <row r="52" customFormat="false" ht="12.8" hidden="true" customHeight="false" outlineLevel="1" collapsed="false">
      <c r="C52" s="17"/>
    </row>
    <row r="53" customFormat="false" ht="12.8" hidden="true" customHeight="false" outlineLevel="1" collapsed="false">
      <c r="B53" s="16" t="s">
        <v>15</v>
      </c>
    </row>
    <row r="54" customFormat="false" ht="12.8" hidden="true" customHeight="false" outlineLevel="1" collapsed="false">
      <c r="B54" s="0" t="s">
        <v>38</v>
      </c>
    </row>
    <row r="55" customFormat="false" ht="12.8" hidden="true" customHeight="false" outlineLevel="1" collapsed="false"/>
    <row r="56" customFormat="false" ht="12.8" hidden="true" customHeight="false" outlineLevel="1" collapsed="false">
      <c r="B56" s="16" t="s">
        <v>18</v>
      </c>
      <c r="C56" s="20"/>
    </row>
    <row r="57" customFormat="false" ht="12.8" hidden="true" customHeight="false" outlineLevel="1" collapsed="false">
      <c r="B57" s="16" t="s">
        <v>19</v>
      </c>
      <c r="C57" s="20"/>
    </row>
    <row r="58" customFormat="false" ht="12.8" hidden="true" customHeight="false" outlineLevel="1" collapsed="false">
      <c r="B58" s="0" t="s">
        <v>20</v>
      </c>
    </row>
    <row r="59" customFormat="false" ht="12.8" hidden="true" customHeight="false" outlineLevel="1" collapsed="false">
      <c r="B59" s="0" t="s">
        <v>21</v>
      </c>
      <c r="C59" s="20"/>
    </row>
    <row r="60" customFormat="false" ht="12.8" hidden="true" customHeight="false" outlineLevel="1" collapsed="false">
      <c r="B60" s="16" t="s">
        <v>22</v>
      </c>
      <c r="C60" s="20"/>
    </row>
    <row r="61" customFormat="false" ht="12.8" hidden="true" customHeight="false" outlineLevel="1" collapsed="false">
      <c r="B61" s="0" t="s">
        <v>23</v>
      </c>
      <c r="D61" s="9" t="s">
        <v>24</v>
      </c>
      <c r="E61" s="9"/>
      <c r="H61" s="9" t="s">
        <v>25</v>
      </c>
      <c r="I61" s="9"/>
    </row>
    <row r="62" customFormat="false" ht="12.8" hidden="true" customHeight="false" outlineLevel="1" collapsed="false">
      <c r="B62" s="0" t="s">
        <v>26</v>
      </c>
      <c r="D62" s="21"/>
      <c r="E62" s="21"/>
    </row>
    <row r="63" customFormat="false" ht="12.8" hidden="true" customHeight="false" outlineLevel="1" collapsed="false">
      <c r="B63" s="9" t="s">
        <v>27</v>
      </c>
      <c r="D63" s="22"/>
      <c r="E63" s="23"/>
    </row>
    <row r="64" customFormat="false" ht="12.8" hidden="true" customHeight="false" outlineLevel="1" collapsed="false">
      <c r="B64" s="24" t="n">
        <f aca="false">C60</f>
        <v>0</v>
      </c>
      <c r="D64" s="22"/>
      <c r="E64" s="23"/>
    </row>
    <row r="65" customFormat="false" ht="12.8" hidden="true" customHeight="false" outlineLevel="1" collapsed="false">
      <c r="B65" s="25" t="n">
        <f aca="false">B64+$C$60</f>
        <v>0</v>
      </c>
      <c r="D65" s="22"/>
      <c r="E65" s="23"/>
    </row>
    <row r="66" customFormat="false" ht="12.8" hidden="true" customHeight="false" outlineLevel="1" collapsed="false">
      <c r="B66" s="25" t="n">
        <f aca="false">B65+$C$60</f>
        <v>0</v>
      </c>
      <c r="D66" s="22"/>
      <c r="E66" s="23"/>
    </row>
    <row r="67" customFormat="false" ht="12.8" hidden="true" customHeight="false" outlineLevel="1" collapsed="false">
      <c r="B67" s="25" t="n">
        <f aca="false">B66+$C$60</f>
        <v>0</v>
      </c>
      <c r="D67" s="22"/>
      <c r="E67" s="23"/>
    </row>
    <row r="68" customFormat="false" ht="12.8" hidden="true" customHeight="false" outlineLevel="1" collapsed="false">
      <c r="B68" s="25" t="n">
        <f aca="false">B67+$C$60</f>
        <v>0</v>
      </c>
      <c r="D68" s="22"/>
      <c r="E68" s="23"/>
    </row>
    <row r="69" customFormat="false" ht="12.8" hidden="true" customHeight="false" outlineLevel="1" collapsed="false">
      <c r="B69" s="25" t="n">
        <f aca="false">B68+$C$60</f>
        <v>0</v>
      </c>
      <c r="D69" s="22"/>
      <c r="E69" s="23"/>
    </row>
    <row r="70" customFormat="false" ht="12.8" hidden="true" customHeight="false" outlineLevel="1" collapsed="false">
      <c r="B70" s="25" t="n">
        <f aca="false">B69+$C$60</f>
        <v>0</v>
      </c>
      <c r="D70" s="22"/>
      <c r="E70" s="23"/>
    </row>
    <row r="71" customFormat="false" ht="12.8" hidden="true" customHeight="false" outlineLevel="1" collapsed="false">
      <c r="B71" s="25" t="n">
        <f aca="false">B70+$C$60</f>
        <v>0</v>
      </c>
      <c r="D71" s="22"/>
      <c r="E71" s="23"/>
    </row>
    <row r="72" customFormat="false" ht="12.8" hidden="true" customHeight="false" outlineLevel="1" collapsed="false">
      <c r="B72" s="25" t="n">
        <f aca="false">B71+$C$60</f>
        <v>0</v>
      </c>
      <c r="D72" s="22"/>
      <c r="E72" s="23"/>
    </row>
    <row r="73" customFormat="false" ht="12.8" hidden="true" customHeight="false" outlineLevel="1" collapsed="false">
      <c r="B73" s="25" t="n">
        <f aca="false">B72+$C$60</f>
        <v>0</v>
      </c>
      <c r="D73" s="22"/>
      <c r="E73" s="23"/>
    </row>
    <row r="74" customFormat="false" ht="12.8" hidden="true" customHeight="false" outlineLevel="1" collapsed="false">
      <c r="B74" s="25" t="n">
        <f aca="false">B73+$C$60</f>
        <v>0</v>
      </c>
      <c r="D74" s="22"/>
      <c r="E74" s="23"/>
    </row>
    <row r="75" customFormat="false" ht="12.8" hidden="true" customHeight="false" outlineLevel="1" collapsed="false">
      <c r="B75" s="25" t="n">
        <f aca="false">B74+$C$60</f>
        <v>0</v>
      </c>
      <c r="D75" s="26"/>
      <c r="E75" s="26"/>
    </row>
    <row r="76" customFormat="false" ht="12.8" hidden="true" customHeight="false" outlineLevel="1" collapsed="false"/>
    <row r="77" customFormat="false" ht="12.8" hidden="true" customHeight="false" outlineLevel="1" collapsed="false"/>
    <row r="78" customFormat="false" ht="12.8" hidden="true" customHeight="false" outlineLevel="1" collapsed="false"/>
    <row r="79" customFormat="false" ht="12.8" hidden="true" customHeight="false" outlineLevel="1" collapsed="false">
      <c r="C79" s="17"/>
    </row>
    <row r="80" customFormat="false" ht="12.8" hidden="true" customHeight="false" outlineLevel="1" collapsed="false">
      <c r="B80" s="16" t="s">
        <v>28</v>
      </c>
    </row>
    <row r="81" customFormat="false" ht="12.8" hidden="true" customHeight="false" outlineLevel="1" collapsed="false">
      <c r="B81" s="0" t="s">
        <v>29</v>
      </c>
    </row>
    <row r="82" customFormat="false" ht="12.8" hidden="true" customHeight="false" outlineLevel="1" collapsed="false">
      <c r="C82" s="17"/>
    </row>
    <row r="83" customFormat="false" ht="12.8" hidden="true" customHeight="false" outlineLevel="1" collapsed="false">
      <c r="B83" s="16" t="s">
        <v>30</v>
      </c>
    </row>
    <row r="84" customFormat="false" ht="12.8" hidden="true" customHeight="false" outlineLevel="1" collapsed="false">
      <c r="B84" s="0" t="s">
        <v>31</v>
      </c>
    </row>
    <row r="85" customFormat="false" ht="12.8" hidden="true" customHeight="false" outlineLevel="1" collapsed="false">
      <c r="C85" s="17"/>
    </row>
    <row r="86" customFormat="false" ht="12.8" hidden="true" customHeight="false" outlineLevel="1" collapsed="false">
      <c r="B86" s="16" t="s">
        <v>32</v>
      </c>
    </row>
    <row r="87" customFormat="false" ht="12.8" hidden="true" customHeight="false" outlineLevel="1" collapsed="false">
      <c r="B87" s="0" t="s">
        <v>33</v>
      </c>
    </row>
    <row r="88" customFormat="false" ht="12.8" hidden="true" customHeight="false" outlineLevel="1" collapsed="false">
      <c r="C88" s="17"/>
    </row>
    <row r="89" customFormat="false" ht="12.8" hidden="true" customHeight="false" outlineLevel="1" collapsed="false">
      <c r="B89" s="16" t="s">
        <v>34</v>
      </c>
    </row>
    <row r="90" customFormat="false" ht="12.8" hidden="true" customHeight="false" outlineLevel="1" collapsed="false">
      <c r="B90" s="0" t="s">
        <v>35</v>
      </c>
    </row>
    <row r="92" customFormat="false" ht="12.8" hidden="true" customHeight="false" outlineLevel="1" collapsed="false"/>
    <row r="93" customFormat="false" ht="17.35" hidden="true" customHeight="false" outlineLevel="1" collapsed="false">
      <c r="B93" s="15" t="s">
        <v>39</v>
      </c>
    </row>
    <row r="94" customFormat="false" ht="12.8" hidden="true" customHeight="false" outlineLevel="1" collapsed="false">
      <c r="B94" s="16" t="s">
        <v>40</v>
      </c>
    </row>
    <row r="95" customFormat="false" ht="12.8" hidden="true" customHeight="false" outlineLevel="1" collapsed="false">
      <c r="B95" s="16" t="s">
        <v>41</v>
      </c>
    </row>
    <row r="96" customFormat="false" ht="12.8" hidden="true" customHeight="false" outlineLevel="1" collapsed="false">
      <c r="B96" s="16" t="s">
        <v>42</v>
      </c>
    </row>
    <row r="97" customFormat="false" ht="12.8" hidden="true" customHeight="false" outlineLevel="1" collapsed="false"/>
    <row r="98" customFormat="false" ht="12.8" hidden="true" customHeight="false" outlineLevel="1" collapsed="false"/>
    <row r="99" customFormat="false" ht="12.8" hidden="true" customHeight="false" outlineLevel="1" collapsed="false"/>
    <row r="100" customFormat="false" ht="12.8" hidden="true" customHeight="false" outlineLevel="1" collapsed="false"/>
    <row r="101" customFormat="false" ht="12.8" hidden="true" customHeight="false" outlineLevel="1" collapsed="false"/>
    <row r="102" customFormat="false" ht="12.8" hidden="true" customHeight="false" outlineLevel="1" collapsed="false"/>
    <row r="103" customFormat="false" ht="12.8" hidden="true" customHeight="false" outlineLevel="1" collapsed="false"/>
    <row r="104" customFormat="false" ht="12.8" hidden="true" customHeight="false" outlineLevel="1" collapsed="false"/>
    <row r="105" customFormat="false" ht="12.8" hidden="true" customHeight="false" outlineLevel="1" collapsed="false"/>
    <row r="106" customFormat="false" ht="12.8" hidden="true" customHeight="false" outlineLevel="1" collapsed="false"/>
    <row r="107" customFormat="false" ht="12.8" hidden="true" customHeight="false" outlineLevel="1" collapsed="false"/>
    <row r="108" customFormat="false" ht="12.8" hidden="true" customHeight="false" outlineLevel="1" collapsed="false"/>
    <row r="109" customFormat="false" ht="12.8" hidden="true" customHeight="false" outlineLevel="1" collapsed="false"/>
    <row r="110" customFormat="false" ht="12.8" hidden="true" customHeight="false" outlineLevel="1" collapsed="false"/>
    <row r="111" customFormat="false" ht="12.8" hidden="true" customHeight="false" outlineLevel="1" collapsed="false"/>
    <row r="112" customFormat="false" ht="12.8" hidden="true" customHeight="false" outlineLevel="1" collapsed="false"/>
    <row r="113" customFormat="false" ht="12.8" hidden="true" customHeight="false" outlineLevel="1" collapsed="false"/>
    <row r="114" customFormat="false" ht="12.8" hidden="true" customHeight="false" outlineLevel="1" collapsed="false"/>
    <row r="115" customFormat="false" ht="12.8" hidden="true" customHeight="false" outlineLevel="1" collapsed="false"/>
    <row r="116" customFormat="false" ht="12.8" hidden="true" customHeight="false" outlineLevel="1" collapsed="false">
      <c r="C116" s="17"/>
    </row>
    <row r="117" customFormat="false" ht="12.8" hidden="true" customHeight="false" outlineLevel="1" collapsed="false">
      <c r="B117" s="16" t="s">
        <v>43</v>
      </c>
      <c r="C117" s="17"/>
    </row>
    <row r="118" customFormat="false" ht="12.8" hidden="true" customHeight="false" outlineLevel="1" collapsed="false">
      <c r="B118" s="0" t="s">
        <v>44</v>
      </c>
    </row>
    <row r="119" customFormat="false" ht="12.8" hidden="true" customHeight="false" outlineLevel="1" collapsed="false">
      <c r="B119" s="0" t="s">
        <v>45</v>
      </c>
    </row>
    <row r="120" customFormat="false" ht="12.8" hidden="true" customHeight="false" outlineLevel="1" collapsed="false"/>
    <row r="121" customFormat="false" ht="12.8" hidden="true" customHeight="false" outlineLevel="1" collapsed="false">
      <c r="B121" s="16" t="s">
        <v>46</v>
      </c>
      <c r="C121" s="27" t="s">
        <v>47</v>
      </c>
    </row>
    <row r="122" customFormat="false" ht="12.8" hidden="true" customHeight="false" outlineLevel="1" collapsed="false">
      <c r="B122" s="0" t="s">
        <v>48</v>
      </c>
      <c r="C122" s="17"/>
    </row>
    <row r="123" customFormat="false" ht="12.8" hidden="true" customHeight="false" outlineLevel="1" collapsed="false">
      <c r="B123" s="27" t="s">
        <v>49</v>
      </c>
      <c r="C123" s="17"/>
    </row>
    <row r="124" customFormat="false" ht="12.8" hidden="true" customHeight="false" outlineLevel="1" collapsed="false">
      <c r="B124" s="28" t="n">
        <v>100</v>
      </c>
    </row>
    <row r="125" customFormat="false" ht="12.8" hidden="false" customHeight="false" outlineLevel="0" collapsed="false">
      <c r="B125" s="28" t="n">
        <v>1500</v>
      </c>
    </row>
    <row r="126" customFormat="false" ht="12.8" hidden="true" customHeight="false" outlineLevel="1" collapsed="false">
      <c r="P126" s="29"/>
    </row>
    <row r="127" customFormat="false" ht="17.35" hidden="true" customHeight="false" outlineLevel="1" collapsed="false">
      <c r="B127" s="15" t="s">
        <v>50</v>
      </c>
    </row>
    <row r="128" customFormat="false" ht="12.8" hidden="true" customHeight="false" outlineLevel="1" collapsed="false">
      <c r="B128" s="16" t="s">
        <v>51</v>
      </c>
    </row>
    <row r="129" customFormat="false" ht="12.8" hidden="true" customHeight="false" outlineLevel="1" collapsed="false">
      <c r="B129" s="16" t="s">
        <v>41</v>
      </c>
    </row>
    <row r="130" customFormat="false" ht="12.8" hidden="true" customHeight="false" outlineLevel="1" collapsed="false">
      <c r="B130" s="16" t="s">
        <v>52</v>
      </c>
    </row>
    <row r="131" customFormat="false" ht="12.8" hidden="true" customHeight="false" outlineLevel="1" collapsed="false"/>
    <row r="132" customFormat="false" ht="12.8" hidden="true" customHeight="false" outlineLevel="1" collapsed="false"/>
    <row r="133" customFormat="false" ht="12.8" hidden="true" customHeight="false" outlineLevel="1" collapsed="false"/>
    <row r="134" customFormat="false" ht="12.8" hidden="true" customHeight="false" outlineLevel="1" collapsed="false"/>
    <row r="135" customFormat="false" ht="12.8" hidden="true" customHeight="false" outlineLevel="1" collapsed="false"/>
    <row r="136" customFormat="false" ht="12.8" hidden="true" customHeight="false" outlineLevel="1" collapsed="false"/>
    <row r="137" customFormat="false" ht="12.8" hidden="true" customHeight="false" outlineLevel="1" collapsed="false"/>
    <row r="138" customFormat="false" ht="12.8" hidden="true" customHeight="false" outlineLevel="1" collapsed="false"/>
    <row r="139" customFormat="false" ht="12.8" hidden="true" customHeight="false" outlineLevel="1" collapsed="false"/>
    <row r="140" customFormat="false" ht="12.8" hidden="true" customHeight="false" outlineLevel="1" collapsed="false"/>
    <row r="141" customFormat="false" ht="12.8" hidden="true" customHeight="false" outlineLevel="1" collapsed="false"/>
    <row r="142" customFormat="false" ht="12.8" hidden="true" customHeight="false" outlineLevel="1" collapsed="false"/>
    <row r="143" customFormat="false" ht="12.8" hidden="true" customHeight="false" outlineLevel="1" collapsed="false"/>
    <row r="144" customFormat="false" ht="12.8" hidden="true" customHeight="false" outlineLevel="1" collapsed="false"/>
    <row r="145" customFormat="false" ht="12.8" hidden="true" customHeight="false" outlineLevel="1" collapsed="false"/>
    <row r="146" customFormat="false" ht="12.8" hidden="true" customHeight="false" outlineLevel="1" collapsed="false"/>
    <row r="147" customFormat="false" ht="12.8" hidden="true" customHeight="false" outlineLevel="1" collapsed="false"/>
    <row r="148" customFormat="false" ht="12.8" hidden="true" customHeight="false" outlineLevel="1" collapsed="false"/>
    <row r="149" customFormat="false" ht="12.8" hidden="true" customHeight="false" outlineLevel="1" collapsed="false"/>
    <row r="150" customFormat="false" ht="12.8" hidden="true" customHeight="false" outlineLevel="1" collapsed="false">
      <c r="C150" s="17"/>
    </row>
    <row r="151" customFormat="false" ht="12.8" hidden="true" customHeight="false" outlineLevel="1" collapsed="false">
      <c r="B151" s="16" t="s">
        <v>43</v>
      </c>
      <c r="C151" s="17"/>
    </row>
    <row r="152" customFormat="false" ht="12.8" hidden="true" customHeight="false" outlineLevel="1" collapsed="false">
      <c r="B152" s="0" t="s">
        <v>44</v>
      </c>
    </row>
    <row r="153" customFormat="false" ht="12.8" hidden="true" customHeight="false" outlineLevel="1" collapsed="false">
      <c r="B153" s="0" t="s">
        <v>45</v>
      </c>
    </row>
    <row r="154" customFormat="false" ht="12.8" hidden="true" customHeight="false" outlineLevel="1" collapsed="false"/>
    <row r="155" customFormat="false" ht="12.8" hidden="true" customHeight="false" outlineLevel="1" collapsed="false">
      <c r="B155" s="16" t="s">
        <v>53</v>
      </c>
      <c r="C155" s="27" t="s">
        <v>47</v>
      </c>
    </row>
    <row r="156" customFormat="false" ht="12.8" hidden="true" customHeight="false" outlineLevel="1" collapsed="false">
      <c r="B156" s="0" t="s">
        <v>48</v>
      </c>
      <c r="C156" s="17"/>
    </row>
    <row r="157" customFormat="false" ht="12.8" hidden="true" customHeight="false" outlineLevel="1" collapsed="false">
      <c r="B157" s="27" t="s">
        <v>49</v>
      </c>
      <c r="C157" s="17"/>
    </row>
    <row r="158" customFormat="false" ht="12.8" hidden="true" customHeight="false" outlineLevel="1" collapsed="false">
      <c r="B158" s="28" t="n">
        <v>100</v>
      </c>
      <c r="C158" s="17"/>
    </row>
    <row r="159" customFormat="false" ht="12.8" hidden="true" customHeight="false" outlineLevel="1" collapsed="false">
      <c r="B159" s="28" t="n">
        <v>500</v>
      </c>
      <c r="C159" s="17"/>
    </row>
    <row r="160" customFormat="false" ht="12.8" hidden="true" customHeight="false" outlineLevel="1" collapsed="false">
      <c r="B160" s="28" t="n">
        <v>10000</v>
      </c>
    </row>
    <row r="161" customFormat="false" ht="12.8" hidden="true" customHeight="false" outlineLevel="1" collapsed="false">
      <c r="B161" s="28" t="n">
        <v>50000</v>
      </c>
    </row>
    <row r="162" customFormat="false" ht="12.8" hidden="true" customHeight="false" outlineLevel="1" collapsed="false"/>
    <row r="163" customFormat="false" ht="12.8" hidden="true" customHeight="false" outlineLevel="1" collapsed="false"/>
    <row r="164" customFormat="false" ht="12.8" hidden="true" customHeight="false" outlineLevel="1" collapsed="false"/>
    <row r="165" customFormat="false" ht="12.8" hidden="true" customHeight="false" outlineLevel="1" collapsed="false"/>
    <row r="166" customFormat="false" ht="12.8" hidden="true" customHeight="false" outlineLevel="1" collapsed="false"/>
    <row r="167" customFormat="false" ht="12.8" hidden="true" customHeight="false" outlineLevel="1" collapsed="false"/>
    <row r="168" customFormat="false" ht="12.8" hidden="true" customHeight="false" outlineLevel="1" collapsed="false"/>
    <row r="169" customFormat="false" ht="12.8" hidden="true" customHeight="false" outlineLevel="1" collapsed="false"/>
    <row r="170" customFormat="false" ht="12.8" hidden="true" customHeight="false" outlineLevel="1" collapsed="false"/>
    <row r="171" customFormat="false" ht="12.8" hidden="true" customHeight="false" outlineLevel="1" collapsed="false"/>
    <row r="172" customFormat="false" ht="12.8" hidden="true" customHeight="false" outlineLevel="1" collapsed="false"/>
    <row r="173" customFormat="false" ht="12.8" hidden="true" customHeight="false" outlineLevel="1" collapsed="false"/>
    <row r="174" customFormat="false" ht="12.8" hidden="true" customHeight="false" outlineLevel="1" collapsed="false"/>
    <row r="175" customFormat="false" ht="12.8" hidden="true" customHeight="false" outlineLevel="1" collapsed="false"/>
    <row r="176" customFormat="false" ht="12.8" hidden="true" customHeight="false" outlineLevel="1" collapsed="false"/>
    <row r="177" customFormat="false" ht="12.8" hidden="true" customHeight="false" outlineLevel="1" collapsed="false"/>
    <row r="178" customFormat="false" ht="12.8" hidden="true" customHeight="false" outlineLevel="1" collapsed="false"/>
    <row r="179" customFormat="false" ht="12.8" hidden="true" customHeight="false" outlineLevel="1" collapsed="false"/>
    <row r="180" customFormat="false" ht="12.8" hidden="true" customHeight="false" outlineLevel="1" collapsed="false"/>
    <row r="181" customFormat="false" ht="12.8" hidden="true" customHeight="false" outlineLevel="1" collapsed="false"/>
    <row r="182" customFormat="false" ht="12.8" hidden="true" customHeight="false" outlineLevel="1" collapsed="false"/>
    <row r="183" customFormat="false" ht="12.8" hidden="true" customHeight="false" outlineLevel="1" collapsed="false"/>
    <row r="184" customFormat="false" ht="12.8" hidden="true" customHeight="false" outlineLevel="1" collapsed="false"/>
    <row r="185" customFormat="false" ht="12.8" hidden="true" customHeight="false" outlineLevel="1" collapsed="false"/>
    <row r="186" customFormat="false" ht="12.8" hidden="true" customHeight="false" outlineLevel="1" collapsed="false"/>
    <row r="187" customFormat="false" ht="12.8" hidden="true" customHeight="false" outlineLevel="1" collapsed="false"/>
    <row r="188" customFormat="false" ht="12.8" hidden="true" customHeight="false" outlineLevel="1" collapsed="false"/>
    <row r="189" customFormat="false" ht="12.8" hidden="true" customHeight="false" outlineLevel="1" collapsed="false"/>
    <row r="190" customFormat="false" ht="12.8" hidden="true" customHeight="false" outlineLevel="1" collapsed="false"/>
    <row r="191" customFormat="false" ht="12.8" hidden="true" customHeight="false" outlineLevel="1" collapsed="false"/>
    <row r="192" customFormat="false" ht="12.8" hidden="true" customHeight="false" outlineLevel="1" collapsed="false"/>
    <row r="193" customFormat="false" ht="12.8" hidden="true" customHeight="false" outlineLevel="1" collapsed="false"/>
    <row r="194" customFormat="false" ht="12.8" hidden="true" customHeight="false" outlineLevel="1" collapsed="false"/>
    <row r="195" customFormat="false" ht="12.8" hidden="true" customHeight="false" outlineLevel="1" collapsed="false"/>
    <row r="196" customFormat="false" ht="12.8" hidden="true" customHeight="false" outlineLevel="1" collapsed="false"/>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xl/worksheets/sheet5.xml><?xml version="1.0" encoding="utf-8"?>
<worksheet xmlns="http://schemas.openxmlformats.org/spreadsheetml/2006/main" xmlns:r="http://schemas.openxmlformats.org/officeDocument/2006/relationships">
  <sheetPr filterMode="false">
    <tabColor rgb="FFE998A6"/>
    <pageSetUpPr fitToPage="false"/>
  </sheetPr>
  <dimension ref="A1:S159"/>
  <sheetViews>
    <sheetView showFormulas="false" showGridLines="false" showRowColHeaders="true" showZeros="true" rightToLeft="false" tabSelected="false" showOutlineSymbols="true" defaultGridColor="true" view="normal" topLeftCell="A84" colorId="64" zoomScale="100" zoomScaleNormal="100" zoomScalePageLayoutView="100" workbookViewId="0">
      <selection pane="topLeft" activeCell="M100" activeCellId="0" sqref="M100"/>
    </sheetView>
  </sheetViews>
  <sheetFormatPr defaultRowHeight="12.75" zeroHeight="false" outlineLevelRow="1" outlineLevelCol="0"/>
  <cols>
    <col collapsed="false" customWidth="true" hidden="false" outlineLevel="0" max="1" min="1" style="0" width="9"/>
    <col collapsed="false" customWidth="true" hidden="false" outlineLevel="0" max="2" min="2" style="0" width="25.17"/>
    <col collapsed="false" customWidth="true" hidden="false" outlineLevel="0" max="3" min="3" style="0" width="17.33"/>
    <col collapsed="false" customWidth="true" hidden="false" outlineLevel="0" max="15" min="4" style="0" width="9"/>
    <col collapsed="false" customWidth="true" hidden="false" outlineLevel="0" max="16" min="16" style="0" width="67.33"/>
    <col collapsed="false" customWidth="true" hidden="false" outlineLevel="0" max="17" min="17" style="0" width="3.85"/>
    <col collapsed="false" customWidth="true" hidden="false" outlineLevel="0" max="18" min="18" style="0" width="131.66"/>
    <col collapsed="false" customWidth="true" hidden="false" outlineLevel="0" max="1025" min="19" style="0" width="9"/>
  </cols>
  <sheetData>
    <row r="1" customFormat="false" ht="12.75" hidden="false" customHeight="false" outlineLevel="0" collapsed="false">
      <c r="A1" s="2" t="str">
        <f aca="false">Introduction!A1</f>
        <v>Problem Solving with Excel</v>
      </c>
    </row>
    <row r="2" customFormat="false" ht="12.75" hidden="false" customHeight="false" outlineLevel="0" collapsed="false">
      <c r="A2" s="2" t="str">
        <f aca="false">Introduction!A2</f>
        <v>Week 4</v>
      </c>
    </row>
    <row r="3" customFormat="false" ht="12.75" hidden="false" customHeight="false" outlineLevel="0" collapsed="false">
      <c r="A3" s="2" t="str">
        <f aca="false">Introduction!A3</f>
        <v>Statistical Forecasting</v>
      </c>
    </row>
    <row r="4" customFormat="false" ht="12.75" hidden="false" customHeight="false" outlineLevel="0" collapsed="false">
      <c r="A4" s="2" t="s">
        <v>8</v>
      </c>
    </row>
    <row r="5" customFormat="false" ht="13.5" hidden="false" customHeight="false" outlineLevel="0" collapsed="false">
      <c r="P5" s="30" t="s">
        <v>54</v>
      </c>
      <c r="Q5" s="31"/>
      <c r="R5" s="30" t="s">
        <v>55</v>
      </c>
      <c r="S5" s="14"/>
    </row>
    <row r="6" customFormat="false" ht="12.75" hidden="false" customHeight="false" outlineLevel="0" collapsed="false">
      <c r="P6" s="32" t="s">
        <v>56</v>
      </c>
      <c r="Q6" s="33"/>
      <c r="R6" s="34"/>
    </row>
    <row r="7" customFormat="false" ht="18.75" hidden="false" customHeight="false" outlineLevel="0" collapsed="false">
      <c r="B7" s="15" t="s">
        <v>14</v>
      </c>
      <c r="P7" s="32"/>
      <c r="Q7" s="35"/>
      <c r="R7" s="36"/>
    </row>
    <row r="8" customFormat="false" ht="18.75" hidden="false" customHeight="false" outlineLevel="0" collapsed="false">
      <c r="B8" s="15"/>
      <c r="P8" s="32"/>
      <c r="Q8" s="35"/>
      <c r="R8" s="36"/>
    </row>
    <row r="9" customFormat="false" ht="12.75" hidden="false" customHeight="false" outlineLevel="0" collapsed="false">
      <c r="B9" s="16" t="s">
        <v>15</v>
      </c>
      <c r="P9" s="32"/>
      <c r="Q9" s="35"/>
      <c r="R9" s="36"/>
    </row>
    <row r="10" customFormat="false" ht="12.75" hidden="false" customHeight="false" outlineLevel="1" collapsed="false">
      <c r="B10" s="0" t="s">
        <v>38</v>
      </c>
      <c r="C10" s="17" t="n">
        <f aca="false">_xlfn.STDEV.S('Data Set'!$B$7:$B$106)</f>
        <v>269.63280006091</v>
      </c>
      <c r="P10" s="37" t="s">
        <v>57</v>
      </c>
      <c r="Q10" s="38"/>
      <c r="R10" s="39" t="s">
        <v>58</v>
      </c>
      <c r="S10" s="19"/>
    </row>
    <row r="11" customFormat="false" ht="12.75" hidden="false" customHeight="false" outlineLevel="1" collapsed="false">
      <c r="P11" s="37" t="s">
        <v>59</v>
      </c>
      <c r="Q11" s="38"/>
      <c r="R11" s="39" t="s">
        <v>60</v>
      </c>
      <c r="S11" s="19"/>
    </row>
    <row r="12" customFormat="false" ht="12.75" hidden="false" customHeight="false" outlineLevel="1" collapsed="false">
      <c r="B12" s="16" t="s">
        <v>18</v>
      </c>
      <c r="P12" s="37"/>
      <c r="Q12" s="38"/>
      <c r="R12" s="39" t="s">
        <v>61</v>
      </c>
      <c r="S12" s="19"/>
    </row>
    <row r="13" customFormat="false" ht="12.75" hidden="false" customHeight="false" outlineLevel="1" collapsed="false">
      <c r="B13" s="16" t="s">
        <v>19</v>
      </c>
      <c r="P13" s="37"/>
      <c r="Q13" s="38"/>
      <c r="R13" s="39"/>
      <c r="S13" s="19"/>
    </row>
    <row r="14" customFormat="false" ht="12.75" hidden="false" customHeight="false" outlineLevel="1" collapsed="false">
      <c r="B14" s="0" t="s">
        <v>20</v>
      </c>
      <c r="C14" s="20" t="n">
        <f aca="false">MIN('Data Set'!$B$7:$B$106)</f>
        <v>128</v>
      </c>
      <c r="P14" s="37" t="s">
        <v>62</v>
      </c>
      <c r="Q14" s="38"/>
      <c r="R14" s="39" t="s">
        <v>63</v>
      </c>
      <c r="S14" s="19"/>
    </row>
    <row r="15" customFormat="false" ht="12.75" hidden="false" customHeight="false" outlineLevel="1" collapsed="false">
      <c r="B15" s="0" t="s">
        <v>21</v>
      </c>
      <c r="C15" s="20" t="n">
        <f aca="false">MAX('Data Set'!$B$7:$B$106)</f>
        <v>1376</v>
      </c>
      <c r="P15" s="37" t="s">
        <v>64</v>
      </c>
      <c r="Q15" s="38"/>
      <c r="R15" s="39"/>
      <c r="S15" s="19"/>
    </row>
    <row r="16" customFormat="false" ht="12.75" hidden="false" customHeight="false" outlineLevel="1" collapsed="false">
      <c r="B16" s="16" t="s">
        <v>22</v>
      </c>
      <c r="P16" s="37" t="s">
        <v>65</v>
      </c>
      <c r="Q16" s="38"/>
      <c r="R16" s="39"/>
      <c r="S16" s="19"/>
    </row>
    <row r="17" customFormat="false" ht="25.5" hidden="false" customHeight="false" outlineLevel="1" collapsed="false">
      <c r="B17" s="0" t="s">
        <v>23</v>
      </c>
      <c r="C17" s="20" t="n">
        <v>12</v>
      </c>
      <c r="P17" s="37" t="s">
        <v>66</v>
      </c>
      <c r="Q17" s="38"/>
      <c r="R17" s="39"/>
      <c r="S17" s="19"/>
    </row>
    <row r="18" customFormat="false" ht="12.75" hidden="false" customHeight="false" outlineLevel="1" collapsed="false">
      <c r="B18" s="0" t="s">
        <v>26</v>
      </c>
      <c r="C18" s="20" t="n">
        <f aca="false">INT(C15/C17)</f>
        <v>114</v>
      </c>
      <c r="P18" s="37"/>
      <c r="Q18" s="38"/>
      <c r="R18" s="39"/>
      <c r="S18" s="19"/>
    </row>
    <row r="19" customFormat="false" ht="13.5" hidden="false" customHeight="false" outlineLevel="1" collapsed="false">
      <c r="B19" s="9" t="s">
        <v>27</v>
      </c>
      <c r="D19" s="9" t="s">
        <v>24</v>
      </c>
      <c r="E19" s="9"/>
      <c r="H19" s="9" t="s">
        <v>25</v>
      </c>
      <c r="I19" s="9"/>
      <c r="P19" s="37"/>
      <c r="Q19" s="38"/>
      <c r="R19" s="39"/>
      <c r="S19" s="19"/>
    </row>
    <row r="20" customFormat="false" ht="12.75" hidden="false" customHeight="false" outlineLevel="1" collapsed="false">
      <c r="B20" s="24" t="n">
        <f aca="false">C18</f>
        <v>114</v>
      </c>
      <c r="D20" s="21" t="s">
        <v>67</v>
      </c>
      <c r="E20" s="21" t="s">
        <v>68</v>
      </c>
      <c r="P20" s="37"/>
      <c r="Q20" s="38"/>
      <c r="R20" s="39"/>
      <c r="S20" s="19"/>
    </row>
    <row r="21" customFormat="false" ht="12.75" hidden="false" customHeight="false" outlineLevel="1" collapsed="false">
      <c r="B21" s="25" t="n">
        <f aca="false">B20+$C$18</f>
        <v>228</v>
      </c>
      <c r="D21" s="22" t="n">
        <v>114</v>
      </c>
      <c r="E21" s="23" t="n">
        <v>0</v>
      </c>
      <c r="P21" s="37"/>
      <c r="Q21" s="38"/>
      <c r="R21" s="39"/>
      <c r="S21" s="19"/>
    </row>
    <row r="22" customFormat="false" ht="12.75" hidden="false" customHeight="false" outlineLevel="1" collapsed="false">
      <c r="B22" s="25" t="n">
        <f aca="false">B21+$C$18</f>
        <v>342</v>
      </c>
      <c r="D22" s="22" t="n">
        <v>228</v>
      </c>
      <c r="E22" s="23" t="n">
        <v>2</v>
      </c>
      <c r="P22" s="37"/>
      <c r="Q22" s="38"/>
      <c r="R22" s="39"/>
      <c r="S22" s="19"/>
    </row>
    <row r="23" customFormat="false" ht="12.75" hidden="false" customHeight="false" outlineLevel="1" collapsed="false">
      <c r="B23" s="25" t="n">
        <f aca="false">B22+$C$18</f>
        <v>456</v>
      </c>
      <c r="D23" s="22" t="n">
        <v>342</v>
      </c>
      <c r="E23" s="23" t="n">
        <v>3</v>
      </c>
      <c r="P23" s="37"/>
      <c r="Q23" s="38"/>
      <c r="R23" s="39"/>
      <c r="S23" s="19"/>
    </row>
    <row r="24" customFormat="false" ht="12.75" hidden="false" customHeight="false" outlineLevel="1" collapsed="false">
      <c r="B24" s="25" t="n">
        <f aca="false">B23+$C$18</f>
        <v>570</v>
      </c>
      <c r="D24" s="22" t="n">
        <v>456</v>
      </c>
      <c r="E24" s="23" t="n">
        <v>7</v>
      </c>
      <c r="P24" s="37"/>
      <c r="Q24" s="38"/>
      <c r="R24" s="39"/>
      <c r="S24" s="19"/>
    </row>
    <row r="25" customFormat="false" ht="12.75" hidden="false" customHeight="false" outlineLevel="1" collapsed="false">
      <c r="B25" s="25" t="n">
        <f aca="false">B24+$C$18</f>
        <v>684</v>
      </c>
      <c r="D25" s="22" t="n">
        <v>570</v>
      </c>
      <c r="E25" s="23" t="n">
        <v>14</v>
      </c>
      <c r="P25" s="37"/>
      <c r="Q25" s="38"/>
      <c r="R25" s="39"/>
      <c r="S25" s="19"/>
    </row>
    <row r="26" customFormat="false" ht="12.75" hidden="false" customHeight="false" outlineLevel="1" collapsed="false">
      <c r="B26" s="25" t="n">
        <f aca="false">B25+$C$18</f>
        <v>798</v>
      </c>
      <c r="D26" s="22" t="n">
        <v>684</v>
      </c>
      <c r="E26" s="23" t="n">
        <v>15</v>
      </c>
      <c r="P26" s="37"/>
      <c r="Q26" s="38"/>
      <c r="R26" s="39"/>
      <c r="S26" s="19"/>
    </row>
    <row r="27" customFormat="false" ht="12.75" hidden="false" customHeight="false" outlineLevel="1" collapsed="false">
      <c r="B27" s="25" t="n">
        <f aca="false">B26+$C$18</f>
        <v>912</v>
      </c>
      <c r="D27" s="22" t="n">
        <v>798</v>
      </c>
      <c r="E27" s="23" t="n">
        <v>18</v>
      </c>
      <c r="P27" s="37"/>
      <c r="Q27" s="38"/>
      <c r="R27" s="39"/>
      <c r="S27" s="19"/>
    </row>
    <row r="28" customFormat="false" ht="12.75" hidden="false" customHeight="false" outlineLevel="1" collapsed="false">
      <c r="B28" s="25" t="n">
        <f aca="false">B27+$C$18</f>
        <v>1026</v>
      </c>
      <c r="D28" s="22" t="n">
        <v>912</v>
      </c>
      <c r="E28" s="23" t="n">
        <v>12</v>
      </c>
      <c r="P28" s="37"/>
      <c r="Q28" s="38"/>
      <c r="R28" s="39"/>
      <c r="S28" s="19"/>
    </row>
    <row r="29" customFormat="false" ht="12.75" hidden="false" customHeight="false" outlineLevel="1" collapsed="false">
      <c r="B29" s="25" t="n">
        <f aca="false">B28+$C$18</f>
        <v>1140</v>
      </c>
      <c r="D29" s="22" t="n">
        <v>1026</v>
      </c>
      <c r="E29" s="23" t="n">
        <v>9</v>
      </c>
      <c r="P29" s="37"/>
      <c r="Q29" s="38"/>
      <c r="R29" s="39"/>
      <c r="S29" s="19"/>
    </row>
    <row r="30" customFormat="false" ht="12.75" hidden="false" customHeight="false" outlineLevel="1" collapsed="false">
      <c r="B30" s="25" t="n">
        <f aca="false">B29+$C$18</f>
        <v>1254</v>
      </c>
      <c r="D30" s="22" t="n">
        <v>1140</v>
      </c>
      <c r="E30" s="23" t="n">
        <v>13</v>
      </c>
      <c r="P30" s="37"/>
      <c r="Q30" s="38"/>
      <c r="R30" s="39"/>
      <c r="S30" s="19"/>
    </row>
    <row r="31" customFormat="false" ht="12.75" hidden="false" customHeight="false" outlineLevel="1" collapsed="false">
      <c r="B31" s="25" t="n">
        <f aca="false">B30+$C$18</f>
        <v>1368</v>
      </c>
      <c r="D31" s="22" t="n">
        <v>1254</v>
      </c>
      <c r="E31" s="23" t="n">
        <v>2</v>
      </c>
      <c r="P31" s="37"/>
      <c r="Q31" s="38"/>
      <c r="R31" s="39"/>
      <c r="S31" s="19"/>
    </row>
    <row r="32" customFormat="false" ht="12.75" hidden="false" customHeight="false" outlineLevel="1" collapsed="false">
      <c r="D32" s="22" t="n">
        <v>1368</v>
      </c>
      <c r="E32" s="23" t="n">
        <v>4</v>
      </c>
      <c r="P32" s="37"/>
      <c r="Q32" s="38"/>
      <c r="R32" s="39"/>
      <c r="S32" s="19"/>
    </row>
    <row r="33" customFormat="false" ht="13.5" hidden="false" customHeight="false" outlineLevel="1" collapsed="false">
      <c r="D33" s="26" t="s">
        <v>69</v>
      </c>
      <c r="E33" s="26" t="n">
        <v>1</v>
      </c>
      <c r="P33" s="37"/>
      <c r="Q33" s="38"/>
      <c r="R33" s="39"/>
      <c r="S33" s="19"/>
    </row>
    <row r="34" customFormat="false" ht="12.75" hidden="false" customHeight="false" outlineLevel="1" collapsed="false">
      <c r="P34" s="37" t="s">
        <v>70</v>
      </c>
      <c r="Q34" s="38"/>
      <c r="R34" s="39" t="s">
        <v>71</v>
      </c>
      <c r="S34" s="19"/>
    </row>
    <row r="35" customFormat="false" ht="25.5" hidden="false" customHeight="false" outlineLevel="1" collapsed="false">
      <c r="P35" s="37" t="s">
        <v>72</v>
      </c>
      <c r="Q35" s="38"/>
      <c r="R35" s="39" t="s">
        <v>73</v>
      </c>
      <c r="S35" s="19"/>
    </row>
    <row r="36" customFormat="false" ht="12.75" hidden="false" customHeight="false" outlineLevel="1" collapsed="false">
      <c r="B36" s="16" t="s">
        <v>28</v>
      </c>
      <c r="P36" s="37" t="s">
        <v>74</v>
      </c>
      <c r="Q36" s="38"/>
      <c r="R36" s="39" t="s">
        <v>75</v>
      </c>
      <c r="S36" s="19"/>
    </row>
    <row r="37" customFormat="false" ht="12.75" hidden="false" customHeight="false" outlineLevel="1" collapsed="false">
      <c r="B37" s="0" t="s">
        <v>29</v>
      </c>
      <c r="C37" s="17" t="n">
        <f aca="false">_xlfn.VAR.S('Data Set'!B7:B106)</f>
        <v>72701.8468686869</v>
      </c>
      <c r="P37" s="37"/>
      <c r="Q37" s="38"/>
      <c r="R37" s="39" t="s">
        <v>76</v>
      </c>
      <c r="S37" s="19"/>
    </row>
    <row r="38" customFormat="false" ht="12.75" hidden="false" customHeight="false" outlineLevel="1" collapsed="false">
      <c r="P38" s="37"/>
      <c r="Q38" s="38"/>
      <c r="R38" s="39"/>
      <c r="S38" s="19"/>
    </row>
    <row r="39" customFormat="false" ht="25.5" hidden="false" customHeight="false" outlineLevel="1" collapsed="false">
      <c r="B39" s="16" t="s">
        <v>30</v>
      </c>
      <c r="P39" s="37" t="s">
        <v>77</v>
      </c>
      <c r="Q39" s="38"/>
      <c r="R39" s="39"/>
      <c r="S39" s="19"/>
    </row>
    <row r="40" customFormat="false" ht="12.75" hidden="false" customHeight="false" outlineLevel="1" collapsed="false">
      <c r="B40" s="0" t="s">
        <v>31</v>
      </c>
      <c r="C40" s="17" t="n">
        <f aca="false">_xlfn.COVARIANCE.S('Data Set'!$B$7:$B$106,'Data Set'!$C$7:$C$106)</f>
        <v>1715989.31474747</v>
      </c>
      <c r="P40" s="37" t="s">
        <v>74</v>
      </c>
      <c r="Q40" s="38"/>
      <c r="R40" s="39"/>
      <c r="S40" s="19"/>
    </row>
    <row r="41" customFormat="false" ht="12.75" hidden="false" customHeight="false" outlineLevel="1" collapsed="false">
      <c r="P41" s="37"/>
      <c r="Q41" s="38"/>
      <c r="R41" s="39"/>
      <c r="S41" s="19"/>
    </row>
    <row r="42" customFormat="false" ht="12.75" hidden="false" customHeight="false" outlineLevel="1" collapsed="false">
      <c r="B42" s="16" t="s">
        <v>32</v>
      </c>
      <c r="P42" s="37" t="s">
        <v>78</v>
      </c>
      <c r="Q42" s="38"/>
      <c r="R42" s="39" t="s">
        <v>79</v>
      </c>
      <c r="S42" s="19"/>
    </row>
    <row r="43" customFormat="false" ht="38.25" hidden="false" customHeight="false" outlineLevel="1" collapsed="false">
      <c r="B43" s="0" t="s">
        <v>33</v>
      </c>
      <c r="C43" s="17" t="n">
        <f aca="false">CORREL('Data Set'!$B$7:$B$106,'Data Set'!$C$7:$C$106)</f>
        <v>0.787189995271882</v>
      </c>
      <c r="P43" s="37" t="s">
        <v>80</v>
      </c>
      <c r="Q43" s="38"/>
      <c r="R43" s="39" t="s">
        <v>81</v>
      </c>
      <c r="S43" s="19"/>
    </row>
    <row r="44" customFormat="false" ht="12.75" hidden="false" customHeight="false" outlineLevel="1" collapsed="false">
      <c r="P44" s="37" t="s">
        <v>82</v>
      </c>
      <c r="Q44" s="38"/>
      <c r="R44" s="39"/>
      <c r="S44" s="19"/>
    </row>
    <row r="45" customFormat="false" ht="12.75" hidden="false" customHeight="false" outlineLevel="1" collapsed="false">
      <c r="B45" s="16" t="s">
        <v>34</v>
      </c>
      <c r="P45" s="37" t="s">
        <v>83</v>
      </c>
      <c r="Q45" s="38"/>
      <c r="R45" s="39"/>
      <c r="S45" s="19"/>
    </row>
    <row r="46" customFormat="false" ht="12.75" hidden="false" customHeight="false" outlineLevel="1" collapsed="false">
      <c r="B46" s="0" t="s">
        <v>35</v>
      </c>
      <c r="C46" s="17" t="n">
        <f aca="false">RSQ('Data Set'!$C$7:$C$106,'Data Set'!$B$7:$B$106)</f>
        <v>0.619668088656146</v>
      </c>
      <c r="P46" s="37"/>
      <c r="Q46" s="38"/>
      <c r="R46" s="39"/>
      <c r="S46" s="19"/>
    </row>
    <row r="47" customFormat="false" ht="25.5" hidden="false" customHeight="false" outlineLevel="1" collapsed="false">
      <c r="P47" s="37" t="s">
        <v>84</v>
      </c>
      <c r="Q47" s="38"/>
      <c r="R47" s="39" t="s">
        <v>85</v>
      </c>
      <c r="S47" s="19"/>
    </row>
    <row r="48" customFormat="false" ht="27" hidden="false" customHeight="false" outlineLevel="1" collapsed="false">
      <c r="B48" s="15" t="s">
        <v>36</v>
      </c>
      <c r="P48" s="37" t="s">
        <v>86</v>
      </c>
      <c r="Q48" s="38"/>
      <c r="R48" s="39"/>
      <c r="S48" s="19"/>
    </row>
    <row r="49" customFormat="false" ht="12.75" hidden="false" customHeight="false" outlineLevel="1" collapsed="false">
      <c r="B49" s="16" t="s">
        <v>37</v>
      </c>
      <c r="P49" s="37" t="s">
        <v>87</v>
      </c>
      <c r="Q49" s="38"/>
      <c r="R49" s="39"/>
      <c r="S49" s="19"/>
    </row>
    <row r="50" customFormat="false" ht="24" hidden="false" customHeight="true" outlineLevel="1" collapsed="false">
      <c r="P50" s="37" t="s">
        <v>88</v>
      </c>
      <c r="Q50" s="38"/>
      <c r="R50" s="39"/>
      <c r="S50" s="19"/>
    </row>
    <row r="51" customFormat="false" ht="12.75" hidden="false" customHeight="false" outlineLevel="1" collapsed="false">
      <c r="B51" s="16" t="s">
        <v>15</v>
      </c>
      <c r="P51" s="32"/>
      <c r="Q51" s="35"/>
      <c r="R51" s="36"/>
      <c r="S51" s="19"/>
    </row>
    <row r="52" customFormat="false" ht="12.75" hidden="false" customHeight="false" outlineLevel="0" collapsed="false">
      <c r="B52" s="0" t="s">
        <v>38</v>
      </c>
      <c r="C52" s="17" t="n">
        <f aca="false">_xlfn.STDEV.S('Data Set'!$C$7:$C$106)</f>
        <v>8084.66988940217</v>
      </c>
      <c r="P52" s="32"/>
      <c r="Q52" s="35"/>
      <c r="R52" s="36"/>
    </row>
    <row r="53" customFormat="false" ht="12.75" hidden="false" customHeight="false" outlineLevel="1" collapsed="false">
      <c r="P53" s="32"/>
      <c r="Q53" s="35"/>
      <c r="R53" s="36"/>
    </row>
    <row r="54" customFormat="false" ht="12.75" hidden="false" customHeight="false" outlineLevel="1" collapsed="false">
      <c r="B54" s="16" t="s">
        <v>18</v>
      </c>
      <c r="P54" s="32"/>
      <c r="Q54" s="35"/>
      <c r="R54" s="36"/>
    </row>
    <row r="55" customFormat="false" ht="12.75" hidden="false" customHeight="false" outlineLevel="1" collapsed="false">
      <c r="B55" s="16" t="s">
        <v>19</v>
      </c>
      <c r="P55" s="32"/>
      <c r="Q55" s="35"/>
      <c r="R55" s="36"/>
    </row>
    <row r="56" customFormat="false" ht="12.75" hidden="false" customHeight="false" outlineLevel="1" collapsed="false">
      <c r="B56" s="0" t="s">
        <v>20</v>
      </c>
      <c r="C56" s="20" t="n">
        <f aca="false">MIN('Data Set'!$C$7:$C$106)</f>
        <v>1991</v>
      </c>
      <c r="P56" s="32"/>
      <c r="Q56" s="35"/>
      <c r="R56" s="36"/>
    </row>
    <row r="57" customFormat="false" ht="12.75" hidden="false" customHeight="false" outlineLevel="1" collapsed="false">
      <c r="B57" s="0" t="s">
        <v>21</v>
      </c>
      <c r="C57" s="20" t="n">
        <f aca="false">MAX('Data Set'!$C$7:$C$106)</f>
        <v>42990</v>
      </c>
      <c r="P57" s="32"/>
      <c r="Q57" s="35"/>
      <c r="R57" s="36"/>
    </row>
    <row r="58" customFormat="false" ht="12.75" hidden="false" customHeight="false" outlineLevel="1" collapsed="false">
      <c r="B58" s="16" t="s">
        <v>22</v>
      </c>
      <c r="P58" s="32"/>
      <c r="Q58" s="35"/>
      <c r="R58" s="36"/>
    </row>
    <row r="59" customFormat="false" ht="12.75" hidden="false" customHeight="false" outlineLevel="1" collapsed="false">
      <c r="B59" s="0" t="s">
        <v>23</v>
      </c>
      <c r="C59" s="20" t="n">
        <v>12</v>
      </c>
      <c r="P59" s="32"/>
      <c r="Q59" s="35"/>
      <c r="R59" s="36"/>
    </row>
    <row r="60" customFormat="false" ht="12.75" hidden="false" customHeight="false" outlineLevel="1" collapsed="false">
      <c r="B60" s="0" t="s">
        <v>26</v>
      </c>
      <c r="C60" s="20" t="n">
        <f aca="false">INT(C57/C59)</f>
        <v>3582</v>
      </c>
      <c r="P60" s="32"/>
      <c r="Q60" s="35"/>
      <c r="R60" s="36"/>
    </row>
    <row r="61" customFormat="false" ht="13.5" hidden="false" customHeight="false" outlineLevel="1" collapsed="false">
      <c r="B61" s="9" t="s">
        <v>27</v>
      </c>
      <c r="D61" s="9" t="s">
        <v>24</v>
      </c>
      <c r="E61" s="9"/>
      <c r="H61" s="9" t="s">
        <v>25</v>
      </c>
      <c r="I61" s="9"/>
      <c r="P61" s="32"/>
      <c r="Q61" s="35"/>
      <c r="R61" s="36"/>
    </row>
    <row r="62" customFormat="false" ht="12.75" hidden="false" customHeight="false" outlineLevel="1" collapsed="false">
      <c r="B62" s="24" t="n">
        <f aca="false">C60</f>
        <v>3582</v>
      </c>
      <c r="D62" s="21" t="s">
        <v>67</v>
      </c>
      <c r="E62" s="21" t="s">
        <v>68</v>
      </c>
      <c r="P62" s="32"/>
      <c r="Q62" s="35"/>
      <c r="R62" s="36"/>
    </row>
    <row r="63" customFormat="false" ht="12.75" hidden="false" customHeight="false" outlineLevel="1" collapsed="false">
      <c r="B63" s="25" t="n">
        <f aca="false">B62+$C$60</f>
        <v>7164</v>
      </c>
      <c r="D63" s="22" t="n">
        <v>3582</v>
      </c>
      <c r="E63" s="23" t="n">
        <v>1</v>
      </c>
      <c r="P63" s="32"/>
      <c r="Q63" s="35"/>
      <c r="R63" s="36"/>
    </row>
    <row r="64" customFormat="false" ht="12.75" hidden="false" customHeight="false" outlineLevel="1" collapsed="false">
      <c r="B64" s="25" t="n">
        <f aca="false">B63+$C$60</f>
        <v>10746</v>
      </c>
      <c r="D64" s="22" t="n">
        <v>7164</v>
      </c>
      <c r="E64" s="23" t="n">
        <v>5</v>
      </c>
      <c r="P64" s="32"/>
      <c r="Q64" s="35"/>
      <c r="R64" s="36"/>
    </row>
    <row r="65" customFormat="false" ht="12.75" hidden="false" customHeight="false" outlineLevel="1" collapsed="false">
      <c r="B65" s="25" t="n">
        <f aca="false">B64+$C$60</f>
        <v>14328</v>
      </c>
      <c r="D65" s="22" t="n">
        <v>10746</v>
      </c>
      <c r="E65" s="23" t="n">
        <v>10</v>
      </c>
      <c r="P65" s="32"/>
      <c r="Q65" s="35"/>
      <c r="R65" s="36"/>
    </row>
    <row r="66" customFormat="false" ht="12.75" hidden="false" customHeight="false" outlineLevel="1" collapsed="false">
      <c r="B66" s="25" t="n">
        <f aca="false">B65+$C$60</f>
        <v>17910</v>
      </c>
      <c r="D66" s="22" t="n">
        <v>14328</v>
      </c>
      <c r="E66" s="23" t="n">
        <v>12</v>
      </c>
      <c r="P66" s="32"/>
      <c r="Q66" s="35"/>
      <c r="R66" s="36"/>
    </row>
    <row r="67" customFormat="false" ht="12.75" hidden="false" customHeight="false" outlineLevel="1" collapsed="false">
      <c r="B67" s="25" t="n">
        <f aca="false">B66+$C$60</f>
        <v>21492</v>
      </c>
      <c r="D67" s="22" t="n">
        <v>17910</v>
      </c>
      <c r="E67" s="23" t="n">
        <v>12</v>
      </c>
      <c r="P67" s="32"/>
      <c r="Q67" s="35"/>
      <c r="R67" s="36"/>
    </row>
    <row r="68" customFormat="false" ht="12.75" hidden="false" customHeight="false" outlineLevel="1" collapsed="false">
      <c r="B68" s="25" t="n">
        <f aca="false">B67+$C$60</f>
        <v>25074</v>
      </c>
      <c r="D68" s="22" t="n">
        <v>21492</v>
      </c>
      <c r="E68" s="23" t="n">
        <v>13</v>
      </c>
      <c r="P68" s="32"/>
      <c r="Q68" s="35"/>
      <c r="R68" s="36"/>
    </row>
    <row r="69" customFormat="false" ht="12.75" hidden="false" customHeight="false" outlineLevel="1" collapsed="false">
      <c r="B69" s="25" t="n">
        <f aca="false">B68+$C$60</f>
        <v>28656</v>
      </c>
      <c r="D69" s="22" t="n">
        <v>25074</v>
      </c>
      <c r="E69" s="23" t="n">
        <v>22</v>
      </c>
      <c r="P69" s="32"/>
      <c r="Q69" s="35"/>
      <c r="R69" s="36"/>
    </row>
    <row r="70" customFormat="false" ht="12.75" hidden="false" customHeight="false" outlineLevel="1" collapsed="false">
      <c r="B70" s="25" t="n">
        <f aca="false">B69+$C$60</f>
        <v>32238</v>
      </c>
      <c r="D70" s="22" t="n">
        <v>28656</v>
      </c>
      <c r="E70" s="23" t="n">
        <v>9</v>
      </c>
      <c r="P70" s="32"/>
      <c r="Q70" s="35"/>
      <c r="R70" s="36"/>
    </row>
    <row r="71" customFormat="false" ht="12.75" hidden="false" customHeight="false" outlineLevel="1" collapsed="false">
      <c r="B71" s="25" t="n">
        <f aca="false">B70+$C$60</f>
        <v>35820</v>
      </c>
      <c r="D71" s="22" t="n">
        <v>32238</v>
      </c>
      <c r="E71" s="23" t="n">
        <v>12</v>
      </c>
      <c r="P71" s="32"/>
      <c r="Q71" s="35"/>
      <c r="R71" s="36"/>
    </row>
    <row r="72" customFormat="false" ht="12.75" hidden="false" customHeight="false" outlineLevel="1" collapsed="false">
      <c r="B72" s="25" t="n">
        <f aca="false">B71+$C$60</f>
        <v>39402</v>
      </c>
      <c r="D72" s="22" t="n">
        <v>35820</v>
      </c>
      <c r="E72" s="23" t="n">
        <v>2</v>
      </c>
      <c r="P72" s="32"/>
      <c r="Q72" s="35"/>
      <c r="R72" s="36"/>
    </row>
    <row r="73" customFormat="false" ht="12.75" hidden="false" customHeight="false" outlineLevel="1" collapsed="false">
      <c r="B73" s="25" t="n">
        <f aca="false">B72+$C$60</f>
        <v>42984</v>
      </c>
      <c r="D73" s="22" t="n">
        <v>39402</v>
      </c>
      <c r="E73" s="23" t="n">
        <v>1</v>
      </c>
      <c r="P73" s="32"/>
      <c r="Q73" s="35"/>
      <c r="R73" s="36"/>
    </row>
    <row r="74" customFormat="false" ht="12.75" hidden="false" customHeight="false" outlineLevel="1" collapsed="false">
      <c r="D74" s="22" t="n">
        <v>42984</v>
      </c>
      <c r="E74" s="23" t="n">
        <v>0</v>
      </c>
      <c r="P74" s="32"/>
      <c r="Q74" s="35"/>
      <c r="R74" s="36"/>
    </row>
    <row r="75" customFormat="false" ht="13.5" hidden="false" customHeight="false" outlineLevel="1" collapsed="false">
      <c r="D75" s="26" t="s">
        <v>69</v>
      </c>
      <c r="E75" s="26" t="n">
        <v>1</v>
      </c>
      <c r="P75" s="32"/>
      <c r="Q75" s="35"/>
      <c r="R75" s="36"/>
    </row>
    <row r="76" customFormat="false" ht="12.75" hidden="false" customHeight="false" outlineLevel="1" collapsed="false">
      <c r="P76" s="32"/>
      <c r="Q76" s="35"/>
      <c r="R76" s="36"/>
    </row>
    <row r="77" customFormat="false" ht="12.75" hidden="false" customHeight="false" outlineLevel="1" collapsed="false">
      <c r="P77" s="32"/>
      <c r="Q77" s="35"/>
      <c r="R77" s="36"/>
    </row>
    <row r="78" customFormat="false" ht="12.75" hidden="false" customHeight="false" outlineLevel="1" collapsed="false">
      <c r="B78" s="16" t="s">
        <v>28</v>
      </c>
      <c r="P78" s="32"/>
      <c r="Q78" s="35"/>
      <c r="R78" s="36"/>
    </row>
    <row r="79" customFormat="false" ht="12.75" hidden="false" customHeight="false" outlineLevel="1" collapsed="false">
      <c r="B79" s="0" t="s">
        <v>29</v>
      </c>
      <c r="C79" s="17" t="n">
        <f aca="false">_xlfn.VAR.S('Data Set'!C53:C152)</f>
        <v>72656469.0345912</v>
      </c>
      <c r="P79" s="32"/>
      <c r="Q79" s="35"/>
      <c r="R79" s="36"/>
    </row>
    <row r="80" customFormat="false" ht="12.75" hidden="false" customHeight="false" outlineLevel="1" collapsed="false">
      <c r="P80" s="32"/>
      <c r="Q80" s="35"/>
      <c r="R80" s="36"/>
    </row>
    <row r="81" customFormat="false" ht="12.75" hidden="false" customHeight="false" outlineLevel="1" collapsed="false">
      <c r="B81" s="16" t="s">
        <v>30</v>
      </c>
      <c r="P81" s="32"/>
      <c r="Q81" s="35"/>
      <c r="R81" s="36"/>
    </row>
    <row r="82" customFormat="false" ht="12.75" hidden="false" customHeight="false" outlineLevel="1" collapsed="false">
      <c r="B82" s="0" t="s">
        <v>31</v>
      </c>
      <c r="C82" s="17" t="n">
        <f aca="false">_xlfn.COVARIANCE.S('Data Set'!$C$7:$C$106,'Data Set'!$B$7:$B$106)</f>
        <v>1715989.31474747</v>
      </c>
      <c r="P82" s="32" t="s">
        <v>89</v>
      </c>
      <c r="Q82" s="35"/>
      <c r="R82" s="36"/>
    </row>
    <row r="83" customFormat="false" ht="12.75" hidden="false" customHeight="false" outlineLevel="1" collapsed="false">
      <c r="P83" s="32"/>
      <c r="Q83" s="35"/>
      <c r="R83" s="36"/>
    </row>
    <row r="84" customFormat="false" ht="12.75" hidden="false" customHeight="false" outlineLevel="1" collapsed="false">
      <c r="B84" s="16" t="s">
        <v>32</v>
      </c>
      <c r="P84" s="32"/>
      <c r="Q84" s="35"/>
      <c r="R84" s="36"/>
    </row>
    <row r="85" customFormat="false" ht="12.75" hidden="false" customHeight="false" outlineLevel="1" collapsed="false">
      <c r="B85" s="0" t="s">
        <v>33</v>
      </c>
      <c r="C85" s="17" t="n">
        <f aca="false">CORREL('Data Set'!$C$7:$C$106,'Data Set'!$B$7:$B$106)</f>
        <v>0.787189995271882</v>
      </c>
      <c r="P85" s="32"/>
      <c r="Q85" s="35"/>
      <c r="R85" s="36"/>
    </row>
    <row r="86" customFormat="false" ht="12.75" hidden="false" customHeight="false" outlineLevel="1" collapsed="false">
      <c r="P86" s="32"/>
      <c r="Q86" s="35"/>
      <c r="R86" s="36"/>
    </row>
    <row r="87" customFormat="false" ht="12.75" hidden="false" customHeight="false" outlineLevel="1" collapsed="false">
      <c r="B87" s="16" t="s">
        <v>34</v>
      </c>
      <c r="P87" s="32"/>
      <c r="Q87" s="35"/>
      <c r="R87" s="36"/>
    </row>
    <row r="88" customFormat="false" ht="12.75" hidden="false" customHeight="false" outlineLevel="1" collapsed="false">
      <c r="B88" s="0" t="s">
        <v>35</v>
      </c>
      <c r="C88" s="17" t="n">
        <f aca="false">RSQ('Data Set'!$B$7:$B$106,'Data Set'!$C$7:$C$106)</f>
        <v>0.619668088656146</v>
      </c>
      <c r="P88" s="32"/>
      <c r="Q88" s="35"/>
      <c r="R88" s="36"/>
    </row>
    <row r="89" customFormat="false" ht="12.75" hidden="false" customHeight="false" outlineLevel="1" collapsed="false">
      <c r="P89" s="32"/>
      <c r="Q89" s="35"/>
      <c r="R89" s="36"/>
    </row>
    <row r="90" customFormat="false" ht="12.75" hidden="false" customHeight="false" outlineLevel="1" collapsed="false">
      <c r="P90" s="32"/>
      <c r="Q90" s="35"/>
      <c r="R90" s="36"/>
    </row>
    <row r="91" customFormat="false" ht="18.75" hidden="false" customHeight="false" outlineLevel="1" collapsed="false">
      <c r="B91" s="15" t="s">
        <v>39</v>
      </c>
      <c r="P91" s="32"/>
      <c r="Q91" s="35"/>
      <c r="R91" s="36"/>
    </row>
    <row r="92" customFormat="false" ht="12.75" hidden="false" customHeight="false" outlineLevel="1" collapsed="false">
      <c r="B92" s="16" t="s">
        <v>40</v>
      </c>
      <c r="P92" s="32" t="s">
        <v>90</v>
      </c>
      <c r="Q92" s="35"/>
      <c r="R92" s="36" t="s">
        <v>91</v>
      </c>
    </row>
    <row r="93" customFormat="false" ht="12.75" hidden="false" customHeight="false" outlineLevel="1" collapsed="false">
      <c r="B93" s="16" t="s">
        <v>41</v>
      </c>
      <c r="P93" s="32" t="s">
        <v>92</v>
      </c>
      <c r="Q93" s="35"/>
      <c r="R93" s="36" t="s">
        <v>93</v>
      </c>
    </row>
    <row r="94" customFormat="false" ht="12.75" hidden="false" customHeight="false" outlineLevel="1" collapsed="false">
      <c r="B94" s="16" t="s">
        <v>42</v>
      </c>
      <c r="P94" s="32" t="s">
        <v>94</v>
      </c>
      <c r="Q94" s="35"/>
      <c r="R94" s="36"/>
    </row>
    <row r="95" customFormat="false" ht="12.75" hidden="false" customHeight="false" outlineLevel="1" collapsed="false">
      <c r="P95" s="32" t="s">
        <v>95</v>
      </c>
      <c r="Q95" s="35"/>
      <c r="R95" s="36"/>
    </row>
    <row r="96" customFormat="false" ht="12.75" hidden="false" customHeight="false" outlineLevel="1" collapsed="false">
      <c r="P96" s="32" t="s">
        <v>96</v>
      </c>
      <c r="Q96" s="35"/>
      <c r="R96" s="36"/>
    </row>
    <row r="97" customFormat="false" ht="12.75" hidden="false" customHeight="false" outlineLevel="1" collapsed="false">
      <c r="P97" s="32" t="s">
        <v>97</v>
      </c>
      <c r="Q97" s="35"/>
      <c r="R97" s="36"/>
    </row>
    <row r="98" customFormat="false" ht="25.5" hidden="false" customHeight="false" outlineLevel="0" collapsed="false">
      <c r="P98" s="37" t="s">
        <v>98</v>
      </c>
      <c r="Q98" s="35"/>
      <c r="R98" s="36" t="s">
        <v>99</v>
      </c>
    </row>
    <row r="99" customFormat="false" ht="12.75" hidden="false" customHeight="false" outlineLevel="1" collapsed="false">
      <c r="P99" s="32"/>
      <c r="Q99" s="35"/>
      <c r="R99" s="36" t="s">
        <v>100</v>
      </c>
    </row>
    <row r="100" customFormat="false" ht="12.75" hidden="false" customHeight="false" outlineLevel="1" collapsed="false">
      <c r="P100" s="32"/>
      <c r="Q100" s="35"/>
      <c r="R100" s="36"/>
    </row>
    <row r="101" customFormat="false" ht="12.75" hidden="false" customHeight="false" outlineLevel="1" collapsed="false">
      <c r="P101" s="32"/>
      <c r="Q101" s="35"/>
      <c r="R101" s="36"/>
    </row>
    <row r="102" customFormat="false" ht="12.75" hidden="false" customHeight="false" outlineLevel="1" collapsed="false">
      <c r="P102" s="37"/>
      <c r="Q102" s="35"/>
      <c r="R102" s="36"/>
    </row>
    <row r="103" customFormat="false" ht="12.75" hidden="false" customHeight="false" outlineLevel="1" collapsed="false">
      <c r="P103" s="32"/>
      <c r="Q103" s="35"/>
      <c r="R103" s="36"/>
    </row>
    <row r="104" customFormat="false" ht="12.75" hidden="false" customHeight="false" outlineLevel="1" collapsed="false">
      <c r="P104" s="32"/>
      <c r="Q104" s="35"/>
      <c r="R104" s="36"/>
    </row>
    <row r="105" customFormat="false" ht="12.75" hidden="false" customHeight="false" outlineLevel="1" collapsed="false">
      <c r="P105" s="32"/>
      <c r="Q105" s="35"/>
      <c r="R105" s="36"/>
    </row>
    <row r="106" customFormat="false" ht="12.75" hidden="false" customHeight="false" outlineLevel="1" collapsed="false">
      <c r="P106" s="32"/>
      <c r="Q106" s="35"/>
      <c r="R106" s="36"/>
    </row>
    <row r="107" customFormat="false" ht="12.75" hidden="false" customHeight="false" outlineLevel="1" collapsed="false">
      <c r="P107" s="32"/>
      <c r="Q107" s="35"/>
      <c r="R107" s="36"/>
    </row>
    <row r="108" customFormat="false" ht="12.75" hidden="false" customHeight="false" outlineLevel="1" collapsed="false">
      <c r="P108" s="32"/>
      <c r="Q108" s="35"/>
      <c r="R108" s="36"/>
    </row>
    <row r="109" customFormat="false" ht="12.75" hidden="false" customHeight="false" outlineLevel="1" collapsed="false">
      <c r="P109" s="32"/>
      <c r="Q109" s="35"/>
      <c r="R109" s="36"/>
    </row>
    <row r="110" customFormat="false" ht="12.75" hidden="false" customHeight="false" outlineLevel="1" collapsed="false">
      <c r="P110" s="32"/>
      <c r="Q110" s="35"/>
      <c r="R110" s="36"/>
    </row>
    <row r="111" customFormat="false" ht="12.75" hidden="false" customHeight="false" outlineLevel="1" collapsed="false">
      <c r="P111" s="32"/>
      <c r="Q111" s="35"/>
      <c r="R111" s="36"/>
    </row>
    <row r="112" customFormat="false" ht="12.75" hidden="false" customHeight="false" outlineLevel="1" collapsed="false">
      <c r="P112" s="32"/>
      <c r="Q112" s="35"/>
      <c r="R112" s="36"/>
    </row>
    <row r="113" customFormat="false" ht="12.75" hidden="false" customHeight="false" outlineLevel="1" collapsed="false">
      <c r="P113" s="32"/>
      <c r="Q113" s="35"/>
      <c r="R113" s="36"/>
    </row>
    <row r="114" customFormat="false" ht="12.75" hidden="false" customHeight="false" outlineLevel="1" collapsed="false">
      <c r="P114" s="32"/>
      <c r="Q114" s="35"/>
      <c r="R114" s="36"/>
    </row>
    <row r="115" customFormat="false" ht="12.75" hidden="false" customHeight="false" outlineLevel="1" collapsed="false">
      <c r="B115" s="16" t="s">
        <v>43</v>
      </c>
      <c r="P115" s="32"/>
      <c r="Q115" s="35"/>
      <c r="R115" s="36"/>
    </row>
    <row r="116" customFormat="false" ht="12.75" hidden="false" customHeight="false" outlineLevel="1" collapsed="false">
      <c r="B116" s="0" t="s">
        <v>44</v>
      </c>
      <c r="C116" s="17" t="n">
        <f aca="false">SLOPE('Data Set'!$C$7:$C$106,'Data Set'!$B$7:$B$106)</f>
        <v>23.6031048543632</v>
      </c>
      <c r="P116" s="32"/>
      <c r="Q116" s="35"/>
      <c r="R116" s="36"/>
    </row>
    <row r="117" customFormat="false" ht="12.75" hidden="false" customHeight="false" outlineLevel="1" collapsed="false">
      <c r="B117" s="0" t="s">
        <v>45</v>
      </c>
      <c r="C117" s="17" t="n">
        <f aca="false">INTERCEPT('Data Set'!$C$7:$C$106,'Data Set'!$B$7:$B$106)</f>
        <v>2140.54461643149</v>
      </c>
      <c r="P117" s="32"/>
      <c r="Q117" s="35"/>
      <c r="R117" s="36"/>
    </row>
    <row r="118" customFormat="false" ht="12.75" hidden="false" customHeight="false" outlineLevel="1" collapsed="false">
      <c r="C118" s="17"/>
      <c r="P118" s="32"/>
      <c r="Q118" s="35"/>
      <c r="R118" s="36"/>
    </row>
    <row r="119" customFormat="false" ht="12.75" hidden="false" customHeight="false" outlineLevel="1" collapsed="false">
      <c r="B119" s="16" t="s">
        <v>46</v>
      </c>
      <c r="P119" s="32"/>
      <c r="Q119" s="35"/>
      <c r="R119" s="36"/>
    </row>
    <row r="120" customFormat="false" ht="12.75" hidden="false" customHeight="false" outlineLevel="1" collapsed="false">
      <c r="B120" s="0" t="s">
        <v>48</v>
      </c>
      <c r="P120" s="32"/>
      <c r="Q120" s="35"/>
      <c r="R120" s="36"/>
    </row>
    <row r="121" customFormat="false" ht="12.75" hidden="false" customHeight="false" outlineLevel="1" collapsed="false">
      <c r="B121" s="27" t="s">
        <v>49</v>
      </c>
      <c r="C121" s="27" t="s">
        <v>47</v>
      </c>
      <c r="P121" s="32" t="s">
        <v>101</v>
      </c>
      <c r="Q121" s="35"/>
      <c r="R121" s="36"/>
    </row>
    <row r="122" customFormat="false" ht="12.75" hidden="false" customHeight="false" outlineLevel="1" collapsed="false">
      <c r="B122" s="28" t="n">
        <v>100</v>
      </c>
      <c r="C122" s="17" t="n">
        <f aca="false">FORECAST(B122,'Data Set'!$C$7:$C$106,'Data Set'!$B$7:$B$106)</f>
        <v>4500.85510186781</v>
      </c>
      <c r="P122" s="32" t="s">
        <v>102</v>
      </c>
      <c r="Q122" s="35"/>
      <c r="R122" s="36"/>
    </row>
    <row r="123" customFormat="false" ht="12.75" hidden="false" customHeight="false" outlineLevel="1" collapsed="false">
      <c r="B123" s="28" t="n">
        <v>1500</v>
      </c>
      <c r="C123" s="17" t="n">
        <f aca="false">FORECAST(B123,'Data Set'!$C$7:$C$106,'Data Set'!$B$7:$B$106)</f>
        <v>37545.2018979763</v>
      </c>
      <c r="P123" s="32"/>
      <c r="Q123" s="35"/>
      <c r="R123" s="36"/>
    </row>
    <row r="124" customFormat="false" ht="12.75" hidden="false" customHeight="false" outlineLevel="1" collapsed="false">
      <c r="P124" s="32"/>
      <c r="Q124" s="35"/>
      <c r="R124" s="36"/>
    </row>
    <row r="125" customFormat="false" ht="18.75" hidden="false" customHeight="false" outlineLevel="1" collapsed="false">
      <c r="B125" s="15" t="s">
        <v>50</v>
      </c>
      <c r="P125" s="32"/>
      <c r="Q125" s="35"/>
      <c r="R125" s="36"/>
    </row>
    <row r="126" customFormat="false" ht="12.75" hidden="false" customHeight="false" outlineLevel="1" collapsed="false">
      <c r="B126" s="16" t="s">
        <v>51</v>
      </c>
      <c r="P126" s="32"/>
      <c r="Q126" s="35"/>
      <c r="R126" s="36"/>
      <c r="S126" s="29"/>
    </row>
    <row r="127" customFormat="false" ht="12.75" hidden="false" customHeight="false" outlineLevel="1" collapsed="false">
      <c r="B127" s="16" t="s">
        <v>41</v>
      </c>
      <c r="P127" s="32" t="s">
        <v>103</v>
      </c>
      <c r="Q127" s="35"/>
      <c r="R127" s="36"/>
    </row>
    <row r="128" customFormat="false" ht="12.75" hidden="false" customHeight="false" outlineLevel="1" collapsed="false">
      <c r="B128" s="16" t="s">
        <v>52</v>
      </c>
      <c r="P128" s="32" t="s">
        <v>104</v>
      </c>
      <c r="Q128" s="35"/>
      <c r="R128" s="36"/>
    </row>
    <row r="129" customFormat="false" ht="12.75" hidden="false" customHeight="false" outlineLevel="0" collapsed="false">
      <c r="P129" s="32" t="s">
        <v>105</v>
      </c>
      <c r="Q129" s="35"/>
      <c r="R129" s="36"/>
    </row>
    <row r="130" customFormat="false" ht="12.75" hidden="false" customHeight="false" outlineLevel="0" collapsed="false">
      <c r="P130" s="32" t="s">
        <v>106</v>
      </c>
      <c r="Q130" s="35"/>
      <c r="R130" s="36"/>
    </row>
    <row r="131" customFormat="false" ht="12.75" hidden="false" customHeight="false" outlineLevel="0" collapsed="false">
      <c r="P131" s="32" t="s">
        <v>107</v>
      </c>
      <c r="Q131" s="35"/>
      <c r="R131" s="36"/>
    </row>
    <row r="132" customFormat="false" ht="12.75" hidden="false" customHeight="false" outlineLevel="0" collapsed="false">
      <c r="P132" s="32"/>
      <c r="Q132" s="35"/>
      <c r="R132" s="36"/>
    </row>
    <row r="133" customFormat="false" ht="12.75" hidden="false" customHeight="false" outlineLevel="0" collapsed="false">
      <c r="P133" s="32"/>
      <c r="Q133" s="35"/>
      <c r="R133" s="36"/>
    </row>
    <row r="134" customFormat="false" ht="12.75" hidden="false" customHeight="false" outlineLevel="0" collapsed="false">
      <c r="P134" s="32"/>
      <c r="Q134" s="35"/>
      <c r="R134" s="36"/>
    </row>
    <row r="135" customFormat="false" ht="12.75" hidden="false" customHeight="false" outlineLevel="0" collapsed="false">
      <c r="P135" s="32"/>
      <c r="Q135" s="35"/>
      <c r="R135" s="36"/>
    </row>
    <row r="136" customFormat="false" ht="12.75" hidden="false" customHeight="false" outlineLevel="0" collapsed="false">
      <c r="P136" s="32"/>
      <c r="Q136" s="35"/>
      <c r="R136" s="36"/>
    </row>
    <row r="137" customFormat="false" ht="12.75" hidden="false" customHeight="false" outlineLevel="0" collapsed="false">
      <c r="P137" s="32"/>
      <c r="Q137" s="35"/>
      <c r="R137" s="36"/>
    </row>
    <row r="138" customFormat="false" ht="12.75" hidden="false" customHeight="false" outlineLevel="0" collapsed="false">
      <c r="P138" s="32"/>
      <c r="Q138" s="35"/>
      <c r="R138" s="36"/>
    </row>
    <row r="139" customFormat="false" ht="12.75" hidden="false" customHeight="false" outlineLevel="0" collapsed="false">
      <c r="P139" s="32"/>
      <c r="Q139" s="35"/>
      <c r="R139" s="36"/>
    </row>
    <row r="140" customFormat="false" ht="12.75" hidden="false" customHeight="false" outlineLevel="0" collapsed="false">
      <c r="P140" s="32"/>
      <c r="Q140" s="35"/>
      <c r="R140" s="36"/>
    </row>
    <row r="141" customFormat="false" ht="12.75" hidden="false" customHeight="false" outlineLevel="0" collapsed="false">
      <c r="P141" s="32"/>
      <c r="Q141" s="35"/>
      <c r="R141" s="36"/>
    </row>
    <row r="142" customFormat="false" ht="12.75" hidden="false" customHeight="false" outlineLevel="0" collapsed="false">
      <c r="P142" s="32"/>
      <c r="Q142" s="35"/>
      <c r="R142" s="36"/>
    </row>
    <row r="143" customFormat="false" ht="12.75" hidden="false" customHeight="false" outlineLevel="0" collapsed="false">
      <c r="P143" s="32"/>
      <c r="Q143" s="35"/>
      <c r="R143" s="36"/>
    </row>
    <row r="144" customFormat="false" ht="12.75" hidden="false" customHeight="false" outlineLevel="0" collapsed="false">
      <c r="P144" s="32"/>
      <c r="Q144" s="35"/>
      <c r="R144" s="36"/>
    </row>
    <row r="145" customFormat="false" ht="12.75" hidden="false" customHeight="false" outlineLevel="0" collapsed="false">
      <c r="P145" s="32"/>
      <c r="Q145" s="35"/>
      <c r="R145" s="36"/>
    </row>
    <row r="146" customFormat="false" ht="12.75" hidden="false" customHeight="false" outlineLevel="0" collapsed="false">
      <c r="P146" s="32"/>
      <c r="Q146" s="35"/>
      <c r="R146" s="36"/>
    </row>
    <row r="147" customFormat="false" ht="12.75" hidden="false" customHeight="false" outlineLevel="0" collapsed="false">
      <c r="P147" s="32"/>
      <c r="Q147" s="35"/>
      <c r="R147" s="36"/>
    </row>
    <row r="148" customFormat="false" ht="12.75" hidden="false" customHeight="false" outlineLevel="0" collapsed="false">
      <c r="P148" s="32"/>
      <c r="Q148" s="35"/>
      <c r="R148" s="36"/>
    </row>
    <row r="149" customFormat="false" ht="12.75" hidden="false" customHeight="false" outlineLevel="0" collapsed="false">
      <c r="B149" s="16" t="s">
        <v>43</v>
      </c>
      <c r="P149" s="32"/>
      <c r="Q149" s="35"/>
      <c r="R149" s="36"/>
    </row>
    <row r="150" customFormat="false" ht="12.75" hidden="false" customHeight="false" outlineLevel="0" collapsed="false">
      <c r="B150" s="0" t="s">
        <v>44</v>
      </c>
      <c r="C150" s="17" t="n">
        <f aca="false">SLOPE('Data Set'!B53:B152,'Data Set'!C53:C152)</f>
        <v>0.0264190228426938</v>
      </c>
      <c r="P150" s="32"/>
      <c r="Q150" s="35"/>
      <c r="R150" s="36"/>
    </row>
    <row r="151" customFormat="false" ht="13.5" hidden="false" customHeight="false" outlineLevel="0" collapsed="false">
      <c r="B151" s="0" t="s">
        <v>45</v>
      </c>
      <c r="C151" s="17" t="n">
        <f aca="false">INTERCEPT('Data Set'!B53:B152,'Data Set'!C53:C152)</f>
        <v>230.396302482704</v>
      </c>
      <c r="P151" s="40"/>
      <c r="Q151" s="41"/>
      <c r="R151" s="42"/>
    </row>
    <row r="153" customFormat="false" ht="12.75" hidden="false" customHeight="false" outlineLevel="0" collapsed="false">
      <c r="B153" s="16" t="s">
        <v>53</v>
      </c>
    </row>
    <row r="154" customFormat="false" ht="12.75" hidden="false" customHeight="false" outlineLevel="0" collapsed="false">
      <c r="B154" s="0" t="s">
        <v>48</v>
      </c>
    </row>
    <row r="155" customFormat="false" ht="12.75" hidden="false" customHeight="false" outlineLevel="0" collapsed="false">
      <c r="B155" s="27" t="s">
        <v>49</v>
      </c>
      <c r="C155" s="27" t="s">
        <v>47</v>
      </c>
    </row>
    <row r="156" customFormat="false" ht="12.75" hidden="false" customHeight="false" outlineLevel="0" collapsed="false">
      <c r="B156" s="28" t="n">
        <v>100</v>
      </c>
      <c r="C156" s="17" t="n">
        <f aca="false">FORECAST(B156,'Data Set'!$B$7:$B$106,'Data Set'!$C$7:$C$106)</f>
        <v>232.993100154135</v>
      </c>
    </row>
    <row r="157" customFormat="false" ht="12.75" hidden="false" customHeight="false" outlineLevel="0" collapsed="false">
      <c r="B157" s="28" t="n">
        <v>500</v>
      </c>
      <c r="C157" s="17" t="n">
        <f aca="false">FORECAST(B157,'Data Set'!$B$7:$B$106,'Data Set'!$C$7:$C$106)</f>
        <v>243.494567524291</v>
      </c>
    </row>
    <row r="158" customFormat="false" ht="12.75" hidden="false" customHeight="false" outlineLevel="0" collapsed="false">
      <c r="B158" s="28" t="n">
        <v>10000</v>
      </c>
      <c r="C158" s="17" t="n">
        <f aca="false">FORECAST(B158,'Data Set'!$B$7:$B$106,'Data Set'!$C$7:$C$106)</f>
        <v>492.904417565488</v>
      </c>
    </row>
    <row r="159" customFormat="false" ht="12.75" hidden="false" customHeight="false" outlineLevel="0" collapsed="false">
      <c r="B159" s="28" t="n">
        <v>50000</v>
      </c>
      <c r="C159" s="17" t="n">
        <f aca="false">FORECAST(B159,'Data Set'!$B$7:$B$106,'Data Set'!$C$7:$C$106)</f>
        <v>1543.05115458106</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drawing r:id="rId1"/>
</worksheet>
</file>

<file path=docProps/app.xml><?xml version="1.0" encoding="utf-8"?>
<Properties xmlns="http://schemas.openxmlformats.org/officeDocument/2006/extended-properties" xmlns:vt="http://schemas.openxmlformats.org/officeDocument/2006/docPropsVTypes">
  <Template/>
  <TotalTime>44</TotalTime>
  <Application>LibreOffice/6.0.7.3$Linux_X86_64 LibreOffice_project/00m0$Build-3</Application>
  <Company>PricewaterhouseCoopers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2016-06-22T22:01:00Z</dcterms:created>
  <dc:creator>Matthew Jacobs</dc:creator>
  <dc:description/>
  <dc:language>en-US</dc:language>
  <cp:lastModifiedBy/>
  <dcterms:modified xsi:type="dcterms:W3CDTF">2020-07-07T17:53:45Z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BrandFormat">
    <vt:lpwstr>1.0</vt:lpwstr>
  </property>
  <property fmtid="{D5CDD505-2E9C-101B-9397-08002B2CF9AE}" pid="4" name="Company">
    <vt:lpwstr>PricewaterhouseCoopers</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ScaleCrop">
    <vt:bool>0</vt:bool>
  </property>
  <property fmtid="{D5CDD505-2E9C-101B-9397-08002B2CF9AE}" pid="9" name="ShareDoc">
    <vt:bool>0</vt:bool>
  </property>
  <property fmtid="{D5CDD505-2E9C-101B-9397-08002B2CF9AE}" pid="10" name="Smrt_NotesFontSize">
    <vt:lpwstr>8</vt:lpwstr>
  </property>
  <property fmtid="{D5CDD505-2E9C-101B-9397-08002B2CF9AE}" pid="11" name="Smrt_WorkbookNumberDisplay">
    <vt:lpwstr>0</vt:lpwstr>
  </property>
  <property fmtid="{D5CDD505-2E9C-101B-9397-08002B2CF9AE}" pid="12" name="Smrt_WorkbookPercentageDisplay">
    <vt:lpwstr>0</vt:lpwstr>
  </property>
  <property fmtid="{D5CDD505-2E9C-101B-9397-08002B2CF9AE}" pid="13" name="Smrt_WorkbookThemeColor">
    <vt:lpwstr>PwC Maroon</vt:lpwstr>
  </property>
</Properties>
</file>