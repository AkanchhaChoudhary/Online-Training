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Cover Page" sheetId="1" state="visible" r:id="rId3"/>
    <sheet name="Table of contents" sheetId="2" state="visible" r:id="rId4"/>
    <sheet name="Data Set" sheetId="3" state="visible" r:id="rId5"/>
    <sheet name="Section 1 - Instruction" sheetId="4" state="visible" r:id="rId6"/>
    <sheet name="Section 1 - ANS" sheetId="5" state="hidden" r:id="rId7"/>
  </sheets>
  <externalReferences>
    <externalReference r:id="rId8"/>
  </externalReferences>
  <definedNames>
    <definedName function="false" hidden="false" name="Country" vbProcedure="false">'Data Set'!$F$9:$F$32</definedName>
    <definedName function="false" hidden="false" name="EBITA" vbProcedure="false">'Data Set'!$D$9:$D$32</definedName>
    <definedName function="false" hidden="false" name="EBITA_Per" vbProcedure="false">'Data Set'!$E$9:$E$32</definedName>
    <definedName function="false" hidden="false" name="EBITDA" vbProcedure="false">'Data Set'!$D$9:$D$32</definedName>
    <definedName function="false" hidden="false" name="EBITDA_Per" vbProcedure="false">'Data Set'!$E$9:$E$32</definedName>
    <definedName function="false" hidden="false" name="Name" vbProcedure="false">'Data Set'!$B$38:$I$38</definedName>
    <definedName function="false" hidden="false" name="Personal_Info" vbProcedure="false">'Data Set'!$B$38:$B$44</definedName>
    <definedName function="false" hidden="false" name="Revenue" vbProcedure="false">'Data Set'!$C$9:$C$32</definedName>
    <definedName function="false" hidden="false" localSheetId="1" name="Country" vbProcedure="false">'[1]Data Set'!$F$9:$F$32</definedName>
    <definedName function="false" hidden="false" localSheetId="1" name="Name" vbProcedure="false">'[1]Data Set'!$B$38:$I$38</definedName>
    <definedName function="false" hidden="false" localSheetId="1" name="Personal_Info" vbProcedure="false">'[1]Data Set'!$B$38:$B$44</definedName>
    <definedName function="false" hidden="false" localSheetId="1" name="Revenue" vbProcedure="false">'[1]Data Set'!$C$9:$C$32</definedName>
    <definedName function="true" hidden="false" name="ThisWorkbook.Send_To_1A" vbProcedure="true"/>
    <definedName function="true" hidden="false" name="ThisWorkbook.Send_To_1B" vbProcedure="true"/>
    <definedName function="true" hidden="false" name="ThisWorkbook.Send_To_2A" vbProcedure="true"/>
    <definedName function="true" hidden="false" name="ThisWorkbook.Send_To_2B" vbProcedure="true"/>
    <definedName function="true" hidden="false" name="ThisWorkbook.Send_To_3A" vbProcedure="true"/>
    <definedName function="true" hidden="false" name="ThisWorkbook.Send_To_3B" vbProcedure="true"/>
    <definedName function="true" hidden="false" name="ThisWorkbook.Send_To_4A" vbProcedure="true"/>
    <definedName function="true" hidden="false" name="ThisWorkbook.Send_To_4B" vbProcedure="true"/>
    <definedName function="true" hidden="false" name="ThisWorkbook.Send_Instruction_To_1A" vbProcedure="true"/>
    <definedName function="true" hidden="false" name="ThisWorkbook.Send_Instruction_To_1B" vbProcedure="true"/>
    <definedName function="true" hidden="false" name="ThisWorkbook.Send_Instruction_To_2A" vbProcedure="true"/>
    <definedName function="true" hidden="false" name="ThisWorkbook.Send_Instruction_To_2B" vbProcedure="true"/>
    <definedName function="true" hidden="false" name="ThisWorkbook.Send_Instruction_To_3A" vbProcedure="true"/>
    <definedName function="true" hidden="false" name="ThisWorkbook.Send_Instruction_To_3B" vbProcedure="true"/>
    <definedName function="true" hidden="false" name="ThisWorkbook.Send_Instruction_To_4A" vbProcedure="true"/>
    <definedName function="true" hidden="false" name="ThisWorkbook.Send_Instruction_To_4B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<sst xmlns="http://schemas.openxmlformats.org/spreadsheetml/2006/main" count="226" uniqueCount="102">
  <si>
    <t xml:space="preserve">Problem Solving With Excel </t>
  </si>
  <si>
    <t xml:space="preserve">Week 4</t>
  </si>
  <si>
    <t xml:space="preserve">Index Match</t>
  </si>
  <si>
    <t xml:space="preserve">Summary</t>
  </si>
  <si>
    <t xml:space="preserve">Section</t>
  </si>
  <si>
    <t xml:space="preserve">Description</t>
  </si>
  <si>
    <t xml:space="preserve">Data Set</t>
  </si>
  <si>
    <t xml:space="preserve">Sample data set</t>
  </si>
  <si>
    <t xml:space="preserve">Section 1 - Instruction</t>
  </si>
  <si>
    <t xml:space="preserve">Questions</t>
  </si>
  <si>
    <t xml:space="preserve">Section 1 - Ans</t>
  </si>
  <si>
    <t xml:space="preserve">Answer set for index match questions</t>
  </si>
  <si>
    <t xml:space="preserve">Data Set for Questions 1A-3B</t>
  </si>
  <si>
    <t xml:space="preserve">Revenue</t>
  </si>
  <si>
    <t xml:space="preserve">EBITDA</t>
  </si>
  <si>
    <t xml:space="preserve">EBITDA %</t>
  </si>
  <si>
    <t xml:space="preserve">Country</t>
  </si>
  <si>
    <t xml:space="preserve">Panama</t>
  </si>
  <si>
    <t xml:space="preserve">Tanzania, United Republic of</t>
  </si>
  <si>
    <t xml:space="preserve">South Africa</t>
  </si>
  <si>
    <t xml:space="preserve">Gabon</t>
  </si>
  <si>
    <t xml:space="preserve">Syrian Arab Republic</t>
  </si>
  <si>
    <t xml:space="preserve">Guadeloupe</t>
  </si>
  <si>
    <t xml:space="preserve">Macedonia</t>
  </si>
  <si>
    <t xml:space="preserve">Kyrgyzstan</t>
  </si>
  <si>
    <t xml:space="preserve">Reunion</t>
  </si>
  <si>
    <t xml:space="preserve">Turks and Caicos Islands</t>
  </si>
  <si>
    <t xml:space="preserve">Netherlands Antilles</t>
  </si>
  <si>
    <t xml:space="preserve">Tuvalu</t>
  </si>
  <si>
    <t xml:space="preserve">Nepal</t>
  </si>
  <si>
    <t xml:space="preserve">Malawi</t>
  </si>
  <si>
    <t xml:space="preserve">Moldova</t>
  </si>
  <si>
    <t xml:space="preserve">Burkina Faso</t>
  </si>
  <si>
    <t xml:space="preserve">Bouvet Island</t>
  </si>
  <si>
    <t xml:space="preserve">Liberia</t>
  </si>
  <si>
    <t xml:space="preserve">Vanuatu</t>
  </si>
  <si>
    <t xml:space="preserve">Palau</t>
  </si>
  <si>
    <t xml:space="preserve">Madagascar</t>
  </si>
  <si>
    <t xml:space="preserve">Yemen</t>
  </si>
  <si>
    <t xml:space="preserve">Data Set for Questions 4A and 4B</t>
  </si>
  <si>
    <t xml:space="preserve">Personal Info</t>
  </si>
  <si>
    <t xml:space="preserve">Bill Rider</t>
  </si>
  <si>
    <t xml:space="preserve">Scott Davenport</t>
  </si>
  <si>
    <t xml:space="preserve">Rod Filmore</t>
  </si>
  <si>
    <t xml:space="preserve">Sara Martin</t>
  </si>
  <si>
    <t xml:space="preserve">Jose Smith</t>
  </si>
  <si>
    <t xml:space="preserve">Jill Trainor</t>
  </si>
  <si>
    <t xml:space="preserve">Liam Su</t>
  </si>
  <si>
    <t xml:space="preserve">Height</t>
  </si>
  <si>
    <t xml:space="preserve">5-9</t>
  </si>
  <si>
    <t xml:space="preserve">5-8</t>
  </si>
  <si>
    <t xml:space="preserve">6-1</t>
  </si>
  <si>
    <t xml:space="preserve">5-11</t>
  </si>
  <si>
    <t xml:space="preserve">5-4</t>
  </si>
  <si>
    <t xml:space="preserve">6-4</t>
  </si>
  <si>
    <t xml:space="preserve">Weight</t>
  </si>
  <si>
    <t xml:space="preserve">Sex</t>
  </si>
  <si>
    <t xml:space="preserve">M</t>
  </si>
  <si>
    <t xml:space="preserve">F</t>
  </si>
  <si>
    <t xml:space="preserve">City</t>
  </si>
  <si>
    <t xml:space="preserve">New York</t>
  </si>
  <si>
    <t xml:space="preserve">Boston</t>
  </si>
  <si>
    <t xml:space="preserve">Chicago</t>
  </si>
  <si>
    <t xml:space="preserve">DC</t>
  </si>
  <si>
    <t xml:space="preserve">LA</t>
  </si>
  <si>
    <t xml:space="preserve">Boise</t>
  </si>
  <si>
    <t xml:space="preserve">Atlanta</t>
  </si>
  <si>
    <t xml:space="preserve">Hair Color</t>
  </si>
  <si>
    <t xml:space="preserve">Brown</t>
  </si>
  <si>
    <t xml:space="preserve">Black</t>
  </si>
  <si>
    <t xml:space="preserve">Blonde</t>
  </si>
  <si>
    <t xml:space="preserve">Red</t>
  </si>
  <si>
    <t xml:space="preserve">Eye Color</t>
  </si>
  <si>
    <t xml:space="preserve">Green</t>
  </si>
  <si>
    <t xml:space="preserve">Blue</t>
  </si>
  <si>
    <t xml:space="preserve">Problem 1A - Instructor Lead</t>
  </si>
  <si>
    <t xml:space="preserve">INDEX</t>
  </si>
  <si>
    <t xml:space="preserve">What country is in the 3rd row, including the header as your first row of data?</t>
  </si>
  <si>
    <t xml:space="preserve">Problem 1B - Student Exersise</t>
  </si>
  <si>
    <t xml:space="preserve">Index</t>
  </si>
  <si>
    <t xml:space="preserve">What is the Revenue in the 5th Row, including the header as your first row of data?</t>
  </si>
  <si>
    <t xml:space="preserve">Problem 2A - Instructor Lead</t>
  </si>
  <si>
    <t xml:space="preserve">Match</t>
  </si>
  <si>
    <t xml:space="preserve">What row is "Macedonia" on, including the header as your first row of data?</t>
  </si>
  <si>
    <t xml:space="preserve">macedonia</t>
  </si>
  <si>
    <t xml:space="preserve">Problem 2B - Student Exersise</t>
  </si>
  <si>
    <t xml:space="preserve">Which column is "EBITDA" in, including the header as your first row of data?</t>
  </si>
  <si>
    <t xml:space="preserve">Problem 3A - Instructor Lead</t>
  </si>
  <si>
    <t xml:space="preserve">INDEX (MATCH)</t>
  </si>
  <si>
    <t xml:space="preserve">Find the Revenue for each country listed below</t>
  </si>
  <si>
    <t xml:space="preserve">Match (Row)</t>
  </si>
  <si>
    <t xml:space="preserve">Index and answer from C</t>
  </si>
  <si>
    <t xml:space="preserve">(Index-Match)</t>
  </si>
  <si>
    <t xml:space="preserve">Problem 3B - Student Exersise</t>
  </si>
  <si>
    <t xml:space="preserve">Find the EBITDA  for each country listed below</t>
  </si>
  <si>
    <t xml:space="preserve">Problem 4A - Instructor Lead</t>
  </si>
  <si>
    <t xml:space="preserve"> personal information</t>
  </si>
  <si>
    <t xml:space="preserve">Personal Information</t>
  </si>
  <si>
    <t xml:space="preserve">Use Column C&amp;D</t>
  </si>
  <si>
    <t xml:space="preserve">Index - Match</t>
  </si>
  <si>
    <t xml:space="preserve">Problem 4B - Student Exersise</t>
  </si>
  <si>
    <t xml:space="preserve">`</t>
  </si>
</sst>
</file>

<file path=xl/styles.xml><?xml version="1.0" encoding="utf-8"?>
<styleSheet xmlns="http://schemas.openxmlformats.org/spreadsheetml/2006/main">
  <numFmts count="11">
    <numFmt numFmtId="164" formatCode="_(* #,##0_);_(* \(#,##0\);_(* \-_);@_)"/>
    <numFmt numFmtId="165" formatCode="General"/>
    <numFmt numFmtId="166" formatCode="0%_);\(0%\)"/>
    <numFmt numFmtId="167" formatCode="@"/>
    <numFmt numFmtId="168" formatCode="0%"/>
    <numFmt numFmtId="169" formatCode="\$#,##0.00_);[RED]&quot;($&quot;#,##0.00\)"/>
    <numFmt numFmtId="170" formatCode="_(\$* #,##0.00_);_(\$* \(#,##0.00\);_(\$* \-??_);_(@_)"/>
    <numFmt numFmtId="171" formatCode="_(* #,##0.00_);_(* \(#,##0.00\);_(* \-??_);_(@_)"/>
    <numFmt numFmtId="172" formatCode="_(* #,##0_);_(* \(#,##0\);_(* \-??_);_(@_)"/>
    <numFmt numFmtId="173" formatCode="0"/>
    <numFmt numFmtId="174" formatCode="\$#,##0_);[RED]&quot;($&quot;#,##0\)"/>
  </numFmts>
  <fonts count="22">
    <font>
      <sz val="9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9"/>
      <color rgb="FF602320"/>
      <name val="Calibri"/>
      <family val="2"/>
      <charset val="1"/>
    </font>
    <font>
      <sz val="8"/>
      <color rgb="FF000000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b val="true"/>
      <sz val="11"/>
      <color rgb="FF602320"/>
      <name val="Calibri"/>
      <family val="2"/>
      <charset val="1"/>
    </font>
    <font>
      <b val="true"/>
      <sz val="14"/>
      <color rgb="FF7A1818"/>
      <name val="Calibri"/>
      <family val="2"/>
      <charset val="1"/>
    </font>
    <font>
      <b val="true"/>
      <sz val="10"/>
      <color rgb="FF7A1818"/>
      <name val="Arial"/>
      <family val="2"/>
      <charset val="1"/>
    </font>
    <font>
      <b val="true"/>
      <sz val="14"/>
      <color rgb="FF7A1818"/>
      <name val="Arial"/>
      <family val="2"/>
      <charset val="1"/>
    </font>
    <font>
      <b val="true"/>
      <sz val="9"/>
      <color rgb="FF602320"/>
      <name val="Arial"/>
      <family val="2"/>
      <charset val="1"/>
    </font>
    <font>
      <b val="true"/>
      <u val="single"/>
      <sz val="14"/>
      <color rgb="FF602320"/>
      <name val="Calibri"/>
      <family val="2"/>
      <charset val="1"/>
    </font>
    <font>
      <b val="true"/>
      <sz val="10"/>
      <color rgb="FFFFFFFF"/>
      <name val="Arial"/>
      <family val="2"/>
      <charset val="1"/>
    </font>
    <font>
      <sz val="10"/>
      <color rgb="FFFFFFFF"/>
      <name val="Arial"/>
      <family val="2"/>
      <charset val="1"/>
    </font>
    <font>
      <u val="single"/>
      <sz val="10"/>
      <color rgb="FFFFFFFF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02320"/>
      <name val="Arial"/>
      <family val="2"/>
      <charset val="1"/>
    </font>
    <font>
      <sz val="10"/>
      <color rgb="FF00B050"/>
      <name val="Arial"/>
      <family val="2"/>
      <charset val="1"/>
    </font>
    <font>
      <b val="true"/>
      <u val="single"/>
      <sz val="10"/>
      <color rgb="FFFFFFFF"/>
      <name val="Arial"/>
      <family val="2"/>
      <charset val="1"/>
    </font>
    <font>
      <b val="true"/>
      <sz val="12"/>
      <color rgb="FF000000"/>
      <name val="Calibri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FCD4B6"/>
        <bgColor rgb="FFFFE1C5"/>
      </patternFill>
    </fill>
    <fill>
      <patternFill patternType="solid">
        <fgColor rgb="FFE8E6DF"/>
        <bgColor rgb="FFF2F2F2"/>
      </patternFill>
    </fill>
    <fill>
      <patternFill patternType="solid">
        <fgColor rgb="FFF2F2F2"/>
        <bgColor rgb="FFE8E6DF"/>
      </patternFill>
    </fill>
    <fill>
      <patternFill patternType="solid">
        <fgColor rgb="FF602320"/>
        <bgColor rgb="FF7A1818"/>
      </patternFill>
    </fill>
    <fill>
      <patternFill patternType="solid">
        <fgColor rgb="FFFFFFFF"/>
        <bgColor rgb="FFF2F2F2"/>
      </patternFill>
    </fill>
    <fill>
      <patternFill patternType="solid">
        <fgColor rgb="FFECC7C6"/>
        <bgColor rgb="FFFCD4B6"/>
      </patternFill>
    </fill>
  </fills>
  <borders count="12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602320"/>
      </bottom>
      <diagonal/>
    </border>
    <border diagonalUp="false" diagonalDown="false">
      <left/>
      <right/>
      <top style="medium">
        <color rgb="FF602320"/>
      </top>
      <bottom/>
      <diagonal/>
    </border>
    <border diagonalUp="false" diagonalDown="false">
      <left/>
      <right/>
      <top style="thin">
        <color rgb="FF602320"/>
      </top>
      <bottom/>
      <diagonal/>
    </border>
    <border diagonalUp="false" diagonalDown="false">
      <left/>
      <right/>
      <top style="thin">
        <color rgb="FF602320"/>
      </top>
      <bottom style="medium">
        <color rgb="FF602320"/>
      </bottom>
      <diagonal/>
    </border>
    <border diagonalUp="false" diagonalDown="false">
      <left/>
      <right/>
      <top style="medium">
        <color rgb="FF602320"/>
      </top>
      <bottom style="dotted">
        <color rgb="FF602320"/>
      </bottom>
      <diagonal/>
    </border>
    <border diagonalUp="false" diagonalDown="false">
      <left/>
      <right/>
      <top style="dotted">
        <color rgb="FF602320"/>
      </top>
      <bottom style="dotted">
        <color rgb="FF602320"/>
      </bottom>
      <diagonal/>
    </border>
    <border diagonalUp="false" diagonalDown="false">
      <left/>
      <right/>
      <top style="dotted">
        <color rgb="FF602320"/>
      </top>
      <bottom style="hair">
        <color rgb="FF602320"/>
      </bottom>
      <diagonal/>
    </border>
    <border diagonalUp="false" diagonalDown="false">
      <left/>
      <right/>
      <top/>
      <bottom style="thin">
        <color rgb="FF602320"/>
      </bottom>
      <diagonal/>
    </border>
    <border diagonalUp="false" diagonalDown="false">
      <left/>
      <right/>
      <top style="thin">
        <color rgb="FF602320"/>
      </top>
      <bottom style="thin">
        <color rgb="FF602320"/>
      </bottom>
      <diagonal/>
    </border>
    <border diagonalUp="false" diagonalDown="false">
      <left/>
      <right/>
      <top style="medium">
        <color rgb="FF602320"/>
      </top>
      <bottom style="hair">
        <color rgb="FF602320"/>
      </bottom>
      <diagonal/>
    </border>
    <border diagonalUp="false" diagonalDown="false">
      <left/>
      <right/>
      <top style="hair">
        <color rgb="FF602320"/>
      </top>
      <bottom style="hair">
        <color rgb="FF602320"/>
      </bottom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1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true" applyAlignment="true" applyProtection="false">
      <alignment horizontal="general" vertical="bottom" textRotation="0" wrapText="false" indent="0" shrinkToFit="false"/>
    </xf>
    <xf numFmtId="165" fontId="5" fillId="0" borderId="1" applyFont="true" applyBorder="true" applyAlignment="true" applyProtection="false">
      <alignment horizontal="right" vertical="bottom" textRotation="0" wrapText="true" indent="0" shrinkToFit="false"/>
    </xf>
    <xf numFmtId="165" fontId="5" fillId="0" borderId="0" applyFont="true" applyBorder="true" applyAlignment="true" applyProtection="false">
      <alignment horizontal="general" vertical="bottom" textRotation="0" wrapText="true" indent="0" shrinkToFit="false"/>
    </xf>
    <xf numFmtId="165" fontId="5" fillId="0" borderId="2" applyFont="true" applyBorder="true" applyAlignment="true" applyProtection="false">
      <alignment horizontal="general" vertical="bottom" textRotation="0" wrapText="true" indent="0" shrinkToFit="false"/>
    </xf>
    <xf numFmtId="164" fontId="7" fillId="0" borderId="3" applyFont="true" applyBorder="true" applyAlignment="true" applyProtection="false">
      <alignment horizontal="general" vertical="bottom" textRotation="0" wrapText="false" indent="0" shrinkToFit="false"/>
    </xf>
    <xf numFmtId="165" fontId="8" fillId="0" borderId="0" applyFont="true" applyBorder="true" applyAlignment="true" applyProtection="false">
      <alignment horizontal="general" vertical="bottom" textRotation="0" wrapText="false" indent="0" shrinkToFit="false"/>
    </xf>
    <xf numFmtId="164" fontId="7" fillId="0" borderId="4" applyFont="true" applyBorder="true" applyAlignment="true" applyProtection="false">
      <alignment horizontal="general" vertical="bottom" textRotation="0" wrapText="false" indent="0" shrinkToFit="false"/>
    </xf>
    <xf numFmtId="167" fontId="12" fillId="0" borderId="1" applyFont="true" applyBorder="true" applyAlignment="true" applyProtection="false">
      <alignment horizontal="right" vertical="bottom" textRotation="0" wrapText="true" indent="0" shrinkToFit="false"/>
    </xf>
  </cellStyleXfs>
  <cellXfs count="5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1" xfId="27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5" fontId="11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2" fillId="0" borderId="1" xfId="33" applyFont="true" applyBorder="false" applyAlignment="false" applyProtection="true">
      <alignment horizontal="right" vertical="bottom" textRotation="0" wrapText="true" indent="0" shrinkToFit="false"/>
      <protection locked="true" hidden="false"/>
    </xf>
    <xf numFmtId="168" fontId="4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2" fillId="4" borderId="5" xfId="33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7" fontId="4" fillId="0" borderId="5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2" fillId="4" borderId="6" xfId="33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7" fontId="4" fillId="0" borderId="6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2" fillId="4" borderId="7" xfId="33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7" fontId="4" fillId="0" borderId="7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3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5" borderId="8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5" fillId="5" borderId="8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5" fillId="5" borderId="8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16" fillId="5" borderId="8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17" fillId="6" borderId="9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8" fillId="0" borderId="9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0" fontId="19" fillId="7" borderId="9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72" fontId="19" fillId="7" borderId="9" xfId="15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4" fontId="17" fillId="0" borderId="9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9" fillId="7" borderId="9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0" fillId="5" borderId="8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7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18" fillId="6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5" fontId="14" fillId="5" borderId="8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4" fillId="5" borderId="8" xfId="2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17" fillId="6" borderId="0" xfId="0" applyFont="true" applyBorder="false" applyAlignment="true" applyProtection="false">
      <alignment horizontal="right" vertical="top" textRotation="0" wrapText="false" indent="0" shrinkToFit="false"/>
      <protection locked="true" hidden="false"/>
    </xf>
    <xf numFmtId="168" fontId="17" fillId="7" borderId="0" xfId="19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5" fontId="17" fillId="6" borderId="9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3" fontId="17" fillId="6" borderId="9" xfId="2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74" fontId="17" fillId="6" borderId="9" xfId="2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5" fontId="14" fillId="5" borderId="8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5" fillId="5" borderId="8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5" fillId="5" borderId="8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5" fontId="16" fillId="5" borderId="8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5" fontId="17" fillId="0" borderId="9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7" fillId="6" borderId="9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8" fillId="0" borderId="9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2" fontId="17" fillId="6" borderId="9" xfId="15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7" fontId="12" fillId="4" borderId="10" xfId="33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5" fontId="4" fillId="0" borderId="10" xfId="2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4" fillId="0" borderId="10" xfId="2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7" fontId="12" fillId="4" borderId="11" xfId="33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7" fontId="4" fillId="0" borderId="11" xfId="2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19" fillId="7" borderId="9" xfId="0" applyFont="true" applyBorder="true" applyAlignment="true" applyProtection="false">
      <alignment horizontal="right" vertical="top" textRotation="0" wrapText="false" indent="0" shrinkToFit="false"/>
      <protection locked="true" hidden="false"/>
    </xf>
  </cellXfs>
  <cellStyles count="20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2" xfId="20" builtinId="53" customBuiltin="true"/>
    <cellStyle name="Smart Bold" xfId="21" builtinId="53" customBuiltin="true"/>
    <cellStyle name="Smart Forecast" xfId="22" builtinId="53" customBuiltin="true"/>
    <cellStyle name="Smart General" xfId="23" builtinId="53" customBuiltin="true"/>
    <cellStyle name="Smart Highlight" xfId="24" builtinId="53" customBuiltin="true"/>
    <cellStyle name="Smart Percent" xfId="25" builtinId="53" customBuiltin="true"/>
    <cellStyle name="Smart Source" xfId="26" builtinId="53" customBuiltin="true"/>
    <cellStyle name="Smart Subtitle 1" xfId="27" builtinId="53" customBuiltin="true"/>
    <cellStyle name="Smart Subtitle 2" xfId="28" builtinId="53" customBuiltin="true"/>
    <cellStyle name="Smart Subtitle 3" xfId="29" builtinId="53" customBuiltin="true"/>
    <cellStyle name="Smart Subtotal" xfId="30" builtinId="53" customBuiltin="true"/>
    <cellStyle name="Smart Title" xfId="31" builtinId="53" customBuiltin="true"/>
    <cellStyle name="Smart Total" xfId="32" builtinId="53" customBuiltin="true"/>
    <cellStyle name="Excel Built-in Heading 1" xfId="33" builtinId="53" customBuiltin="true"/>
  </cellStyles>
  <dxfs count="30"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  <dxf>
      <fill>
        <patternFill>
          <bgColor rgb="FFFFE1C5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A1818"/>
      <rgbColor rgb="FF008000"/>
      <rgbColor rgb="FF000080"/>
      <rgbColor rgb="FF808000"/>
      <rgbColor rgb="FF800080"/>
      <rgbColor rgb="FF008080"/>
      <rgbColor rgb="FFECC7C6"/>
      <rgbColor rgb="FF808080"/>
      <rgbColor rgb="FF9999FF"/>
      <rgbColor rgb="FFBB2740"/>
      <rgbColor rgb="FFF2F2F2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8E6DF"/>
      <rgbColor rgb="FFFFE1C5"/>
      <rgbColor rgb="FF99CCFF"/>
      <rgbColor rgb="FFFF99CC"/>
      <rgbColor rgb="FFCC99FF"/>
      <rgbColor rgb="FFFCD4B6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60232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externalLink" Target="externalLinks/externalLink1.xml"/><Relationship Id="rId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Users/mjacobs040/Documents/Internal%20Work/Modeling/MOOC/Index%20Match%20Template%20Update%20MJ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" activeCellId="0" sqref="G1"/>
    </sheetView>
  </sheetViews>
  <sheetFormatPr defaultRowHeight="12" zeroHeight="false" outlineLevelRow="0" outlineLevelCol="0"/>
  <cols>
    <col collapsed="false" customWidth="true" hidden="false" outlineLevel="0" max="1025" min="1" style="0" width="9"/>
  </cols>
  <sheetData>
    <row r="1" customFormat="false" ht="18.5" hidden="false" customHeight="false" outlineLevel="0" collapsed="false">
      <c r="A1" s="1" t="s">
        <v>0</v>
      </c>
    </row>
    <row r="2" customFormat="false" ht="18.5" hidden="false" customHeight="false" outlineLevel="0" collapsed="false">
      <c r="A2" s="1" t="s">
        <v>1</v>
      </c>
    </row>
    <row r="3" customFormat="false" ht="18.5" hidden="false" customHeight="false" outlineLevel="0" collapsed="false">
      <c r="A3" s="1" t="s">
        <v>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" activeCellId="0" sqref="D1"/>
    </sheetView>
  </sheetViews>
  <sheetFormatPr defaultRowHeight="12.5" zeroHeight="false" outlineLevelRow="0" outlineLevelCol="0"/>
  <cols>
    <col collapsed="false" customWidth="true" hidden="false" outlineLevel="0" max="1" min="1" style="2" width="9.44"/>
    <col collapsed="false" customWidth="true" hidden="false" outlineLevel="0" max="2" min="2" style="2" width="24.55"/>
    <col collapsed="false" customWidth="true" hidden="false" outlineLevel="0" max="3" min="3" style="2" width="41.45"/>
    <col collapsed="false" customWidth="true" hidden="false" outlineLevel="0" max="1025" min="4" style="2" width="9.44"/>
  </cols>
  <sheetData>
    <row r="1" customFormat="false" ht="13" hidden="false" customHeight="false" outlineLevel="0" collapsed="false">
      <c r="A1" s="3" t="str">
        <f aca="false">'Cover Page'!A1</f>
        <v>Problem Solving With Excel </v>
      </c>
    </row>
    <row r="2" customFormat="false" ht="13" hidden="false" customHeight="false" outlineLevel="0" collapsed="false">
      <c r="A2" s="3" t="str">
        <f aca="false">'Cover Page'!A2</f>
        <v>Week 4</v>
      </c>
    </row>
    <row r="3" customFormat="false" ht="13" hidden="false" customHeight="false" outlineLevel="0" collapsed="false">
      <c r="A3" s="3" t="str">
        <f aca="false">'Cover Page'!A3</f>
        <v>Index Match</v>
      </c>
    </row>
    <row r="4" customFormat="false" ht="13" hidden="false" customHeight="false" outlineLevel="0" collapsed="false">
      <c r="A4" s="3" t="s">
        <v>3</v>
      </c>
    </row>
    <row r="7" customFormat="false" ht="13.5" hidden="false" customHeight="false" outlineLevel="0" collapsed="false">
      <c r="B7" s="4" t="s">
        <v>4</v>
      </c>
      <c r="C7" s="4" t="s">
        <v>5</v>
      </c>
    </row>
    <row r="8" customFormat="false" ht="12.5" hidden="false" customHeight="false" outlineLevel="0" collapsed="false">
      <c r="B8" s="2" t="s">
        <v>6</v>
      </c>
      <c r="C8" s="2" t="s">
        <v>7</v>
      </c>
    </row>
    <row r="9" customFormat="false" ht="12.5" hidden="false" customHeight="false" outlineLevel="0" collapsed="false">
      <c r="B9" s="2" t="s">
        <v>8</v>
      </c>
      <c r="C9" s="2" t="s">
        <v>9</v>
      </c>
    </row>
    <row r="10" customFormat="false" ht="12.5" hidden="false" customHeight="false" outlineLevel="0" collapsed="false">
      <c r="B10" s="2" t="s">
        <v>10</v>
      </c>
      <c r="C10" s="2" t="s">
        <v>11</v>
      </c>
    </row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000000"/>
    <pageSetUpPr fitToPage="false"/>
  </sheetPr>
  <dimension ref="A1:I49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1" activeCellId="0" sqref="F21"/>
    </sheetView>
  </sheetViews>
  <sheetFormatPr defaultRowHeight="12.5" zeroHeight="false" outlineLevelRow="1" outlineLevelCol="0"/>
  <cols>
    <col collapsed="false" customWidth="true" hidden="false" outlineLevel="0" max="1" min="1" style="2" width="9.44"/>
    <col collapsed="false" customWidth="true" hidden="false" outlineLevel="0" max="2" min="2" style="2" width="18.45"/>
    <col collapsed="false" customWidth="true" hidden="false" outlineLevel="0" max="3" min="3" style="2" width="12"/>
    <col collapsed="false" customWidth="true" hidden="false" outlineLevel="0" max="4" min="4" style="2" width="15"/>
    <col collapsed="false" customWidth="true" hidden="false" outlineLevel="0" max="5" min="5" style="2" width="9.78"/>
    <col collapsed="false" customWidth="true" hidden="false" outlineLevel="0" max="6" min="6" style="2" width="13.21"/>
    <col collapsed="false" customWidth="true" hidden="false" outlineLevel="0" max="7" min="7" style="2" width="9.44"/>
    <col collapsed="false" customWidth="true" hidden="false" outlineLevel="0" max="8" min="8" style="2" width="11.44"/>
    <col collapsed="false" customWidth="true" hidden="false" outlineLevel="0" max="1025" min="9" style="2" width="9.44"/>
  </cols>
  <sheetData>
    <row r="1" customFormat="false" ht="13" hidden="false" customHeight="false" outlineLevel="0" collapsed="false">
      <c r="A1" s="3" t="str">
        <f aca="false">'Cover Page'!A1</f>
        <v>Problem Solving With Excel </v>
      </c>
    </row>
    <row r="2" customFormat="false" ht="13" hidden="false" customHeight="false" outlineLevel="0" collapsed="false">
      <c r="A2" s="3" t="str">
        <f aca="false">'Cover Page'!A2</f>
        <v>Week 4</v>
      </c>
    </row>
    <row r="3" customFormat="false" ht="13" hidden="false" customHeight="false" outlineLevel="0" collapsed="false">
      <c r="A3" s="3" t="str">
        <f aca="false">'Cover Page'!A3</f>
        <v>Index Match</v>
      </c>
    </row>
    <row r="4" customFormat="false" ht="13" hidden="false" customHeight="false" outlineLevel="0" collapsed="false">
      <c r="A4" s="3" t="s">
        <v>6</v>
      </c>
    </row>
    <row r="7" customFormat="false" ht="18" hidden="false" customHeight="false" outlineLevel="0" collapsed="false">
      <c r="B7" s="5" t="s">
        <v>12</v>
      </c>
    </row>
    <row r="8" customFormat="false" ht="12.5" hidden="true" customHeight="false" outlineLevel="1" collapsed="false"/>
    <row r="9" customFormat="false" ht="23.5" hidden="true" customHeight="false" outlineLevel="1" collapsed="false">
      <c r="C9" s="6" t="s">
        <v>13</v>
      </c>
      <c r="D9" s="6" t="s">
        <v>14</v>
      </c>
      <c r="E9" s="6" t="s">
        <v>15</v>
      </c>
      <c r="F9" s="6" t="s">
        <v>16</v>
      </c>
    </row>
    <row r="10" customFormat="false" ht="12.5" hidden="true" customHeight="false" outlineLevel="1" collapsed="false">
      <c r="C10" s="2" t="n">
        <v>474.5</v>
      </c>
      <c r="D10" s="2" t="n">
        <f aca="false">C10*E10</f>
        <v>56.94</v>
      </c>
      <c r="E10" s="7" t="n">
        <v>0.12</v>
      </c>
      <c r="F10" s="2" t="s">
        <v>17</v>
      </c>
    </row>
    <row r="11" customFormat="false" ht="12.5" hidden="true" customHeight="false" outlineLevel="1" collapsed="false">
      <c r="C11" s="2" t="n">
        <v>1845</v>
      </c>
      <c r="D11" s="2" t="n">
        <f aca="false">C11*E11</f>
        <v>276.75</v>
      </c>
      <c r="E11" s="7" t="n">
        <v>0.15</v>
      </c>
      <c r="F11" s="2" t="s">
        <v>18</v>
      </c>
    </row>
    <row r="12" customFormat="false" ht="12.5" hidden="true" customHeight="false" outlineLevel="1" collapsed="false">
      <c r="C12" s="2" t="n">
        <v>139.86</v>
      </c>
      <c r="D12" s="2" t="n">
        <f aca="false">C12*E12</f>
        <v>25.1748</v>
      </c>
      <c r="E12" s="7" t="n">
        <v>0.18</v>
      </c>
      <c r="F12" s="2" t="s">
        <v>19</v>
      </c>
    </row>
    <row r="13" customFormat="false" ht="12.5" hidden="true" customHeight="false" outlineLevel="1" collapsed="false">
      <c r="C13" s="2" t="n">
        <v>678.3</v>
      </c>
      <c r="D13" s="2" t="n">
        <f aca="false">C13*E13</f>
        <v>128.877</v>
      </c>
      <c r="E13" s="7" t="n">
        <v>0.19</v>
      </c>
      <c r="F13" s="2" t="s">
        <v>20</v>
      </c>
    </row>
    <row r="14" customFormat="false" ht="12.5" hidden="true" customHeight="false" outlineLevel="1" collapsed="false">
      <c r="C14" s="2" t="n">
        <v>387</v>
      </c>
      <c r="D14" s="2" t="n">
        <f aca="false">C14*E14</f>
        <v>96.75</v>
      </c>
      <c r="E14" s="7" t="n">
        <v>0.25</v>
      </c>
      <c r="F14" s="2" t="s">
        <v>21</v>
      </c>
    </row>
    <row r="15" customFormat="false" ht="12.5" hidden="true" customHeight="false" outlineLevel="1" collapsed="false">
      <c r="C15" s="2" t="n">
        <v>492</v>
      </c>
      <c r="D15" s="2" t="n">
        <f aca="false">C15*E15</f>
        <v>295.2</v>
      </c>
      <c r="E15" s="7" t="n">
        <v>0.6</v>
      </c>
      <c r="F15" s="2" t="s">
        <v>22</v>
      </c>
    </row>
    <row r="16" customFormat="false" ht="12.5" hidden="true" customHeight="false" outlineLevel="1" collapsed="false">
      <c r="C16" s="2" t="n">
        <v>348</v>
      </c>
      <c r="D16" s="2" t="n">
        <f aca="false">C16*E16</f>
        <v>3.48</v>
      </c>
      <c r="E16" s="7" t="n">
        <v>0.01</v>
      </c>
      <c r="F16" s="2" t="s">
        <v>23</v>
      </c>
    </row>
    <row r="17" customFormat="false" ht="12.5" hidden="true" customHeight="false" outlineLevel="1" collapsed="false">
      <c r="C17" s="2" t="n">
        <v>468.33</v>
      </c>
      <c r="D17" s="2" t="n">
        <f aca="false">C17*E17</f>
        <v>18.7332</v>
      </c>
      <c r="E17" s="7" t="n">
        <v>0.04</v>
      </c>
      <c r="F17" s="2" t="s">
        <v>24</v>
      </c>
    </row>
    <row r="18" customFormat="false" ht="12.5" hidden="true" customHeight="false" outlineLevel="1" collapsed="false">
      <c r="C18" s="2" t="n">
        <v>873.75</v>
      </c>
      <c r="D18" s="2" t="n">
        <f aca="false">C18*E18</f>
        <v>699</v>
      </c>
      <c r="E18" s="7" t="n">
        <v>0.8</v>
      </c>
      <c r="F18" s="2" t="s">
        <v>25</v>
      </c>
    </row>
    <row r="19" customFormat="false" ht="12.5" hidden="true" customHeight="false" outlineLevel="1" collapsed="false">
      <c r="C19" s="2" t="n">
        <v>461.5</v>
      </c>
      <c r="D19" s="2" t="n">
        <f aca="false">C19*E19</f>
        <v>184.6</v>
      </c>
      <c r="E19" s="7" t="n">
        <v>0.4</v>
      </c>
      <c r="F19" s="2" t="s">
        <v>26</v>
      </c>
    </row>
    <row r="20" customFormat="false" ht="12.5" hidden="true" customHeight="false" outlineLevel="1" collapsed="false">
      <c r="C20" s="2" t="n">
        <v>219.78</v>
      </c>
      <c r="D20" s="2" t="n">
        <f aca="false">C20*E20</f>
        <v>46.1538</v>
      </c>
      <c r="E20" s="7" t="n">
        <v>0.21</v>
      </c>
      <c r="F20" s="2" t="s">
        <v>27</v>
      </c>
    </row>
    <row r="21" customFormat="false" ht="12.5" hidden="true" customHeight="false" outlineLevel="1" collapsed="false">
      <c r="C21" s="2" t="n">
        <v>459</v>
      </c>
      <c r="D21" s="2" t="n">
        <f aca="false">C21*E21</f>
        <v>160.65</v>
      </c>
      <c r="E21" s="7" t="n">
        <v>0.35</v>
      </c>
      <c r="F21" s="2" t="s">
        <v>23</v>
      </c>
    </row>
    <row r="22" customFormat="false" ht="12.5" hidden="true" customHeight="false" outlineLevel="1" collapsed="false">
      <c r="C22" s="2" t="n">
        <v>1269</v>
      </c>
      <c r="D22" s="2" t="n">
        <f aca="false">C22*E22</f>
        <v>532.98</v>
      </c>
      <c r="E22" s="7" t="n">
        <v>0.42</v>
      </c>
      <c r="F22" s="2" t="s">
        <v>28</v>
      </c>
    </row>
    <row r="23" customFormat="false" ht="12.5" hidden="true" customHeight="false" outlineLevel="1" collapsed="false">
      <c r="C23" s="2" t="n">
        <v>422.5</v>
      </c>
      <c r="D23" s="2" t="n">
        <f aca="false">C23*E23</f>
        <v>8.45</v>
      </c>
      <c r="E23" s="7" t="n">
        <v>0.02</v>
      </c>
      <c r="F23" s="2" t="s">
        <v>29</v>
      </c>
    </row>
    <row r="24" customFormat="false" ht="12.5" hidden="true" customHeight="false" outlineLevel="1" collapsed="false">
      <c r="C24" s="2" t="n">
        <v>2856.5</v>
      </c>
      <c r="D24" s="2" t="n">
        <f aca="false">C24*E24</f>
        <v>1256.86</v>
      </c>
      <c r="E24" s="7" t="n">
        <v>0.44</v>
      </c>
      <c r="F24" s="2" t="s">
        <v>30</v>
      </c>
    </row>
    <row r="25" customFormat="false" ht="12.5" hidden="true" customHeight="false" outlineLevel="1" collapsed="false">
      <c r="C25" s="2" t="n">
        <v>30</v>
      </c>
      <c r="D25" s="2" t="n">
        <f aca="false">C25*E25</f>
        <v>18.6</v>
      </c>
      <c r="E25" s="7" t="n">
        <v>0.62</v>
      </c>
      <c r="F25" s="2" t="s">
        <v>31</v>
      </c>
    </row>
    <row r="26" customFormat="false" ht="12.5" hidden="true" customHeight="false" outlineLevel="1" collapsed="false">
      <c r="C26" s="2" t="n">
        <v>209.7</v>
      </c>
      <c r="D26" s="2" t="n">
        <f aca="false">C26*E26</f>
        <v>85.977</v>
      </c>
      <c r="E26" s="7" t="n">
        <v>0.41</v>
      </c>
      <c r="F26" s="2" t="s">
        <v>32</v>
      </c>
    </row>
    <row r="27" customFormat="false" ht="12.5" hidden="true" customHeight="false" outlineLevel="1" collapsed="false">
      <c r="C27" s="2" t="n">
        <v>603</v>
      </c>
      <c r="D27" s="2" t="n">
        <f aca="false">C27*E27</f>
        <v>120.6</v>
      </c>
      <c r="E27" s="7" t="n">
        <v>0.2</v>
      </c>
      <c r="F27" s="2" t="s">
        <v>33</v>
      </c>
    </row>
    <row r="28" customFormat="false" ht="12.5" hidden="true" customHeight="false" outlineLevel="1" collapsed="false">
      <c r="C28" s="2" t="n">
        <v>600</v>
      </c>
      <c r="D28" s="2" t="n">
        <f aca="false">C28*E28</f>
        <v>-60</v>
      </c>
      <c r="E28" s="7" t="n">
        <v>-0.1</v>
      </c>
      <c r="F28" s="2" t="s">
        <v>34</v>
      </c>
    </row>
    <row r="29" customFormat="false" ht="12.5" hidden="true" customHeight="false" outlineLevel="1" collapsed="false">
      <c r="C29" s="2" t="n">
        <v>2059</v>
      </c>
      <c r="D29" s="2" t="n">
        <f aca="false">C29*E29</f>
        <v>164.72</v>
      </c>
      <c r="E29" s="7" t="n">
        <v>0.08</v>
      </c>
      <c r="F29" s="2" t="s">
        <v>35</v>
      </c>
    </row>
    <row r="30" customFormat="false" ht="12.5" hidden="true" customHeight="false" outlineLevel="1" collapsed="false">
      <c r="C30" s="2" t="n">
        <v>607.5</v>
      </c>
      <c r="D30" s="2" t="n">
        <f aca="false">C30*E30</f>
        <v>103.275</v>
      </c>
      <c r="E30" s="7" t="n">
        <v>0.17</v>
      </c>
      <c r="F30" s="2" t="s">
        <v>36</v>
      </c>
    </row>
    <row r="31" customFormat="false" ht="12.5" hidden="true" customHeight="false" outlineLevel="1" collapsed="false">
      <c r="C31" s="2" t="n">
        <v>40.5</v>
      </c>
      <c r="D31" s="2" t="n">
        <f aca="false">C31*E31</f>
        <v>11.745</v>
      </c>
      <c r="E31" s="7" t="n">
        <v>0.29</v>
      </c>
      <c r="F31" s="2" t="s">
        <v>37</v>
      </c>
    </row>
    <row r="32" customFormat="false" ht="12.5" hidden="true" customHeight="false" outlineLevel="1" collapsed="false">
      <c r="C32" s="2" t="n">
        <v>621</v>
      </c>
      <c r="D32" s="2" t="n">
        <f aca="false">C32*E32</f>
        <v>49.68</v>
      </c>
      <c r="E32" s="7" t="n">
        <v>0.08</v>
      </c>
      <c r="F32" s="2" t="s">
        <v>38</v>
      </c>
    </row>
    <row r="33" customFormat="false" ht="12.5" hidden="true" customHeight="false" outlineLevel="1" collapsed="false">
      <c r="D33" s="8"/>
    </row>
    <row r="34" customFormat="false" ht="12.5" hidden="true" customHeight="false" outlineLevel="1" collapsed="false"/>
    <row r="35" customFormat="false" ht="18" hidden="false" customHeight="false" outlineLevel="0" collapsed="false">
      <c r="B35" s="5" t="s">
        <v>39</v>
      </c>
    </row>
    <row r="36" customFormat="false" ht="12.5" hidden="false" customHeight="false" outlineLevel="1" collapsed="false"/>
    <row r="37" customFormat="false" ht="12.5" hidden="false" customHeight="false" outlineLevel="1" collapsed="false"/>
    <row r="38" customFormat="false" ht="23.5" hidden="false" customHeight="false" outlineLevel="1" collapsed="false">
      <c r="B38" s="6" t="s">
        <v>40</v>
      </c>
      <c r="C38" s="6" t="s">
        <v>41</v>
      </c>
      <c r="D38" s="6" t="s">
        <v>42</v>
      </c>
      <c r="E38" s="6" t="s">
        <v>43</v>
      </c>
      <c r="F38" s="6" t="s">
        <v>44</v>
      </c>
      <c r="G38" s="6" t="s">
        <v>45</v>
      </c>
      <c r="H38" s="6" t="s">
        <v>46</v>
      </c>
      <c r="I38" s="6" t="s">
        <v>47</v>
      </c>
    </row>
    <row r="39" customFormat="false" ht="12.5" hidden="false" customHeight="false" outlineLevel="1" collapsed="false">
      <c r="B39" s="9" t="s">
        <v>48</v>
      </c>
      <c r="C39" s="10" t="s">
        <v>49</v>
      </c>
      <c r="D39" s="10" t="s">
        <v>50</v>
      </c>
      <c r="E39" s="10" t="s">
        <v>51</v>
      </c>
      <c r="F39" s="10" t="s">
        <v>52</v>
      </c>
      <c r="G39" s="10" t="s">
        <v>53</v>
      </c>
      <c r="H39" s="10" t="s">
        <v>49</v>
      </c>
      <c r="I39" s="10" t="s">
        <v>54</v>
      </c>
    </row>
    <row r="40" customFormat="false" ht="12.5" hidden="false" customHeight="false" outlineLevel="1" collapsed="false">
      <c r="B40" s="11" t="s">
        <v>55</v>
      </c>
      <c r="C40" s="12" t="n">
        <v>158</v>
      </c>
      <c r="D40" s="12" t="n">
        <v>168</v>
      </c>
      <c r="E40" s="12" t="n">
        <v>194</v>
      </c>
      <c r="F40" s="12" t="n">
        <v>145</v>
      </c>
      <c r="G40" s="12" t="n">
        <v>123</v>
      </c>
      <c r="H40" s="12" t="n">
        <v>162</v>
      </c>
      <c r="I40" s="12" t="n">
        <v>204</v>
      </c>
    </row>
    <row r="41" customFormat="false" ht="12.5" hidden="false" customHeight="false" outlineLevel="1" collapsed="false">
      <c r="B41" s="11" t="s">
        <v>56</v>
      </c>
      <c r="C41" s="12" t="s">
        <v>57</v>
      </c>
      <c r="D41" s="12" t="s">
        <v>57</v>
      </c>
      <c r="E41" s="12" t="s">
        <v>57</v>
      </c>
      <c r="F41" s="12" t="s">
        <v>58</v>
      </c>
      <c r="G41" s="12" t="s">
        <v>57</v>
      </c>
      <c r="H41" s="12" t="s">
        <v>58</v>
      </c>
      <c r="I41" s="12" t="s">
        <v>57</v>
      </c>
    </row>
    <row r="42" customFormat="false" ht="12.5" hidden="false" customHeight="false" outlineLevel="1" collapsed="false">
      <c r="B42" s="11" t="s">
        <v>59</v>
      </c>
      <c r="C42" s="12" t="s">
        <v>60</v>
      </c>
      <c r="D42" s="12" t="s">
        <v>61</v>
      </c>
      <c r="E42" s="12" t="s">
        <v>62</v>
      </c>
      <c r="F42" s="12" t="s">
        <v>63</v>
      </c>
      <c r="G42" s="12" t="s">
        <v>64</v>
      </c>
      <c r="H42" s="12" t="s">
        <v>65</v>
      </c>
      <c r="I42" s="12" t="s">
        <v>66</v>
      </c>
    </row>
    <row r="43" customFormat="false" ht="12.5" hidden="false" customHeight="false" outlineLevel="1" collapsed="false">
      <c r="B43" s="11" t="s">
        <v>67</v>
      </c>
      <c r="C43" s="12" t="s">
        <v>68</v>
      </c>
      <c r="D43" s="12" t="s">
        <v>69</v>
      </c>
      <c r="E43" s="12" t="s">
        <v>70</v>
      </c>
      <c r="F43" s="12" t="s">
        <v>71</v>
      </c>
      <c r="G43" s="12" t="s">
        <v>69</v>
      </c>
      <c r="H43" s="12" t="s">
        <v>68</v>
      </c>
      <c r="I43" s="12" t="s">
        <v>70</v>
      </c>
    </row>
    <row r="44" customFormat="false" ht="12.5" hidden="false" customHeight="false" outlineLevel="1" collapsed="false">
      <c r="B44" s="13" t="s">
        <v>72</v>
      </c>
      <c r="C44" s="14" t="s">
        <v>73</v>
      </c>
      <c r="D44" s="14" t="s">
        <v>74</v>
      </c>
      <c r="E44" s="14" t="s">
        <v>68</v>
      </c>
      <c r="F44" s="14" t="s">
        <v>74</v>
      </c>
      <c r="G44" s="14" t="s">
        <v>68</v>
      </c>
      <c r="H44" s="14" t="s">
        <v>74</v>
      </c>
      <c r="I44" s="14" t="s">
        <v>74</v>
      </c>
    </row>
    <row r="45" customFormat="false" ht="12.5" hidden="false" customHeight="false" outlineLevel="1" collapsed="false"/>
    <row r="46" customFormat="false" ht="12.5" hidden="false" customHeight="false" outlineLevel="1" collapsed="false"/>
    <row r="47" customFormat="false" ht="12.5" hidden="false" customHeight="false" outlineLevel="1" collapsed="false"/>
    <row r="48" customFormat="false" ht="12.5" hidden="false" customHeight="false" outlineLevel="1" collapsed="false"/>
    <row r="49" customFormat="false" ht="12.5" hidden="false" customHeight="false" outlineLevel="1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166"/>
  <sheetViews>
    <sheetView showFormulas="false" showGridLines="false" showRowColHeaders="true" showZeros="true" rightToLeft="false" tabSelected="true" showOutlineSymbols="true" defaultGridColor="true" view="normal" topLeftCell="B1" colorId="64" zoomScale="100" zoomScaleNormal="100" zoomScalePageLayoutView="100" workbookViewId="0">
      <selection pane="topLeft" activeCell="B51" activeCellId="0" sqref="B51"/>
    </sheetView>
  </sheetViews>
  <sheetFormatPr defaultRowHeight="13" zeroHeight="false" outlineLevelRow="1" outlineLevelCol="0"/>
  <cols>
    <col collapsed="false" customWidth="true" hidden="false" outlineLevel="0" max="1" min="1" style="2" width="9.44"/>
    <col collapsed="false" customWidth="true" hidden="false" outlineLevel="0" max="2" min="2" style="2" width="91.22"/>
    <col collapsed="false" customWidth="true" hidden="false" outlineLevel="0" max="3" min="3" style="2" width="15.55"/>
    <col collapsed="false" customWidth="true" hidden="false" outlineLevel="0" max="4" min="4" style="2" width="27.78"/>
    <col collapsed="false" customWidth="true" hidden="false" outlineLevel="0" max="5" min="5" style="2" width="33.44"/>
    <col collapsed="false" customWidth="true" hidden="false" outlineLevel="0" max="6" min="6" style="2" width="24.44"/>
    <col collapsed="false" customWidth="true" hidden="false" outlineLevel="0" max="15" min="7" style="2" width="9.44"/>
    <col collapsed="false" customWidth="true" hidden="false" outlineLevel="0" max="16" min="16" style="0" width="39.78"/>
    <col collapsed="false" customWidth="true" hidden="false" outlineLevel="0" max="17" min="17" style="0" width="3.77"/>
    <col collapsed="false" customWidth="true" hidden="false" outlineLevel="0" max="18" min="18" style="0" width="70.22"/>
    <col collapsed="false" customWidth="true" hidden="false" outlineLevel="0" max="19" min="19" style="0" width="9.44"/>
    <col collapsed="false" customWidth="true" hidden="false" outlineLevel="0" max="1025" min="20" style="2" width="9.44"/>
  </cols>
  <sheetData>
    <row r="1" customFormat="false" ht="13" hidden="false" customHeight="false" outlineLevel="0" collapsed="false">
      <c r="A1" s="3" t="str">
        <f aca="false">'Cover Page'!A1</f>
        <v>Problem Solving With Excel </v>
      </c>
    </row>
    <row r="2" customFormat="false" ht="13" hidden="false" customHeight="false" outlineLevel="0" collapsed="false">
      <c r="A2" s="3" t="str">
        <f aca="false">'Cover Page'!A2</f>
        <v>Week 4</v>
      </c>
    </row>
    <row r="3" customFormat="false" ht="13" hidden="false" customHeight="false" outlineLevel="0" collapsed="false">
      <c r="A3" s="3" t="str">
        <f aca="false">'Cover Page'!A3</f>
        <v>Index Match</v>
      </c>
    </row>
    <row r="4" customFormat="false" ht="13" hidden="false" customHeight="false" outlineLevel="0" collapsed="false">
      <c r="A4" s="3" t="s">
        <v>8</v>
      </c>
    </row>
    <row r="7" customFormat="false" ht="18.5" hidden="false" customHeight="false" outlineLevel="0" collapsed="false">
      <c r="B7" s="15" t="s">
        <v>75</v>
      </c>
    </row>
    <row r="8" customFormat="false" ht="13" hidden="true" customHeight="false" outlineLevel="1" collapsed="false"/>
    <row r="9" customFormat="false" ht="13" hidden="true" customHeight="false" outlineLevel="1" collapsed="false">
      <c r="B9" s="16" t="s">
        <v>76</v>
      </c>
      <c r="C9" s="17"/>
      <c r="D9" s="18"/>
      <c r="E9" s="19"/>
    </row>
    <row r="10" customFormat="false" ht="13" hidden="true" customHeight="false" outlineLevel="1" collapsed="false">
      <c r="B10" s="20" t="s">
        <v>77</v>
      </c>
      <c r="C10" s="20" t="str">
        <f aca="false">INDEX(Country,3)</f>
        <v>Tanzania, United Republic of</v>
      </c>
      <c r="D10" s="21" t="n">
        <v>3</v>
      </c>
      <c r="E10" s="22"/>
    </row>
    <row r="11" customFormat="false" ht="13" hidden="true" customHeight="false" outlineLevel="1" collapsed="false"/>
    <row r="12" customFormat="false" ht="13" hidden="true" customHeight="false" outlineLevel="1" collapsed="false"/>
    <row r="13" customFormat="false" ht="13" hidden="true" customHeight="false" outlineLevel="1" collapsed="false"/>
    <row r="14" customFormat="false" ht="13" hidden="true" customHeight="false" outlineLevel="1" collapsed="false"/>
    <row r="15" customFormat="false" ht="13" hidden="true" customHeight="false" outlineLevel="1" collapsed="false"/>
    <row r="16" customFormat="false" ht="13" hidden="true" customHeight="false" outlineLevel="1" collapsed="false"/>
    <row r="17" customFormat="false" ht="13" hidden="true" customHeight="false" outlineLevel="1" collapsed="false"/>
    <row r="18" customFormat="false" ht="13" hidden="true" customHeight="false" outlineLevel="1" collapsed="false"/>
    <row r="19" customFormat="false" ht="13" hidden="true" customHeight="false" outlineLevel="1" collapsed="false"/>
    <row r="20" customFormat="false" ht="13" hidden="true" customHeight="false" outlineLevel="1" collapsed="false"/>
    <row r="21" customFormat="false" ht="13" hidden="true" customHeight="false" outlineLevel="1" collapsed="false"/>
    <row r="22" customFormat="false" ht="13" hidden="true" customHeight="false" outlineLevel="1" collapsed="false"/>
    <row r="23" customFormat="false" ht="13" hidden="true" customHeight="false" outlineLevel="1" collapsed="false"/>
    <row r="24" customFormat="false" ht="18.5" hidden="false" customHeight="false" outlineLevel="0" collapsed="false">
      <c r="B24" s="15" t="s">
        <v>78</v>
      </c>
    </row>
    <row r="25" customFormat="false" ht="13" hidden="true" customHeight="false" outlineLevel="1" collapsed="false"/>
    <row r="26" customFormat="false" ht="13" hidden="true" customHeight="false" outlineLevel="1" collapsed="false">
      <c r="B26" s="16" t="s">
        <v>79</v>
      </c>
      <c r="C26" s="17"/>
      <c r="D26" s="18"/>
      <c r="E26" s="19"/>
    </row>
    <row r="27" customFormat="false" ht="13" hidden="true" customHeight="false" outlineLevel="1" collapsed="false">
      <c r="B27" s="20" t="s">
        <v>80</v>
      </c>
      <c r="C27" s="20"/>
      <c r="D27" s="21" t="n">
        <f aca="false">INDEX(Revenue,5)</f>
        <v>678.3</v>
      </c>
      <c r="E27" s="22"/>
    </row>
    <row r="28" customFormat="false" ht="13" hidden="true" customHeight="false" outlineLevel="1" collapsed="false"/>
    <row r="29" customFormat="false" ht="13" hidden="true" customHeight="false" outlineLevel="1" collapsed="false"/>
    <row r="30" customFormat="false" ht="13" hidden="true" customHeight="false" outlineLevel="1" collapsed="false"/>
    <row r="31" customFormat="false" ht="13" hidden="true" customHeight="false" outlineLevel="1" collapsed="false"/>
    <row r="32" customFormat="false" ht="13" hidden="true" customHeight="false" outlineLevel="1" collapsed="false"/>
    <row r="33" customFormat="false" ht="13" hidden="true" customHeight="false" outlineLevel="1" collapsed="false"/>
    <row r="34" customFormat="false" ht="13" hidden="true" customHeight="false" outlineLevel="1" collapsed="false"/>
    <row r="35" customFormat="false" ht="13" hidden="true" customHeight="false" outlineLevel="1" collapsed="false"/>
    <row r="36" customFormat="false" ht="13" hidden="true" customHeight="false" outlineLevel="1" collapsed="false"/>
    <row r="37" customFormat="false" ht="13" hidden="true" customHeight="false" outlineLevel="1" collapsed="false"/>
    <row r="38" customFormat="false" ht="13" hidden="true" customHeight="false" outlineLevel="1" collapsed="false"/>
    <row r="39" customFormat="false" ht="13" hidden="true" customHeight="false" outlineLevel="1" collapsed="false"/>
    <row r="40" customFormat="false" ht="13" hidden="true" customHeight="false" outlineLevel="1" collapsed="false"/>
    <row r="41" customFormat="false" ht="13" hidden="true" customHeight="false" outlineLevel="1" collapsed="false"/>
    <row r="42" customFormat="false" ht="13" hidden="true" customHeight="false" outlineLevel="1" collapsed="false"/>
    <row r="43" customFormat="false" ht="13" hidden="true" customHeight="false" outlineLevel="1" collapsed="false"/>
    <row r="44" customFormat="false" ht="13" hidden="true" customHeight="false" outlineLevel="1" collapsed="false"/>
    <row r="45" customFormat="false" ht="18.5" hidden="false" customHeight="false" outlineLevel="0" collapsed="false">
      <c r="B45" s="15" t="s">
        <v>81</v>
      </c>
    </row>
    <row r="46" customFormat="false" ht="13" hidden="false" customHeight="false" outlineLevel="1" collapsed="false"/>
    <row r="47" customFormat="false" ht="13" hidden="false" customHeight="false" outlineLevel="1" collapsed="false">
      <c r="B47" s="16" t="s">
        <v>82</v>
      </c>
      <c r="C47" s="17"/>
      <c r="D47" s="18"/>
      <c r="E47" s="19"/>
    </row>
    <row r="48" customFormat="false" ht="13" hidden="false" customHeight="false" outlineLevel="1" collapsed="false">
      <c r="B48" s="20" t="s">
        <v>83</v>
      </c>
      <c r="C48" s="20"/>
      <c r="D48" s="21" t="s">
        <v>84</v>
      </c>
      <c r="E48" s="23" t="n">
        <f aca="false">MATCH(D48,Country,0)</f>
        <v>8</v>
      </c>
    </row>
    <row r="49" customFormat="false" ht="13" hidden="false" customHeight="false" outlineLevel="1" collapsed="false"/>
    <row r="50" customFormat="false" ht="13" hidden="false" customHeight="false" outlineLevel="1" collapsed="false"/>
    <row r="51" customFormat="false" ht="13" hidden="false" customHeight="false" outlineLevel="1" collapsed="false"/>
    <row r="52" customFormat="false" ht="13" hidden="false" customHeight="false" outlineLevel="1" collapsed="false"/>
    <row r="53" customFormat="false" ht="13" hidden="false" customHeight="false" outlineLevel="1" collapsed="false"/>
    <row r="54" customFormat="false" ht="13" hidden="false" customHeight="false" outlineLevel="1" collapsed="false"/>
    <row r="55" customFormat="false" ht="13" hidden="false" customHeight="false" outlineLevel="1" collapsed="false"/>
    <row r="56" customFormat="false" ht="13" hidden="false" customHeight="false" outlineLevel="1" collapsed="false"/>
    <row r="57" customFormat="false" ht="13" hidden="false" customHeight="false" outlineLevel="1" collapsed="false"/>
    <row r="58" customFormat="false" ht="13" hidden="false" customHeight="false" outlineLevel="1" collapsed="false"/>
    <row r="59" customFormat="false" ht="13" hidden="false" customHeight="false" outlineLevel="1" collapsed="false"/>
    <row r="60" customFormat="false" ht="13" hidden="false" customHeight="false" outlineLevel="1" collapsed="false"/>
    <row r="61" customFormat="false" ht="13" hidden="false" customHeight="false" outlineLevel="1" collapsed="false"/>
    <row r="62" customFormat="false" ht="13" hidden="false" customHeight="false" outlineLevel="1" collapsed="false"/>
    <row r="63" customFormat="false" ht="13" hidden="false" customHeight="false" outlineLevel="1" collapsed="false"/>
    <row r="64" customFormat="false" ht="13" hidden="false" customHeight="false" outlineLevel="1" collapsed="false"/>
    <row r="65" customFormat="false" ht="13" hidden="false" customHeight="false" outlineLevel="1" collapsed="false"/>
    <row r="66" customFormat="false" ht="13" hidden="false" customHeight="false" outlineLevel="1" collapsed="false"/>
    <row r="67" customFormat="false" ht="13" hidden="false" customHeight="false" outlineLevel="1" collapsed="false"/>
    <row r="68" customFormat="false" ht="13" hidden="false" customHeight="false" outlineLevel="1" collapsed="false"/>
    <row r="69" customFormat="false" ht="13" hidden="false" customHeight="false" outlineLevel="1" collapsed="false"/>
    <row r="70" customFormat="false" ht="18.5" hidden="false" customHeight="false" outlineLevel="0" collapsed="false">
      <c r="B70" s="15" t="s">
        <v>85</v>
      </c>
    </row>
    <row r="71" customFormat="false" ht="13" hidden="true" customHeight="false" outlineLevel="1" collapsed="false"/>
    <row r="72" customFormat="false" ht="13" hidden="true" customHeight="false" outlineLevel="1" collapsed="false">
      <c r="B72" s="16" t="s">
        <v>82</v>
      </c>
      <c r="C72" s="17"/>
      <c r="D72" s="18"/>
      <c r="E72" s="19"/>
    </row>
    <row r="73" customFormat="false" ht="13" hidden="true" customHeight="false" outlineLevel="1" collapsed="false">
      <c r="B73" s="24" t="s">
        <v>86</v>
      </c>
      <c r="C73" s="20"/>
      <c r="D73" s="21" t="s">
        <v>14</v>
      </c>
      <c r="E73" s="25"/>
    </row>
    <row r="74" customFormat="false" ht="13" hidden="true" customHeight="false" outlineLevel="1" collapsed="false"/>
    <row r="75" customFormat="false" ht="13" hidden="true" customHeight="false" outlineLevel="1" collapsed="false"/>
    <row r="76" customFormat="false" ht="13" hidden="true" customHeight="false" outlineLevel="1" collapsed="false"/>
    <row r="77" customFormat="false" ht="13" hidden="true" customHeight="false" outlineLevel="1" collapsed="false"/>
    <row r="78" customFormat="false" ht="13" hidden="true" customHeight="false" outlineLevel="1" collapsed="false"/>
    <row r="79" customFormat="false" ht="13" hidden="true" customHeight="false" outlineLevel="1" collapsed="false"/>
    <row r="80" customFormat="false" ht="13" hidden="true" customHeight="false" outlineLevel="1" collapsed="false"/>
    <row r="81" customFormat="false" ht="13" hidden="true" customHeight="false" outlineLevel="1" collapsed="false"/>
    <row r="82" customFormat="false" ht="13" hidden="true" customHeight="false" outlineLevel="1" collapsed="false"/>
    <row r="83" customFormat="false" ht="13" hidden="true" customHeight="false" outlineLevel="1" collapsed="false"/>
    <row r="84" customFormat="false" ht="13" hidden="true" customHeight="false" outlineLevel="1" collapsed="false"/>
    <row r="85" customFormat="false" ht="13" hidden="true" customHeight="false" outlineLevel="1" collapsed="false"/>
    <row r="86" customFormat="false" ht="13" hidden="true" customHeight="false" outlineLevel="1" collapsed="false"/>
    <row r="87" customFormat="false" ht="13" hidden="true" customHeight="false" outlineLevel="1" collapsed="false"/>
    <row r="88" customFormat="false" ht="13" hidden="true" customHeight="false" outlineLevel="1" collapsed="false"/>
    <row r="89" customFormat="false" ht="13" hidden="true" customHeight="false" outlineLevel="1" collapsed="false"/>
    <row r="90" customFormat="false" ht="13" hidden="true" customHeight="false" outlineLevel="1" collapsed="false"/>
    <row r="91" customFormat="false" ht="13" hidden="true" customHeight="false" outlineLevel="1" collapsed="false"/>
    <row r="92" customFormat="false" ht="13" hidden="true" customHeight="false" outlineLevel="1" collapsed="false"/>
    <row r="93" customFormat="false" ht="18.5" hidden="false" customHeight="false" outlineLevel="0" collapsed="false">
      <c r="B93" s="15" t="s">
        <v>87</v>
      </c>
    </row>
    <row r="94" customFormat="false" ht="13" hidden="true" customHeight="false" outlineLevel="1" collapsed="false"/>
    <row r="95" customFormat="false" ht="13" hidden="true" customHeight="false" outlineLevel="1" collapsed="false"/>
    <row r="96" customFormat="false" ht="13" hidden="true" customHeight="false" outlineLevel="1" collapsed="false">
      <c r="B96" s="16" t="s">
        <v>88</v>
      </c>
      <c r="C96" s="16"/>
      <c r="D96" s="16"/>
      <c r="E96" s="26"/>
    </row>
    <row r="97" customFormat="false" ht="13" hidden="true" customHeight="false" outlineLevel="1" collapsed="false">
      <c r="B97" s="27" t="s">
        <v>89</v>
      </c>
      <c r="C97" s="28"/>
      <c r="D97" s="27"/>
      <c r="E97" s="27"/>
    </row>
    <row r="98" customFormat="false" ht="13" hidden="true" customHeight="false" outlineLevel="1" collapsed="false">
      <c r="B98" s="29" t="s">
        <v>16</v>
      </c>
      <c r="C98" s="30" t="s">
        <v>90</v>
      </c>
      <c r="D98" s="30" t="s">
        <v>13</v>
      </c>
      <c r="E98" s="30" t="s">
        <v>13</v>
      </c>
    </row>
    <row r="99" customFormat="false" ht="13" hidden="true" customHeight="false" outlineLevel="1" collapsed="false">
      <c r="B99" s="27"/>
      <c r="C99" s="31"/>
      <c r="D99" s="32" t="s">
        <v>91</v>
      </c>
      <c r="E99" s="32" t="s">
        <v>92</v>
      </c>
    </row>
    <row r="100" customFormat="false" ht="13" hidden="true" customHeight="false" outlineLevel="1" collapsed="false">
      <c r="B100" s="33" t="s">
        <v>28</v>
      </c>
      <c r="C100" s="34"/>
      <c r="D100" s="35"/>
      <c r="E100" s="35"/>
    </row>
    <row r="101" customFormat="false" ht="13" hidden="true" customHeight="false" outlineLevel="1" collapsed="false"/>
    <row r="102" customFormat="false" ht="13" hidden="true" customHeight="false" outlineLevel="1" collapsed="false"/>
    <row r="103" customFormat="false" ht="13" hidden="true" customHeight="false" outlineLevel="1" collapsed="false"/>
    <row r="104" customFormat="false" ht="13" hidden="true" customHeight="false" outlineLevel="1" collapsed="false"/>
    <row r="105" customFormat="false" ht="13" hidden="true" customHeight="false" outlineLevel="1" collapsed="false"/>
    <row r="106" customFormat="false" ht="13" hidden="true" customHeight="false" outlineLevel="1" collapsed="false"/>
    <row r="107" customFormat="false" ht="13" hidden="true" customHeight="false" outlineLevel="1" collapsed="false"/>
    <row r="108" customFormat="false" ht="13" hidden="true" customHeight="false" outlineLevel="1" collapsed="false"/>
    <row r="109" customFormat="false" ht="13" hidden="true" customHeight="false" outlineLevel="1" collapsed="false"/>
    <row r="110" customFormat="false" ht="13" hidden="true" customHeight="false" outlineLevel="1" collapsed="false"/>
    <row r="111" customFormat="false" ht="13" hidden="true" customHeight="false" outlineLevel="1" collapsed="false"/>
    <row r="112" customFormat="false" ht="13" hidden="true" customHeight="false" outlineLevel="1" collapsed="false"/>
    <row r="113" customFormat="false" ht="13" hidden="true" customHeight="false" outlineLevel="1" collapsed="false"/>
    <row r="114" customFormat="false" ht="13" hidden="true" customHeight="false" outlineLevel="1" collapsed="false"/>
    <row r="115" customFormat="false" ht="13" hidden="true" customHeight="false" outlineLevel="1" collapsed="false"/>
    <row r="116" customFormat="false" ht="13" hidden="true" customHeight="false" outlineLevel="1" collapsed="false"/>
    <row r="117" customFormat="false" ht="13" hidden="true" customHeight="false" outlineLevel="1" collapsed="false"/>
    <row r="118" customFormat="false" ht="13" hidden="true" customHeight="false" outlineLevel="1" collapsed="false"/>
    <row r="119" customFormat="false" ht="18.5" hidden="false" customHeight="false" outlineLevel="0" collapsed="false">
      <c r="B119" s="15" t="s">
        <v>93</v>
      </c>
    </row>
    <row r="120" customFormat="false" ht="13" hidden="true" customHeight="false" outlineLevel="1" collapsed="false"/>
    <row r="121" customFormat="false" ht="13" hidden="true" customHeight="false" outlineLevel="1" collapsed="false">
      <c r="B121" s="36" t="s">
        <v>88</v>
      </c>
      <c r="C121" s="37"/>
      <c r="D121" s="38"/>
      <c r="E121" s="39"/>
    </row>
    <row r="122" customFormat="false" ht="13" hidden="true" customHeight="false" outlineLevel="1" collapsed="false">
      <c r="B122" s="40" t="s">
        <v>94</v>
      </c>
      <c r="C122" s="41"/>
      <c r="D122" s="42"/>
      <c r="E122" s="25"/>
    </row>
    <row r="123" customFormat="false" ht="13" hidden="true" customHeight="false" outlineLevel="1" collapsed="false">
      <c r="B123" s="29" t="s">
        <v>16</v>
      </c>
      <c r="C123" s="30" t="s">
        <v>90</v>
      </c>
      <c r="D123" s="30" t="s">
        <v>14</v>
      </c>
      <c r="E123" s="30" t="s">
        <v>14</v>
      </c>
    </row>
    <row r="124" customFormat="false" ht="13" hidden="true" customHeight="false" outlineLevel="1" collapsed="false">
      <c r="B124" s="27"/>
      <c r="C124" s="31"/>
      <c r="D124" s="32" t="s">
        <v>91</v>
      </c>
      <c r="E124" s="32" t="s">
        <v>92</v>
      </c>
    </row>
    <row r="125" customFormat="false" ht="13" hidden="true" customHeight="false" outlineLevel="1" collapsed="false">
      <c r="B125" s="33" t="s">
        <v>20</v>
      </c>
      <c r="C125" s="34"/>
      <c r="D125" s="35"/>
      <c r="E125" s="35"/>
    </row>
    <row r="126" customFormat="false" ht="13" hidden="true" customHeight="false" outlineLevel="1" collapsed="false">
      <c r="B126" s="33" t="s">
        <v>36</v>
      </c>
      <c r="C126" s="34"/>
      <c r="D126" s="35"/>
      <c r="E126" s="35"/>
    </row>
    <row r="127" customFormat="false" ht="13" hidden="true" customHeight="false" outlineLevel="1" collapsed="false">
      <c r="B127" s="33" t="s">
        <v>34</v>
      </c>
      <c r="C127" s="34"/>
      <c r="D127" s="35"/>
      <c r="E127" s="35"/>
    </row>
    <row r="128" customFormat="false" ht="13" hidden="true" customHeight="false" outlineLevel="1" collapsed="false">
      <c r="B128" s="33" t="s">
        <v>38</v>
      </c>
      <c r="C128" s="34"/>
      <c r="D128" s="35"/>
      <c r="E128" s="35"/>
    </row>
    <row r="129" customFormat="false" ht="13" hidden="true" customHeight="false" outlineLevel="1" collapsed="false">
      <c r="B129" s="33" t="s">
        <v>29</v>
      </c>
      <c r="C129" s="34"/>
      <c r="D129" s="35"/>
      <c r="E129" s="35"/>
    </row>
    <row r="130" customFormat="false" ht="13" hidden="true" customHeight="false" outlineLevel="1" collapsed="false">
      <c r="B130" s="33" t="s">
        <v>23</v>
      </c>
      <c r="C130" s="34"/>
      <c r="D130" s="35"/>
      <c r="E130" s="35"/>
    </row>
    <row r="131" customFormat="false" ht="13" hidden="true" customHeight="false" outlineLevel="1" collapsed="false"/>
    <row r="132" customFormat="false" ht="13" hidden="true" customHeight="false" outlineLevel="1" collapsed="false"/>
    <row r="133" customFormat="false" ht="13" hidden="true" customHeight="false" outlineLevel="1" collapsed="false"/>
    <row r="134" customFormat="false" ht="13" hidden="true" customHeight="false" outlineLevel="1" collapsed="false"/>
    <row r="135" customFormat="false" ht="13" hidden="true" customHeight="false" outlineLevel="1" collapsed="false"/>
    <row r="136" customFormat="false" ht="13" hidden="true" customHeight="false" outlineLevel="1" collapsed="false"/>
    <row r="137" customFormat="false" ht="13" hidden="true" customHeight="false" outlineLevel="1" collapsed="false"/>
    <row r="138" customFormat="false" ht="13" hidden="true" customHeight="false" outlineLevel="1" collapsed="false"/>
    <row r="139" customFormat="false" ht="13" hidden="true" customHeight="false" outlineLevel="1" collapsed="false"/>
    <row r="140" customFormat="false" ht="13" hidden="true" customHeight="false" outlineLevel="1" collapsed="false"/>
    <row r="141" customFormat="false" ht="18.5" hidden="false" customHeight="false" outlineLevel="0" collapsed="false">
      <c r="B141" s="15" t="s">
        <v>95</v>
      </c>
    </row>
    <row r="142" customFormat="false" ht="13" hidden="true" customHeight="false" outlineLevel="1" collapsed="false"/>
    <row r="143" customFormat="false" ht="13" hidden="true" customHeight="false" outlineLevel="1" collapsed="false">
      <c r="B143" s="36" t="s">
        <v>88</v>
      </c>
      <c r="C143" s="37"/>
      <c r="D143" s="37"/>
      <c r="E143" s="38"/>
      <c r="F143" s="39"/>
    </row>
    <row r="144" customFormat="false" ht="13" hidden="true" customHeight="false" outlineLevel="1" collapsed="false">
      <c r="B144" s="40" t="s">
        <v>43</v>
      </c>
      <c r="C144" s="41" t="s">
        <v>96</v>
      </c>
      <c r="D144" s="41"/>
      <c r="E144" s="42"/>
    </row>
    <row r="145" customFormat="false" ht="13" hidden="true" customHeight="false" outlineLevel="1" collapsed="false">
      <c r="B145" s="29" t="s">
        <v>16</v>
      </c>
      <c r="C145" s="30" t="s">
        <v>90</v>
      </c>
      <c r="D145" s="30" t="s">
        <v>90</v>
      </c>
      <c r="E145" s="30" t="s">
        <v>79</v>
      </c>
      <c r="F145" s="30"/>
    </row>
    <row r="146" customFormat="false" ht="13" hidden="true" customHeight="false" outlineLevel="1" collapsed="false">
      <c r="B146" s="27"/>
      <c r="C146" s="40" t="s">
        <v>43</v>
      </c>
      <c r="D146" s="31" t="s">
        <v>97</v>
      </c>
      <c r="E146" s="32" t="s">
        <v>98</v>
      </c>
      <c r="F146" s="32" t="s">
        <v>99</v>
      </c>
    </row>
    <row r="147" customFormat="false" ht="13" hidden="true" customHeight="false" outlineLevel="1" collapsed="false">
      <c r="B147" s="33" t="s">
        <v>72</v>
      </c>
      <c r="C147" s="34"/>
      <c r="D147" s="34"/>
      <c r="E147" s="35"/>
      <c r="F147" s="35"/>
    </row>
    <row r="148" customFormat="false" ht="13" hidden="true" customHeight="false" outlineLevel="1" collapsed="false">
      <c r="B148" s="33" t="s">
        <v>56</v>
      </c>
      <c r="C148" s="34"/>
      <c r="D148" s="34"/>
      <c r="E148" s="35"/>
      <c r="F148" s="35"/>
    </row>
    <row r="149" customFormat="false" ht="13" hidden="true" customHeight="false" outlineLevel="1" collapsed="false">
      <c r="B149" s="33" t="s">
        <v>48</v>
      </c>
      <c r="C149" s="34"/>
      <c r="D149" s="34"/>
      <c r="E149" s="35"/>
      <c r="F149" s="35"/>
    </row>
    <row r="150" customFormat="false" ht="13" hidden="true" customHeight="false" outlineLevel="1" collapsed="false">
      <c r="B150" s="33" t="s">
        <v>55</v>
      </c>
      <c r="C150" s="34"/>
      <c r="D150" s="34"/>
      <c r="E150" s="43"/>
      <c r="F150" s="43"/>
    </row>
    <row r="151" customFormat="false" ht="13" hidden="true" customHeight="false" outlineLevel="1" collapsed="false"/>
    <row r="152" customFormat="false" ht="13" hidden="true" customHeight="false" outlineLevel="1" collapsed="false"/>
    <row r="153" customFormat="false" ht="13" hidden="true" customHeight="false" outlineLevel="1" collapsed="false"/>
    <row r="154" customFormat="false" ht="13" hidden="true" customHeight="false" outlineLevel="1" collapsed="false"/>
    <row r="155" customFormat="false" ht="13" hidden="true" customHeight="false" outlineLevel="1" collapsed="false"/>
    <row r="156" customFormat="false" ht="13" hidden="true" customHeight="false" outlineLevel="1" collapsed="false"/>
    <row r="157" customFormat="false" ht="13" hidden="true" customHeight="false" outlineLevel="1" collapsed="false"/>
    <row r="158" customFormat="false" ht="18.5" hidden="false" customHeight="false" outlineLevel="0" collapsed="false">
      <c r="B158" s="15" t="s">
        <v>100</v>
      </c>
    </row>
    <row r="159" customFormat="false" ht="13" hidden="true" customHeight="false" outlineLevel="1" collapsed="false"/>
    <row r="160" customFormat="false" ht="13.5" hidden="true" customHeight="false" outlineLevel="1" collapsed="false">
      <c r="B160" s="6" t="s">
        <v>40</v>
      </c>
      <c r="C160" s="6" t="s">
        <v>44</v>
      </c>
      <c r="D160" s="6" t="s">
        <v>46</v>
      </c>
      <c r="E160" s="6" t="s">
        <v>47</v>
      </c>
    </row>
    <row r="161" customFormat="false" ht="13" hidden="true" customHeight="false" outlineLevel="1" collapsed="false">
      <c r="B161" s="44" t="s">
        <v>59</v>
      </c>
      <c r="C161" s="45"/>
      <c r="D161" s="46"/>
      <c r="E161" s="46"/>
      <c r="G161" s="47"/>
    </row>
    <row r="162" customFormat="false" ht="13" hidden="true" customHeight="false" outlineLevel="1" collapsed="false">
      <c r="B162" s="48" t="s">
        <v>56</v>
      </c>
      <c r="C162" s="49"/>
      <c r="D162" s="49"/>
      <c r="E162" s="49"/>
      <c r="G162" s="47"/>
    </row>
    <row r="163" customFormat="false" ht="13" hidden="true" customHeight="false" outlineLevel="1" collapsed="false">
      <c r="B163" s="48" t="s">
        <v>48</v>
      </c>
      <c r="C163" s="49"/>
      <c r="D163" s="49"/>
      <c r="E163" s="49"/>
      <c r="G163" s="47"/>
    </row>
    <row r="164" customFormat="false" ht="13" hidden="true" customHeight="false" outlineLevel="1" collapsed="false">
      <c r="B164" s="48" t="s">
        <v>55</v>
      </c>
      <c r="C164" s="49"/>
      <c r="D164" s="49"/>
      <c r="E164" s="49"/>
      <c r="G164" s="47"/>
      <c r="K164" s="2" t="s">
        <v>101</v>
      </c>
    </row>
    <row r="165" customFormat="false" ht="13" hidden="true" customHeight="false" outlineLevel="1" collapsed="false">
      <c r="B165" s="48" t="s">
        <v>67</v>
      </c>
      <c r="C165" s="49"/>
      <c r="D165" s="49"/>
      <c r="E165" s="49"/>
      <c r="G165" s="47"/>
    </row>
    <row r="166" customFormat="false" ht="13" hidden="true" customHeight="false" outlineLevel="1" collapsed="false">
      <c r="B166" s="48" t="s">
        <v>72</v>
      </c>
      <c r="C166" s="49"/>
      <c r="D166" s="49"/>
      <c r="E166" s="49"/>
      <c r="G166" s="47"/>
    </row>
  </sheetData>
  <conditionalFormatting sqref="B100 B125:E130">
    <cfRule type="expression" priority="2" aboveAverage="0" equalAverage="0" bottom="0" percent="0" rank="0" text="" dxfId="0">
      <formula>MOD(ROW(B100),2)</formula>
    </cfRule>
  </conditionalFormatting>
  <conditionalFormatting sqref="C100">
    <cfRule type="expression" priority="3" aboveAverage="0" equalAverage="0" bottom="0" percent="0" rank="0" text="" dxfId="1">
      <formula>MOD(ROW(C100),2)</formula>
    </cfRule>
  </conditionalFormatting>
  <conditionalFormatting sqref="D100">
    <cfRule type="expression" priority="4" aboveAverage="0" equalAverage="0" bottom="0" percent="0" rank="0" text="" dxfId="2">
      <formula>MOD(ROW(D100),2)</formula>
    </cfRule>
  </conditionalFormatting>
  <conditionalFormatting sqref="E100">
    <cfRule type="expression" priority="5" aboveAverage="0" equalAverage="0" bottom="0" percent="0" rank="0" text="" dxfId="3">
      <formula>MOD(ROW(E100),2)</formula>
    </cfRule>
  </conditionalFormatting>
  <conditionalFormatting sqref="B100">
    <cfRule type="expression" priority="6" aboveAverage="0" equalAverage="0" bottom="0" percent="0" rank="0" text="" dxfId="4">
      <formula>MOD(ROW(B100),2)</formula>
    </cfRule>
  </conditionalFormatting>
  <conditionalFormatting sqref="E99">
    <cfRule type="expression" priority="7" aboveAverage="0" equalAverage="0" bottom="0" percent="0" rank="0" text="" dxfId="5">
      <formula>MOD(ROW(E99),2)</formula>
    </cfRule>
  </conditionalFormatting>
  <conditionalFormatting sqref="E124">
    <cfRule type="expression" priority="8" aboveAverage="0" equalAverage="0" bottom="0" percent="0" rank="0" text="" dxfId="6">
      <formula>MOD(ROW(E124),2)</formula>
    </cfRule>
  </conditionalFormatting>
  <conditionalFormatting sqref="D99">
    <cfRule type="expression" priority="9" aboveAverage="0" equalAverage="0" bottom="0" percent="0" rank="0" text="" dxfId="7">
      <formula>MOD(ROW(D99),2)</formula>
    </cfRule>
  </conditionalFormatting>
  <conditionalFormatting sqref="D124">
    <cfRule type="expression" priority="10" aboveAverage="0" equalAverage="0" bottom="0" percent="0" rank="0" text="" dxfId="8">
      <formula>MOD(ROW(D124),2)</formula>
    </cfRule>
  </conditionalFormatting>
  <conditionalFormatting sqref="B147:E147">
    <cfRule type="expression" priority="11" aboveAverage="0" equalAverage="0" bottom="0" percent="0" rank="0" text="" dxfId="9">
      <formula>MOD(ROW(B147),2)</formula>
    </cfRule>
  </conditionalFormatting>
  <conditionalFormatting sqref="F146">
    <cfRule type="expression" priority="12" aboveAverage="0" equalAverage="0" bottom="0" percent="0" rank="0" text="" dxfId="10">
      <formula>MOD(ROW(F146),2)</formula>
    </cfRule>
  </conditionalFormatting>
  <conditionalFormatting sqref="B148:E150">
    <cfRule type="expression" priority="13" aboveAverage="0" equalAverage="0" bottom="0" percent="0" rank="0" text="" dxfId="11">
      <formula>MOD(ROW(B148),2)</formula>
    </cfRule>
  </conditionalFormatting>
  <conditionalFormatting sqref="E146">
    <cfRule type="expression" priority="14" aboveAverage="0" equalAverage="0" bottom="0" percent="0" rank="0" text="" dxfId="12">
      <formula>MOD(ROW(E146),2)</formula>
    </cfRule>
  </conditionalFormatting>
  <conditionalFormatting sqref="F147">
    <cfRule type="expression" priority="15" aboveAverage="0" equalAverage="0" bottom="0" percent="0" rank="0" text="" dxfId="13">
      <formula>MOD(ROW(F147),2)</formula>
    </cfRule>
  </conditionalFormatting>
  <conditionalFormatting sqref="F148:F150">
    <cfRule type="expression" priority="16" aboveAverage="0" equalAverage="0" bottom="0" percent="0" rank="0" text="" dxfId="14">
      <formula>MOD(ROW(F148),2)</formula>
    </cfRule>
  </conditionalFormatting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BB2740"/>
    <pageSetUpPr fitToPage="false"/>
  </sheetPr>
  <dimension ref="A1:G166"/>
  <sheetViews>
    <sheetView showFormulas="false" showGridLines="false" showRowColHeaders="true" showZeros="true" rightToLeft="false" tabSelected="false" showOutlineSymbols="true" defaultGridColor="true" view="normal" topLeftCell="A122" colorId="64" zoomScale="75" zoomScaleNormal="75" zoomScalePageLayoutView="100" workbookViewId="0">
      <selection pane="topLeft" activeCell="E10" activeCellId="0" sqref="E10"/>
    </sheetView>
  </sheetViews>
  <sheetFormatPr defaultRowHeight="13" zeroHeight="false" outlineLevelRow="1" outlineLevelCol="0"/>
  <cols>
    <col collapsed="false" customWidth="true" hidden="false" outlineLevel="0" max="1" min="1" style="2" width="9.44"/>
    <col collapsed="false" customWidth="true" hidden="false" outlineLevel="0" max="2" min="2" style="2" width="91.22"/>
    <col collapsed="false" customWidth="true" hidden="false" outlineLevel="0" max="3" min="3" style="2" width="15.55"/>
    <col collapsed="false" customWidth="true" hidden="false" outlineLevel="0" max="4" min="4" style="2" width="27.78"/>
    <col collapsed="false" customWidth="true" hidden="false" outlineLevel="0" max="5" min="5" style="2" width="33.44"/>
    <col collapsed="false" customWidth="true" hidden="false" outlineLevel="0" max="6" min="6" style="2" width="24.44"/>
    <col collapsed="false" customWidth="true" hidden="false" outlineLevel="0" max="15" min="7" style="2" width="9.44"/>
    <col collapsed="false" customWidth="true" hidden="false" outlineLevel="0" max="16" min="16" style="0" width="39.78"/>
    <col collapsed="false" customWidth="true" hidden="false" outlineLevel="0" max="17" min="17" style="0" width="3.77"/>
    <col collapsed="false" customWidth="true" hidden="false" outlineLevel="0" max="18" min="18" style="0" width="70.22"/>
    <col collapsed="false" customWidth="true" hidden="false" outlineLevel="0" max="19" min="19" style="0" width="9.44"/>
    <col collapsed="false" customWidth="true" hidden="false" outlineLevel="0" max="1025" min="20" style="2" width="9.44"/>
  </cols>
  <sheetData>
    <row r="1" customFormat="false" ht="13" hidden="false" customHeight="false" outlineLevel="0" collapsed="false">
      <c r="A1" s="3" t="str">
        <f aca="false">'Cover Page'!A1</f>
        <v>Problem Solving With Excel </v>
      </c>
    </row>
    <row r="2" customFormat="false" ht="13" hidden="false" customHeight="false" outlineLevel="0" collapsed="false">
      <c r="A2" s="3" t="str">
        <f aca="false">'Cover Page'!A2</f>
        <v>Week 4</v>
      </c>
    </row>
    <row r="3" customFormat="false" ht="13" hidden="false" customHeight="false" outlineLevel="0" collapsed="false">
      <c r="A3" s="3" t="str">
        <f aca="false">'Cover Page'!A3</f>
        <v>Index Match</v>
      </c>
    </row>
    <row r="4" customFormat="false" ht="13" hidden="false" customHeight="false" outlineLevel="0" collapsed="false">
      <c r="A4" s="3" t="s">
        <v>8</v>
      </c>
    </row>
    <row r="7" customFormat="false" ht="18.5" hidden="false" customHeight="false" outlineLevel="0" collapsed="false">
      <c r="B7" s="15" t="s">
        <v>75</v>
      </c>
    </row>
    <row r="8" customFormat="false" ht="13" hidden="false" customHeight="false" outlineLevel="1" collapsed="false"/>
    <row r="9" customFormat="false" ht="13" hidden="false" customHeight="false" outlineLevel="1" collapsed="false">
      <c r="B9" s="16" t="s">
        <v>76</v>
      </c>
      <c r="C9" s="17"/>
      <c r="D9" s="18"/>
      <c r="E9" s="19"/>
    </row>
    <row r="10" customFormat="false" ht="13" hidden="false" customHeight="false" outlineLevel="1" collapsed="false">
      <c r="B10" s="20" t="s">
        <v>77</v>
      </c>
      <c r="C10" s="20"/>
      <c r="D10" s="21" t="n">
        <v>3</v>
      </c>
      <c r="E10" s="22" t="str">
        <f aca="false">INDEX(Country,3)</f>
        <v>Tanzania, United Republic of</v>
      </c>
    </row>
    <row r="11" customFormat="false" ht="13" hidden="false" customHeight="false" outlineLevel="1" collapsed="false"/>
    <row r="12" customFormat="false" ht="13" hidden="false" customHeight="false" outlineLevel="1" collapsed="false"/>
    <row r="13" customFormat="false" ht="13" hidden="false" customHeight="false" outlineLevel="1" collapsed="false"/>
    <row r="14" customFormat="false" ht="13" hidden="false" customHeight="false" outlineLevel="1" collapsed="false"/>
    <row r="15" customFormat="false" ht="13" hidden="false" customHeight="false" outlineLevel="1" collapsed="false"/>
    <row r="16" customFormat="false" ht="13" hidden="false" customHeight="false" outlineLevel="1" collapsed="false"/>
    <row r="17" customFormat="false" ht="13" hidden="false" customHeight="false" outlineLevel="1" collapsed="false"/>
    <row r="18" customFormat="false" ht="13" hidden="false" customHeight="false" outlineLevel="1" collapsed="false"/>
    <row r="19" customFormat="false" ht="13" hidden="false" customHeight="false" outlineLevel="1" collapsed="false"/>
    <row r="20" customFormat="false" ht="13" hidden="false" customHeight="false" outlineLevel="1" collapsed="false"/>
    <row r="21" customFormat="false" ht="13" hidden="false" customHeight="false" outlineLevel="1" collapsed="false"/>
    <row r="22" customFormat="false" ht="13" hidden="false" customHeight="false" outlineLevel="1" collapsed="false"/>
    <row r="23" customFormat="false" ht="13" hidden="false" customHeight="false" outlineLevel="1" collapsed="false"/>
    <row r="24" customFormat="false" ht="18.5" hidden="false" customHeight="false" outlineLevel="0" collapsed="false">
      <c r="B24" s="15" t="s">
        <v>78</v>
      </c>
    </row>
    <row r="25" customFormat="false" ht="13" hidden="false" customHeight="false" outlineLevel="1" collapsed="false"/>
    <row r="26" customFormat="false" ht="13" hidden="false" customHeight="false" outlineLevel="1" collapsed="false">
      <c r="B26" s="16" t="s">
        <v>79</v>
      </c>
      <c r="C26" s="17"/>
      <c r="D26" s="18"/>
      <c r="E26" s="19"/>
    </row>
    <row r="27" customFormat="false" ht="13" hidden="false" customHeight="false" outlineLevel="1" collapsed="false">
      <c r="B27" s="20" t="s">
        <v>80</v>
      </c>
      <c r="C27" s="20"/>
      <c r="D27" s="21" t="n">
        <v>5</v>
      </c>
      <c r="E27" s="22" t="n">
        <f aca="false">INDEX(Revenue,D27)</f>
        <v>678.3</v>
      </c>
    </row>
    <row r="28" customFormat="false" ht="13" hidden="false" customHeight="false" outlineLevel="1" collapsed="false"/>
    <row r="29" customFormat="false" ht="13" hidden="false" customHeight="false" outlineLevel="1" collapsed="false"/>
    <row r="30" customFormat="false" ht="13" hidden="false" customHeight="false" outlineLevel="1" collapsed="false"/>
    <row r="31" customFormat="false" ht="13" hidden="false" customHeight="false" outlineLevel="1" collapsed="false"/>
    <row r="32" customFormat="false" ht="13" hidden="false" customHeight="false" outlineLevel="1" collapsed="false"/>
    <row r="33" customFormat="false" ht="13" hidden="false" customHeight="false" outlineLevel="1" collapsed="false"/>
    <row r="34" customFormat="false" ht="13" hidden="false" customHeight="false" outlineLevel="1" collapsed="false"/>
    <row r="35" customFormat="false" ht="13" hidden="false" customHeight="false" outlineLevel="1" collapsed="false"/>
    <row r="36" customFormat="false" ht="13" hidden="false" customHeight="false" outlineLevel="1" collapsed="false"/>
    <row r="37" customFormat="false" ht="13" hidden="false" customHeight="false" outlineLevel="1" collapsed="false"/>
    <row r="38" customFormat="false" ht="13" hidden="false" customHeight="false" outlineLevel="1" collapsed="false"/>
    <row r="39" customFormat="false" ht="13" hidden="false" customHeight="false" outlineLevel="1" collapsed="false"/>
    <row r="40" customFormat="false" ht="13" hidden="false" customHeight="false" outlineLevel="1" collapsed="false"/>
    <row r="41" customFormat="false" ht="13" hidden="false" customHeight="false" outlineLevel="1" collapsed="false"/>
    <row r="42" customFormat="false" ht="13" hidden="false" customHeight="false" outlineLevel="1" collapsed="false"/>
    <row r="43" customFormat="false" ht="13" hidden="false" customHeight="false" outlineLevel="1" collapsed="false"/>
    <row r="44" customFormat="false" ht="13" hidden="false" customHeight="false" outlineLevel="1" collapsed="false"/>
    <row r="45" customFormat="false" ht="18.5" hidden="false" customHeight="false" outlineLevel="0" collapsed="false">
      <c r="B45" s="15" t="s">
        <v>81</v>
      </c>
    </row>
    <row r="46" customFormat="false" ht="13" hidden="false" customHeight="false" outlineLevel="1" collapsed="false"/>
    <row r="47" customFormat="false" ht="13" hidden="false" customHeight="false" outlineLevel="1" collapsed="false">
      <c r="B47" s="16" t="s">
        <v>82</v>
      </c>
      <c r="C47" s="17"/>
      <c r="D47" s="18"/>
      <c r="E47" s="19"/>
    </row>
    <row r="48" customFormat="false" ht="13" hidden="false" customHeight="false" outlineLevel="1" collapsed="false">
      <c r="B48" s="20" t="s">
        <v>83</v>
      </c>
      <c r="C48" s="20"/>
      <c r="D48" s="21" t="s">
        <v>23</v>
      </c>
      <c r="E48" s="23" t="n">
        <f aca="false">MATCH(D48,Country,0)</f>
        <v>8</v>
      </c>
    </row>
    <row r="49" customFormat="false" ht="13" hidden="false" customHeight="false" outlineLevel="1" collapsed="false"/>
    <row r="50" customFormat="false" ht="13" hidden="false" customHeight="false" outlineLevel="1" collapsed="false"/>
    <row r="51" customFormat="false" ht="13" hidden="false" customHeight="false" outlineLevel="1" collapsed="false"/>
    <row r="52" customFormat="false" ht="13" hidden="false" customHeight="false" outlineLevel="1" collapsed="false"/>
    <row r="53" customFormat="false" ht="13" hidden="false" customHeight="false" outlineLevel="1" collapsed="false"/>
    <row r="54" customFormat="false" ht="13" hidden="false" customHeight="false" outlineLevel="1" collapsed="false"/>
    <row r="55" customFormat="false" ht="13" hidden="false" customHeight="false" outlineLevel="1" collapsed="false"/>
    <row r="56" customFormat="false" ht="13" hidden="false" customHeight="false" outlineLevel="1" collapsed="false"/>
    <row r="57" customFormat="false" ht="13" hidden="false" customHeight="false" outlineLevel="1" collapsed="false"/>
    <row r="58" customFormat="false" ht="13" hidden="false" customHeight="false" outlineLevel="1" collapsed="false"/>
    <row r="59" customFormat="false" ht="13" hidden="false" customHeight="false" outlineLevel="1" collapsed="false"/>
    <row r="60" customFormat="false" ht="13" hidden="false" customHeight="false" outlineLevel="1" collapsed="false"/>
    <row r="61" customFormat="false" ht="13" hidden="false" customHeight="false" outlineLevel="1" collapsed="false"/>
    <row r="62" customFormat="false" ht="13" hidden="false" customHeight="false" outlineLevel="1" collapsed="false"/>
    <row r="63" customFormat="false" ht="13" hidden="false" customHeight="false" outlineLevel="1" collapsed="false"/>
    <row r="64" customFormat="false" ht="13" hidden="false" customHeight="false" outlineLevel="1" collapsed="false"/>
    <row r="65" customFormat="false" ht="13" hidden="false" customHeight="false" outlineLevel="1" collapsed="false"/>
    <row r="66" customFormat="false" ht="13" hidden="false" customHeight="false" outlineLevel="1" collapsed="false"/>
    <row r="67" customFormat="false" ht="13" hidden="false" customHeight="false" outlineLevel="1" collapsed="false"/>
    <row r="68" customFormat="false" ht="13" hidden="false" customHeight="false" outlineLevel="1" collapsed="false"/>
    <row r="69" customFormat="false" ht="13" hidden="false" customHeight="false" outlineLevel="1" collapsed="false"/>
    <row r="70" customFormat="false" ht="18.5" hidden="false" customHeight="false" outlineLevel="0" collapsed="false">
      <c r="B70" s="15" t="s">
        <v>85</v>
      </c>
    </row>
    <row r="71" customFormat="false" ht="13" hidden="false" customHeight="false" outlineLevel="1" collapsed="false"/>
    <row r="72" customFormat="false" ht="13" hidden="false" customHeight="false" outlineLevel="1" collapsed="false">
      <c r="B72" s="16" t="s">
        <v>82</v>
      </c>
      <c r="C72" s="17"/>
      <c r="D72" s="18"/>
      <c r="E72" s="19"/>
    </row>
    <row r="73" customFormat="false" ht="13" hidden="false" customHeight="false" outlineLevel="1" collapsed="false">
      <c r="B73" s="24" t="s">
        <v>86</v>
      </c>
      <c r="C73" s="20"/>
      <c r="D73" s="21" t="s">
        <v>14</v>
      </c>
      <c r="E73" s="50" t="n">
        <f aca="false">MATCH(D73,'Data Set'!C9:F9,0)</f>
        <v>2</v>
      </c>
    </row>
    <row r="74" customFormat="false" ht="13" hidden="false" customHeight="false" outlineLevel="1" collapsed="false"/>
    <row r="75" customFormat="false" ht="13" hidden="false" customHeight="false" outlineLevel="1" collapsed="false"/>
    <row r="76" customFormat="false" ht="13" hidden="false" customHeight="false" outlineLevel="1" collapsed="false"/>
    <row r="77" customFormat="false" ht="13" hidden="false" customHeight="false" outlineLevel="1" collapsed="false"/>
    <row r="78" customFormat="false" ht="13" hidden="false" customHeight="false" outlineLevel="1" collapsed="false"/>
    <row r="79" customFormat="false" ht="13" hidden="false" customHeight="false" outlineLevel="1" collapsed="false"/>
    <row r="80" customFormat="false" ht="13" hidden="false" customHeight="false" outlineLevel="1" collapsed="false"/>
    <row r="81" customFormat="false" ht="13" hidden="false" customHeight="false" outlineLevel="1" collapsed="false"/>
    <row r="82" customFormat="false" ht="13" hidden="false" customHeight="false" outlineLevel="1" collapsed="false"/>
    <row r="83" customFormat="false" ht="13" hidden="false" customHeight="false" outlineLevel="1" collapsed="false"/>
    <row r="84" customFormat="false" ht="13" hidden="false" customHeight="false" outlineLevel="1" collapsed="false"/>
    <row r="85" customFormat="false" ht="13" hidden="false" customHeight="false" outlineLevel="1" collapsed="false"/>
    <row r="86" customFormat="false" ht="13" hidden="false" customHeight="false" outlineLevel="1" collapsed="false"/>
    <row r="87" customFormat="false" ht="13" hidden="false" customHeight="false" outlineLevel="1" collapsed="false"/>
    <row r="88" customFormat="false" ht="13" hidden="false" customHeight="false" outlineLevel="1" collapsed="false"/>
    <row r="89" customFormat="false" ht="13" hidden="false" customHeight="false" outlineLevel="1" collapsed="false"/>
    <row r="90" customFormat="false" ht="13" hidden="false" customHeight="false" outlineLevel="1" collapsed="false"/>
    <row r="91" customFormat="false" ht="13" hidden="false" customHeight="false" outlineLevel="1" collapsed="false"/>
    <row r="92" customFormat="false" ht="13" hidden="false" customHeight="false" outlineLevel="1" collapsed="false"/>
    <row r="93" customFormat="false" ht="18.5" hidden="false" customHeight="false" outlineLevel="0" collapsed="false">
      <c r="B93" s="15" t="s">
        <v>87</v>
      </c>
    </row>
    <row r="94" customFormat="false" ht="13" hidden="false" customHeight="false" outlineLevel="1" collapsed="false"/>
    <row r="95" customFormat="false" ht="13" hidden="false" customHeight="false" outlineLevel="1" collapsed="false"/>
    <row r="96" customFormat="false" ht="13" hidden="false" customHeight="false" outlineLevel="1" collapsed="false">
      <c r="B96" s="16" t="s">
        <v>88</v>
      </c>
      <c r="C96" s="16"/>
      <c r="D96" s="16"/>
      <c r="E96" s="26"/>
    </row>
    <row r="97" customFormat="false" ht="13" hidden="false" customHeight="false" outlineLevel="1" collapsed="false">
      <c r="B97" s="27" t="s">
        <v>89</v>
      </c>
      <c r="C97" s="28"/>
      <c r="D97" s="27"/>
      <c r="E97" s="27"/>
    </row>
    <row r="98" customFormat="false" ht="13" hidden="false" customHeight="false" outlineLevel="1" collapsed="false">
      <c r="B98" s="29" t="s">
        <v>16</v>
      </c>
      <c r="C98" s="30" t="s">
        <v>90</v>
      </c>
      <c r="D98" s="30" t="s">
        <v>13</v>
      </c>
      <c r="E98" s="30" t="s">
        <v>13</v>
      </c>
    </row>
    <row r="99" customFormat="false" ht="13" hidden="false" customHeight="false" outlineLevel="1" collapsed="false">
      <c r="B99" s="27"/>
      <c r="C99" s="31"/>
      <c r="D99" s="32" t="s">
        <v>91</v>
      </c>
      <c r="E99" s="32" t="s">
        <v>92</v>
      </c>
    </row>
    <row r="100" customFormat="false" ht="13" hidden="false" customHeight="false" outlineLevel="1" collapsed="false">
      <c r="B100" s="33" t="s">
        <v>28</v>
      </c>
      <c r="C100" s="34" t="n">
        <f aca="false">MATCH(B100,Country,0)</f>
        <v>14</v>
      </c>
      <c r="D100" s="35" t="n">
        <f aca="false">INDEX(Revenue,C100)</f>
        <v>1269</v>
      </c>
      <c r="E100" s="35" t="n">
        <f aca="false">INDEX(Revenue,MATCH(B100,Country,0))</f>
        <v>1269</v>
      </c>
    </row>
    <row r="101" customFormat="false" ht="13" hidden="false" customHeight="false" outlineLevel="1" collapsed="false"/>
    <row r="102" customFormat="false" ht="13" hidden="false" customHeight="false" outlineLevel="1" collapsed="false"/>
    <row r="103" customFormat="false" ht="13" hidden="false" customHeight="false" outlineLevel="1" collapsed="false"/>
    <row r="104" customFormat="false" ht="13" hidden="false" customHeight="false" outlineLevel="1" collapsed="false"/>
    <row r="105" customFormat="false" ht="13" hidden="false" customHeight="false" outlineLevel="1" collapsed="false"/>
    <row r="106" customFormat="false" ht="13" hidden="false" customHeight="false" outlineLevel="1" collapsed="false"/>
    <row r="107" customFormat="false" ht="13" hidden="false" customHeight="false" outlineLevel="1" collapsed="false"/>
    <row r="108" customFormat="false" ht="13" hidden="false" customHeight="false" outlineLevel="1" collapsed="false"/>
    <row r="109" customFormat="false" ht="13" hidden="false" customHeight="false" outlineLevel="1" collapsed="false"/>
    <row r="110" customFormat="false" ht="13" hidden="false" customHeight="false" outlineLevel="1" collapsed="false"/>
    <row r="111" customFormat="false" ht="13" hidden="false" customHeight="false" outlineLevel="1" collapsed="false"/>
    <row r="112" customFormat="false" ht="13" hidden="false" customHeight="false" outlineLevel="1" collapsed="false"/>
    <row r="113" customFormat="false" ht="13" hidden="false" customHeight="false" outlineLevel="1" collapsed="false"/>
    <row r="114" customFormat="false" ht="13" hidden="false" customHeight="false" outlineLevel="1" collapsed="false"/>
    <row r="115" customFormat="false" ht="13" hidden="false" customHeight="false" outlineLevel="1" collapsed="false"/>
    <row r="116" customFormat="false" ht="13" hidden="false" customHeight="false" outlineLevel="1" collapsed="false"/>
    <row r="117" customFormat="false" ht="13" hidden="false" customHeight="false" outlineLevel="1" collapsed="false"/>
    <row r="118" customFormat="false" ht="13" hidden="false" customHeight="false" outlineLevel="1" collapsed="false"/>
    <row r="119" customFormat="false" ht="18.5" hidden="false" customHeight="false" outlineLevel="0" collapsed="false">
      <c r="B119" s="15" t="s">
        <v>93</v>
      </c>
    </row>
    <row r="120" customFormat="false" ht="13" hidden="false" customHeight="false" outlineLevel="1" collapsed="false"/>
    <row r="121" customFormat="false" ht="13" hidden="false" customHeight="false" outlineLevel="1" collapsed="false">
      <c r="B121" s="36" t="s">
        <v>88</v>
      </c>
      <c r="C121" s="37"/>
      <c r="D121" s="38"/>
      <c r="E121" s="39"/>
    </row>
    <row r="122" customFormat="false" ht="13" hidden="false" customHeight="false" outlineLevel="1" collapsed="false">
      <c r="B122" s="40" t="s">
        <v>94</v>
      </c>
      <c r="C122" s="41"/>
      <c r="D122" s="42"/>
      <c r="E122" s="25"/>
    </row>
    <row r="123" customFormat="false" ht="13" hidden="false" customHeight="false" outlineLevel="1" collapsed="false">
      <c r="B123" s="29" t="s">
        <v>16</v>
      </c>
      <c r="C123" s="30" t="s">
        <v>90</v>
      </c>
      <c r="D123" s="30" t="s">
        <v>14</v>
      </c>
      <c r="E123" s="30" t="s">
        <v>14</v>
      </c>
    </row>
    <row r="124" customFormat="false" ht="13" hidden="false" customHeight="false" outlineLevel="1" collapsed="false">
      <c r="B124" s="27"/>
      <c r="C124" s="31"/>
      <c r="D124" s="32" t="s">
        <v>91</v>
      </c>
      <c r="E124" s="32" t="s">
        <v>92</v>
      </c>
    </row>
    <row r="125" customFormat="false" ht="13" hidden="false" customHeight="false" outlineLevel="1" collapsed="false">
      <c r="B125" s="33" t="s">
        <v>20</v>
      </c>
      <c r="C125" s="34" t="n">
        <f aca="false">MATCH(B125,Country,0)</f>
        <v>5</v>
      </c>
      <c r="D125" s="35" t="n">
        <f aca="false">INDEX(EBITDA,C125)</f>
        <v>128.877</v>
      </c>
      <c r="E125" s="35" t="n">
        <f aca="false">INDEX(EBITDA,MATCH(B125,Country,0))</f>
        <v>128.877</v>
      </c>
    </row>
    <row r="126" customFormat="false" ht="13" hidden="false" customHeight="false" outlineLevel="1" collapsed="false">
      <c r="B126" s="33" t="s">
        <v>36</v>
      </c>
      <c r="C126" s="34" t="n">
        <f aca="false">MATCH(B126,Country,0)</f>
        <v>22</v>
      </c>
      <c r="D126" s="35" t="n">
        <f aca="false">INDEX(EBITDA,C126)</f>
        <v>103.275</v>
      </c>
      <c r="E126" s="35" t="n">
        <f aca="false">INDEX(EBITDA,MATCH(B126,Country,0))</f>
        <v>103.275</v>
      </c>
    </row>
    <row r="127" customFormat="false" ht="13" hidden="false" customHeight="false" outlineLevel="1" collapsed="false">
      <c r="B127" s="33" t="s">
        <v>34</v>
      </c>
      <c r="C127" s="34" t="n">
        <f aca="false">MATCH(B127,Country,0)</f>
        <v>20</v>
      </c>
      <c r="D127" s="35" t="n">
        <f aca="false">INDEX(EBITDA,C127)</f>
        <v>-60</v>
      </c>
      <c r="E127" s="35" t="n">
        <f aca="false">INDEX(EBITDA,MATCH(B127,Country,0))</f>
        <v>-60</v>
      </c>
    </row>
    <row r="128" customFormat="false" ht="13" hidden="false" customHeight="false" outlineLevel="1" collapsed="false">
      <c r="B128" s="33" t="s">
        <v>38</v>
      </c>
      <c r="C128" s="34" t="n">
        <f aca="false">MATCH(B128,Country,0)</f>
        <v>24</v>
      </c>
      <c r="D128" s="35" t="n">
        <f aca="false">INDEX(EBITDA,C128)</f>
        <v>49.68</v>
      </c>
      <c r="E128" s="35" t="n">
        <f aca="false">INDEX(EBITDA,MATCH(B128,Country,0))</f>
        <v>49.68</v>
      </c>
    </row>
    <row r="129" customFormat="false" ht="13" hidden="false" customHeight="false" outlineLevel="1" collapsed="false">
      <c r="B129" s="33" t="s">
        <v>29</v>
      </c>
      <c r="C129" s="34" t="n">
        <f aca="false">MATCH(B129,Country,0)</f>
        <v>15</v>
      </c>
      <c r="D129" s="35" t="n">
        <f aca="false">INDEX(EBITDA,C129)</f>
        <v>8.45</v>
      </c>
      <c r="E129" s="35" t="n">
        <f aca="false">INDEX(EBITDA,MATCH(B129,Country,0))</f>
        <v>8.45</v>
      </c>
    </row>
    <row r="130" customFormat="false" ht="13" hidden="false" customHeight="false" outlineLevel="1" collapsed="false">
      <c r="B130" s="33" t="s">
        <v>23</v>
      </c>
      <c r="C130" s="34" t="n">
        <f aca="false">MATCH(B130,Country,0)</f>
        <v>8</v>
      </c>
      <c r="D130" s="35" t="n">
        <f aca="false">INDEX(EBITDA,C130)</f>
        <v>3.48</v>
      </c>
      <c r="E130" s="35" t="n">
        <f aca="false">INDEX(EBITDA,MATCH(B130,Country,0))</f>
        <v>3.48</v>
      </c>
    </row>
    <row r="131" customFormat="false" ht="13" hidden="false" customHeight="false" outlineLevel="1" collapsed="false"/>
    <row r="132" customFormat="false" ht="13" hidden="false" customHeight="false" outlineLevel="1" collapsed="false"/>
    <row r="133" customFormat="false" ht="13" hidden="false" customHeight="false" outlineLevel="1" collapsed="false"/>
    <row r="134" customFormat="false" ht="13" hidden="false" customHeight="false" outlineLevel="1" collapsed="false"/>
    <row r="135" customFormat="false" ht="13" hidden="false" customHeight="false" outlineLevel="1" collapsed="false"/>
    <row r="136" customFormat="false" ht="13" hidden="false" customHeight="false" outlineLevel="1" collapsed="false"/>
    <row r="137" customFormat="false" ht="13" hidden="false" customHeight="false" outlineLevel="1" collapsed="false"/>
    <row r="138" customFormat="false" ht="13" hidden="false" customHeight="false" outlineLevel="1" collapsed="false"/>
    <row r="139" customFormat="false" ht="13" hidden="false" customHeight="false" outlineLevel="1" collapsed="false"/>
    <row r="140" customFormat="false" ht="13" hidden="false" customHeight="false" outlineLevel="1" collapsed="false"/>
    <row r="141" customFormat="false" ht="18.5" hidden="false" customHeight="false" outlineLevel="0" collapsed="false">
      <c r="B141" s="15" t="s">
        <v>95</v>
      </c>
    </row>
    <row r="142" customFormat="false" ht="13" hidden="false" customHeight="false" outlineLevel="1" collapsed="false"/>
    <row r="143" customFormat="false" ht="13" hidden="false" customHeight="false" outlineLevel="1" collapsed="false">
      <c r="B143" s="36" t="s">
        <v>88</v>
      </c>
      <c r="C143" s="37"/>
      <c r="D143" s="37"/>
      <c r="E143" s="38"/>
      <c r="F143" s="39"/>
    </row>
    <row r="144" customFormat="false" ht="13" hidden="false" customHeight="false" outlineLevel="1" collapsed="false">
      <c r="B144" s="40" t="s">
        <v>43</v>
      </c>
      <c r="C144" s="41" t="s">
        <v>96</v>
      </c>
      <c r="D144" s="41"/>
      <c r="E144" s="42"/>
    </row>
    <row r="145" customFormat="false" ht="13" hidden="false" customHeight="false" outlineLevel="1" collapsed="false">
      <c r="B145" s="29" t="s">
        <v>16</v>
      </c>
      <c r="C145" s="30" t="s">
        <v>90</v>
      </c>
      <c r="D145" s="30" t="s">
        <v>90</v>
      </c>
      <c r="E145" s="30" t="s">
        <v>79</v>
      </c>
      <c r="F145" s="30"/>
    </row>
    <row r="146" customFormat="false" ht="13" hidden="false" customHeight="false" outlineLevel="1" collapsed="false">
      <c r="B146" s="27"/>
      <c r="C146" s="40" t="s">
        <v>43</v>
      </c>
      <c r="D146" s="31" t="s">
        <v>97</v>
      </c>
      <c r="E146" s="32" t="s">
        <v>98</v>
      </c>
      <c r="F146" s="32" t="s">
        <v>99</v>
      </c>
    </row>
    <row r="147" customFormat="false" ht="13" hidden="false" customHeight="false" outlineLevel="1" collapsed="false">
      <c r="B147" s="33" t="s">
        <v>72</v>
      </c>
      <c r="C147" s="34" t="n">
        <f aca="false">MATCH($B$144,Name,0)</f>
        <v>4</v>
      </c>
      <c r="D147" s="34" t="n">
        <f aca="false">MATCH($B147,Personal_Info,0)</f>
        <v>7</v>
      </c>
      <c r="E147" s="35" t="str">
        <f aca="false">INDEX('Data Set'!$B$38:$I$44,'Section 1 - ANS'!D147,'Section 1 - ANS'!C147)</f>
        <v>Brown</v>
      </c>
      <c r="F147" s="35" t="str">
        <f aca="false">INDEX('Data Set'!$B$38:$I$44,MATCH('Section 1 - ANS'!B147,Personal_Info,0),MATCH('Section 1 - ANS'!$B$144,Name,0))</f>
        <v>Brown</v>
      </c>
    </row>
    <row r="148" customFormat="false" ht="13" hidden="false" customHeight="false" outlineLevel="1" collapsed="false">
      <c r="B148" s="33" t="s">
        <v>56</v>
      </c>
      <c r="C148" s="34" t="n">
        <f aca="false">MATCH($B$144,Name,0)</f>
        <v>4</v>
      </c>
      <c r="D148" s="34" t="n">
        <f aca="false">MATCH($B148,Personal_Info,0)</f>
        <v>4</v>
      </c>
      <c r="E148" s="35" t="str">
        <f aca="false">INDEX('Data Set'!$B$38:$I$44,'Section 1 - ANS'!D148,'Section 1 - ANS'!C148)</f>
        <v>M</v>
      </c>
      <c r="F148" s="35" t="str">
        <f aca="false">INDEX('Data Set'!$B$38:$I$44,MATCH('Section 1 - ANS'!B148,Personal_Info,0),MATCH('Section 1 - ANS'!$B$144,Name,0))</f>
        <v>M</v>
      </c>
    </row>
    <row r="149" customFormat="false" ht="13" hidden="false" customHeight="false" outlineLevel="1" collapsed="false">
      <c r="B149" s="33" t="s">
        <v>48</v>
      </c>
      <c r="C149" s="34" t="n">
        <f aca="false">MATCH($B$144,Name,0)</f>
        <v>4</v>
      </c>
      <c r="D149" s="34" t="n">
        <f aca="false">MATCH($B149,Personal_Info,0)</f>
        <v>2</v>
      </c>
      <c r="E149" s="35" t="str">
        <f aca="false">INDEX('Data Set'!$B$38:$I$44,'Section 1 - ANS'!D149,'Section 1 - ANS'!C149)</f>
        <v>6-1</v>
      </c>
      <c r="F149" s="35" t="str">
        <f aca="false">INDEX('Data Set'!$B$38:$I$44,MATCH('Section 1 - ANS'!B149,Personal_Info,0),MATCH('Section 1 - ANS'!$B$144,Name,0))</f>
        <v>6-1</v>
      </c>
    </row>
    <row r="150" customFormat="false" ht="13" hidden="false" customHeight="false" outlineLevel="1" collapsed="false">
      <c r="B150" s="33" t="s">
        <v>55</v>
      </c>
      <c r="C150" s="34" t="n">
        <f aca="false">MATCH($B$144,Name,0)</f>
        <v>4</v>
      </c>
      <c r="D150" s="34" t="n">
        <f aca="false">MATCH($B150,Personal_Info,0)</f>
        <v>3</v>
      </c>
      <c r="E150" s="43" t="n">
        <f aca="false">INDEX('Data Set'!$B$38:$I$44,'Section 1 - ANS'!D150,'Section 1 - ANS'!C150)</f>
        <v>194</v>
      </c>
      <c r="F150" s="43" t="n">
        <f aca="false">INDEX('Data Set'!$B$38:$I$44,MATCH('Section 1 - ANS'!B150,Personal_Info,0),MATCH('Section 1 - ANS'!$B$144,Name,0))</f>
        <v>194</v>
      </c>
    </row>
    <row r="151" customFormat="false" ht="13" hidden="false" customHeight="false" outlineLevel="1" collapsed="false"/>
    <row r="152" customFormat="false" ht="13" hidden="false" customHeight="false" outlineLevel="1" collapsed="false"/>
    <row r="153" customFormat="false" ht="13" hidden="false" customHeight="false" outlineLevel="1" collapsed="false"/>
    <row r="154" customFormat="false" ht="13" hidden="false" customHeight="false" outlineLevel="1" collapsed="false"/>
    <row r="155" customFormat="false" ht="13" hidden="false" customHeight="false" outlineLevel="1" collapsed="false"/>
    <row r="156" customFormat="false" ht="13" hidden="false" customHeight="false" outlineLevel="1" collapsed="false"/>
    <row r="157" customFormat="false" ht="13" hidden="false" customHeight="false" outlineLevel="1" collapsed="false"/>
    <row r="158" customFormat="false" ht="18.5" hidden="false" customHeight="false" outlineLevel="0" collapsed="false">
      <c r="B158" s="15" t="s">
        <v>100</v>
      </c>
    </row>
    <row r="159" customFormat="false" ht="13" hidden="false" customHeight="false" outlineLevel="1" collapsed="false"/>
    <row r="160" customFormat="false" ht="13.5" hidden="false" customHeight="false" outlineLevel="1" collapsed="false">
      <c r="B160" s="6" t="s">
        <v>40</v>
      </c>
      <c r="C160" s="6" t="s">
        <v>44</v>
      </c>
      <c r="D160" s="6" t="s">
        <v>46</v>
      </c>
      <c r="E160" s="6" t="s">
        <v>47</v>
      </c>
    </row>
    <row r="161" customFormat="false" ht="13" hidden="false" customHeight="false" outlineLevel="1" collapsed="false">
      <c r="B161" s="44" t="s">
        <v>59</v>
      </c>
      <c r="C161" s="45" t="str">
        <f aca="false">INDEX('Data Set'!$B$38:$I$44,MATCH($B161,Personal_Info,0),MATCH(C$160,Name,0))</f>
        <v>DC</v>
      </c>
      <c r="D161" s="46" t="str">
        <f aca="false">INDEX('Data Set'!$B$38:$I$44,MATCH($B161,Personal_Info,0),MATCH(D$160,Name,0))</f>
        <v>Boise</v>
      </c>
      <c r="E161" s="46" t="str">
        <f aca="false">INDEX('Data Set'!$B$38:$I$44,MATCH($B161,Personal_Info,0),MATCH(E$160,Name,0))</f>
        <v>Atlanta</v>
      </c>
      <c r="G161" s="47"/>
    </row>
    <row r="162" customFormat="false" ht="13" hidden="false" customHeight="false" outlineLevel="1" collapsed="false">
      <c r="B162" s="48" t="s">
        <v>56</v>
      </c>
      <c r="C162" s="49" t="str">
        <f aca="false">INDEX('Data Set'!$B$38:$I$44,MATCH($B162,Personal_Info,0),MATCH(C$160,Name,0))</f>
        <v>F</v>
      </c>
      <c r="D162" s="49" t="str">
        <f aca="false">INDEX('Data Set'!$B$38:$I$44,MATCH($B162,Personal_Info,0),MATCH(D$160,Name,0))</f>
        <v>F</v>
      </c>
      <c r="E162" s="49" t="str">
        <f aca="false">INDEX('Data Set'!$B$38:$I$44,MATCH($B162,Personal_Info,0),MATCH(E$160,Name,0))</f>
        <v>M</v>
      </c>
      <c r="G162" s="47"/>
    </row>
    <row r="163" customFormat="false" ht="13" hidden="false" customHeight="false" outlineLevel="1" collapsed="false">
      <c r="B163" s="48" t="s">
        <v>48</v>
      </c>
      <c r="C163" s="49" t="str">
        <f aca="false">INDEX('Data Set'!$B$38:$I$44,MATCH($B163,Personal_Info,0),MATCH(C$160,Name,0))</f>
        <v>5-11</v>
      </c>
      <c r="D163" s="49" t="str">
        <f aca="false">INDEX('Data Set'!$B$38:$I$44,MATCH($B163,Personal_Info,0),MATCH(D$160,Name,0))</f>
        <v>5-9</v>
      </c>
      <c r="E163" s="49" t="str">
        <f aca="false">INDEX('Data Set'!$B$38:$I$44,MATCH($B163,Personal_Info,0),MATCH(E$160,Name,0))</f>
        <v>6-4</v>
      </c>
      <c r="G163" s="47"/>
    </row>
    <row r="164" customFormat="false" ht="13" hidden="false" customHeight="false" outlineLevel="1" collapsed="false">
      <c r="B164" s="48" t="s">
        <v>55</v>
      </c>
      <c r="C164" s="49" t="n">
        <f aca="false">INDEX('Data Set'!$B$38:$I$44,MATCH($B164,Personal_Info,0),MATCH(C$160,Name,0))</f>
        <v>145</v>
      </c>
      <c r="D164" s="49" t="n">
        <f aca="false">INDEX('Data Set'!$B$38:$I$44,MATCH($B164,Personal_Info,0),MATCH(D$160,Name,0))</f>
        <v>162</v>
      </c>
      <c r="E164" s="49" t="n">
        <f aca="false">INDEX('Data Set'!$B$38:$I$44,MATCH($B164,Personal_Info,0),MATCH(E$160,Name,0))</f>
        <v>204</v>
      </c>
      <c r="G164" s="47"/>
    </row>
    <row r="165" customFormat="false" ht="13" hidden="false" customHeight="false" outlineLevel="1" collapsed="false">
      <c r="B165" s="48" t="s">
        <v>67</v>
      </c>
      <c r="C165" s="49" t="str">
        <f aca="false">INDEX('Data Set'!$B$38:$I$44,MATCH($B165,Personal_Info,0),MATCH(C$160,Name,0))</f>
        <v>Red</v>
      </c>
      <c r="D165" s="49" t="str">
        <f aca="false">INDEX('Data Set'!$B$38:$I$44,MATCH($B165,Personal_Info,0),MATCH(D$160,Name,0))</f>
        <v>Brown</v>
      </c>
      <c r="E165" s="49" t="str">
        <f aca="false">INDEX('Data Set'!$B$38:$I$44,MATCH($B165,Personal_Info,0),MATCH(E$160,Name,0))</f>
        <v>Blonde</v>
      </c>
      <c r="G165" s="47"/>
    </row>
    <row r="166" customFormat="false" ht="13" hidden="false" customHeight="false" outlineLevel="1" collapsed="false">
      <c r="B166" s="48" t="s">
        <v>72</v>
      </c>
      <c r="C166" s="49" t="str">
        <f aca="false">INDEX('Data Set'!$B$38:$I$44,MATCH($B166,Personal_Info,0),MATCH(C$160,Name,0))</f>
        <v>Blue</v>
      </c>
      <c r="D166" s="49" t="str">
        <f aca="false">INDEX('Data Set'!$B$38:$I$44,MATCH($B166,Personal_Info,0),MATCH(D$160,Name,0))</f>
        <v>Blue</v>
      </c>
      <c r="E166" s="49" t="str">
        <f aca="false">INDEX('Data Set'!$B$38:$I$44,MATCH($B166,Personal_Info,0),MATCH(E$160,Name,0))</f>
        <v>Blue</v>
      </c>
      <c r="G166" s="47"/>
    </row>
  </sheetData>
  <conditionalFormatting sqref="B100 B125:E130">
    <cfRule type="expression" priority="2" aboveAverage="0" equalAverage="0" bottom="0" percent="0" rank="0" text="" dxfId="0">
      <formula>MOD(ROW(B100),2)</formula>
    </cfRule>
  </conditionalFormatting>
  <conditionalFormatting sqref="C100">
    <cfRule type="expression" priority="3" aboveAverage="0" equalAverage="0" bottom="0" percent="0" rank="0" text="" dxfId="1">
      <formula>MOD(ROW(C100),2)</formula>
    </cfRule>
  </conditionalFormatting>
  <conditionalFormatting sqref="D100">
    <cfRule type="expression" priority="4" aboveAverage="0" equalAverage="0" bottom="0" percent="0" rank="0" text="" dxfId="2">
      <formula>MOD(ROW(D100),2)</formula>
    </cfRule>
  </conditionalFormatting>
  <conditionalFormatting sqref="E100">
    <cfRule type="expression" priority="5" aboveAverage="0" equalAverage="0" bottom="0" percent="0" rank="0" text="" dxfId="3">
      <formula>MOD(ROW(E100),2)</formula>
    </cfRule>
  </conditionalFormatting>
  <conditionalFormatting sqref="B100">
    <cfRule type="expression" priority="6" aboveAverage="0" equalAverage="0" bottom="0" percent="0" rank="0" text="" dxfId="4">
      <formula>MOD(ROW(B100),2)</formula>
    </cfRule>
  </conditionalFormatting>
  <conditionalFormatting sqref="E99">
    <cfRule type="expression" priority="7" aboveAverage="0" equalAverage="0" bottom="0" percent="0" rank="0" text="" dxfId="5">
      <formula>MOD(ROW(E99),2)</formula>
    </cfRule>
  </conditionalFormatting>
  <conditionalFormatting sqref="E124">
    <cfRule type="expression" priority="8" aboveAverage="0" equalAverage="0" bottom="0" percent="0" rank="0" text="" dxfId="6">
      <formula>MOD(ROW(E124),2)</formula>
    </cfRule>
  </conditionalFormatting>
  <conditionalFormatting sqref="D99">
    <cfRule type="expression" priority="9" aboveAverage="0" equalAverage="0" bottom="0" percent="0" rank="0" text="" dxfId="7">
      <formula>MOD(ROW(D99),2)</formula>
    </cfRule>
  </conditionalFormatting>
  <conditionalFormatting sqref="D124">
    <cfRule type="expression" priority="10" aboveAverage="0" equalAverage="0" bottom="0" percent="0" rank="0" text="" dxfId="8">
      <formula>MOD(ROW(D124),2)</formula>
    </cfRule>
  </conditionalFormatting>
  <conditionalFormatting sqref="B147:E147">
    <cfRule type="expression" priority="11" aboveAverage="0" equalAverage="0" bottom="0" percent="0" rank="0" text="" dxfId="9">
      <formula>MOD(ROW(B147),2)</formula>
    </cfRule>
  </conditionalFormatting>
  <conditionalFormatting sqref="F146">
    <cfRule type="expression" priority="12" aboveAverage="0" equalAverage="0" bottom="0" percent="0" rank="0" text="" dxfId="10">
      <formula>MOD(ROW(F146),2)</formula>
    </cfRule>
  </conditionalFormatting>
  <conditionalFormatting sqref="B148:E150">
    <cfRule type="expression" priority="13" aboveAverage="0" equalAverage="0" bottom="0" percent="0" rank="0" text="" dxfId="11">
      <formula>MOD(ROW(B148),2)</formula>
    </cfRule>
  </conditionalFormatting>
  <conditionalFormatting sqref="E146">
    <cfRule type="expression" priority="14" aboveAverage="0" equalAverage="0" bottom="0" percent="0" rank="0" text="" dxfId="12">
      <formula>MOD(ROW(E146),2)</formula>
    </cfRule>
  </conditionalFormatting>
  <conditionalFormatting sqref="F147">
    <cfRule type="expression" priority="15" aboveAverage="0" equalAverage="0" bottom="0" percent="0" rank="0" text="" dxfId="13">
      <formula>MOD(ROW(F147),2)</formula>
    </cfRule>
  </conditionalFormatting>
  <conditionalFormatting sqref="F148:F150">
    <cfRule type="expression" priority="16" aboveAverage="0" equalAverage="0" bottom="0" percent="0" rank="0" text="" dxfId="14">
      <formula>MOD(ROW(F148),2)</formula>
    </cfRule>
  </conditionalFormatting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LibreOffice/6.0.7.3$Linux_X86_64 LibreOffice_project/00m0$Build-3</Application>
  <Company>PricewaterhouseCoopers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2016-06-22T22:01:00Z</dcterms:created>
  <dc:creator>Matthew Jacobs</dc:creator>
  <dc:description/>
  <dc:language>en-US</dc:language>
  <cp:lastModifiedBy/>
  <dcterms:modified xsi:type="dcterms:W3CDTF">2020-07-08T08:01:21Z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BrandFormat">
    <vt:lpwstr>1.0</vt:lpwstr>
  </property>
  <property fmtid="{D5CDD505-2E9C-101B-9397-08002B2CF9AE}" pid="4" name="Company">
    <vt:lpwstr>PricewaterhouseCoopers</vt:lpwstr>
  </property>
  <property fmtid="{D5CDD505-2E9C-101B-9397-08002B2CF9AE}" pid="5" name="DocSecurity">
    <vt:i4>0</vt:i4>
  </property>
  <property fmtid="{D5CDD505-2E9C-101B-9397-08002B2CF9AE}" pid="6" name="HyperlinksChanged">
    <vt:bool>0</vt:bool>
  </property>
  <property fmtid="{D5CDD505-2E9C-101B-9397-08002B2CF9AE}" pid="7" name="LinksUpToDate">
    <vt:bool>0</vt:bool>
  </property>
  <property fmtid="{D5CDD505-2E9C-101B-9397-08002B2CF9AE}" pid="8" name="ScaleCrop">
    <vt:bool>0</vt:bool>
  </property>
  <property fmtid="{D5CDD505-2E9C-101B-9397-08002B2CF9AE}" pid="9" name="ShareDoc">
    <vt:bool>0</vt:bool>
  </property>
  <property fmtid="{D5CDD505-2E9C-101B-9397-08002B2CF9AE}" pid="10" name="Smrt_NotesFontSize">
    <vt:lpwstr>8</vt:lpwstr>
  </property>
  <property fmtid="{D5CDD505-2E9C-101B-9397-08002B2CF9AE}" pid="11" name="Smrt_WorkbookNumberDisplay">
    <vt:lpwstr>0</vt:lpwstr>
  </property>
  <property fmtid="{D5CDD505-2E9C-101B-9397-08002B2CF9AE}" pid="12" name="Smrt_WorkbookPercentageDisplay">
    <vt:lpwstr>0</vt:lpwstr>
  </property>
  <property fmtid="{D5CDD505-2E9C-101B-9397-08002B2CF9AE}" pid="13" name="Smrt_WorkbookThemeColor">
    <vt:lpwstr>PwC Maroon</vt:lpwstr>
  </property>
</Properties>
</file>