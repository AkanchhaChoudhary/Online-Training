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bvyse008\Desktop\"/>
    </mc:Choice>
  </mc:AlternateContent>
  <bookViews>
    <workbookView xWindow="0" yWindow="0" windowWidth="14400" windowHeight="6880"/>
  </bookViews>
  <sheets>
    <sheet name="Cover Page" sheetId="1" r:id="rId1"/>
    <sheet name="Data_Set" sheetId="15" r:id="rId2"/>
    <sheet name="Question" sheetId="17" r:id="rId3"/>
    <sheet name="Question_Ans" sheetId="7" state="hidden" r:id="rId4"/>
  </sheets>
  <externalReferences>
    <externalReference r:id="rId5"/>
  </externalReferences>
  <definedNames>
    <definedName name="_xlnm._FilterDatabase" localSheetId="1" hidden="1">Data_Set!$B$8:$K$196</definedName>
    <definedName name="AvgHourlyCost">Data_Set!$G$8:$G$196</definedName>
    <definedName name="Bonus_Target">Data_Set!$H$8:$H$196</definedName>
    <definedName name="Country">'[1]Data Set'!$F$9:$F$32</definedName>
    <definedName name="Head_Count">Data_Set!$J$8:$J$196</definedName>
    <definedName name="IsFullTimeResource">Data_Set!$F$8:$F$196</definedName>
    <definedName name="Location_Name">Data_Set!$B$8:$B$196</definedName>
    <definedName name="OrgUnitName">Data_Set!$C$8:$C$196</definedName>
    <definedName name="ResourceLevelCd">Data_Set!$D$8:$D$196</definedName>
    <definedName name="Role">Data_Set!$E$8:$E$196</definedName>
    <definedName name="Shift_CD">Data_Set!$I$8:$I$196</definedName>
    <definedName name="Slicer_LocationName">#N/A</definedName>
    <definedName name="Slicer_ShiftCd">#N/A</definedName>
  </definedNames>
  <calcPr calcId="152511"/>
  <pivotCaches>
    <pivotCache cacheId="0" r:id="rId6"/>
    <pivotCache cacheId="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97" i="7" l="1"/>
  <c r="M200" i="7" l="1"/>
  <c r="M199" i="7"/>
  <c r="M198" i="7"/>
  <c r="M197" i="7"/>
  <c r="M196" i="7"/>
  <c r="M195" i="7"/>
  <c r="M194" i="7"/>
  <c r="M193" i="7"/>
  <c r="M192" i="7"/>
  <c r="M191" i="7"/>
  <c r="M190" i="7"/>
  <c r="M189" i="7"/>
  <c r="L200" i="7"/>
  <c r="L199" i="7"/>
  <c r="L198" i="7"/>
  <c r="L197" i="7"/>
  <c r="L196" i="7"/>
  <c r="L195" i="7"/>
  <c r="L194" i="7"/>
  <c r="L193" i="7"/>
  <c r="L192" i="7"/>
  <c r="L191" i="7"/>
  <c r="L190" i="7"/>
  <c r="L189" i="7"/>
  <c r="K200" i="7"/>
  <c r="K199" i="7"/>
  <c r="K198" i="7"/>
  <c r="K196" i="7"/>
  <c r="K195" i="7"/>
  <c r="K194" i="7"/>
  <c r="K193" i="7"/>
  <c r="K192" i="7"/>
  <c r="K191" i="7"/>
  <c r="K190" i="7"/>
  <c r="K189" i="7"/>
  <c r="J200" i="7"/>
  <c r="J199" i="7"/>
  <c r="J198" i="7"/>
  <c r="J197" i="7"/>
  <c r="J196" i="7"/>
  <c r="J195" i="7"/>
  <c r="J194" i="7"/>
  <c r="J193" i="7"/>
  <c r="J192" i="7"/>
  <c r="J191" i="7"/>
  <c r="J190" i="7"/>
  <c r="J189" i="7"/>
  <c r="I200" i="7"/>
  <c r="I199" i="7"/>
  <c r="I198" i="7"/>
  <c r="I197" i="7"/>
  <c r="I196" i="7"/>
  <c r="I195" i="7"/>
  <c r="I194" i="7"/>
  <c r="I193" i="7"/>
  <c r="I192" i="7"/>
  <c r="I191" i="7"/>
  <c r="I190" i="7"/>
  <c r="I189" i="7"/>
  <c r="H200" i="7"/>
  <c r="H199" i="7"/>
  <c r="H198" i="7"/>
  <c r="H197" i="7"/>
  <c r="H196" i="7"/>
  <c r="H195" i="7"/>
  <c r="H194" i="7"/>
  <c r="H193" i="7"/>
  <c r="H192" i="7"/>
  <c r="H191" i="7"/>
  <c r="H190" i="7"/>
  <c r="H189" i="7"/>
  <c r="O200" i="7"/>
  <c r="O199" i="7"/>
  <c r="O197" i="7"/>
  <c r="O196" i="7"/>
  <c r="O194" i="7"/>
  <c r="O193" i="7"/>
  <c r="O191" i="7"/>
  <c r="O190" i="7"/>
  <c r="A2" i="17" l="1"/>
  <c r="A1" i="17"/>
  <c r="C173" i="7" l="1"/>
  <c r="C171" i="7"/>
  <c r="K23" i="15" l="1"/>
  <c r="K155" i="15"/>
  <c r="K17" i="15"/>
  <c r="K116" i="15"/>
  <c r="K40" i="15"/>
  <c r="K137" i="15"/>
  <c r="K14" i="15"/>
  <c r="K153" i="15"/>
  <c r="K15" i="15"/>
  <c r="K76" i="15"/>
  <c r="K33" i="15"/>
  <c r="K179" i="15"/>
  <c r="K32" i="15"/>
  <c r="K145" i="15"/>
  <c r="K12" i="15"/>
  <c r="K170" i="15"/>
  <c r="K22" i="15"/>
  <c r="K158" i="15"/>
  <c r="K36" i="15"/>
  <c r="K151" i="15"/>
  <c r="K26" i="15"/>
  <c r="K109" i="15"/>
  <c r="K10" i="15"/>
  <c r="K107" i="15"/>
  <c r="K27" i="15"/>
  <c r="K136" i="15"/>
  <c r="K31" i="15"/>
  <c r="K81" i="15"/>
  <c r="K35" i="15"/>
  <c r="K177" i="15"/>
  <c r="K25" i="15"/>
  <c r="K131" i="15"/>
  <c r="K28" i="15"/>
  <c r="K176" i="15"/>
  <c r="K43" i="15"/>
  <c r="K149" i="15"/>
  <c r="K67" i="15"/>
  <c r="K70" i="15"/>
  <c r="K79" i="15"/>
  <c r="K80" i="15"/>
  <c r="K77" i="15"/>
  <c r="K63" i="15"/>
  <c r="K83" i="15"/>
  <c r="K87" i="15"/>
  <c r="K78" i="15"/>
  <c r="K154" i="15"/>
  <c r="K164" i="15"/>
  <c r="K148" i="15"/>
  <c r="K169" i="15"/>
  <c r="K163" i="15"/>
  <c r="K147" i="15"/>
  <c r="K160" i="15"/>
  <c r="K167" i="15"/>
  <c r="K166" i="15"/>
  <c r="K156" i="15"/>
  <c r="K187" i="15"/>
  <c r="K127" i="15"/>
  <c r="K93" i="15"/>
  <c r="K39" i="15"/>
  <c r="K117" i="15"/>
  <c r="K103" i="15"/>
  <c r="K113" i="15"/>
  <c r="K114" i="15"/>
  <c r="K104" i="15"/>
  <c r="K51" i="15"/>
  <c r="K181" i="15"/>
  <c r="K173" i="15"/>
  <c r="K152" i="15"/>
  <c r="K178" i="15"/>
  <c r="K188" i="15"/>
  <c r="K183" i="15"/>
  <c r="K174" i="15"/>
  <c r="K190" i="15"/>
  <c r="K189" i="15"/>
  <c r="K192" i="15"/>
  <c r="K195" i="15"/>
  <c r="K171" i="15"/>
  <c r="K193" i="15"/>
  <c r="K186" i="15"/>
  <c r="K162" i="15"/>
  <c r="K168" i="15"/>
  <c r="K175" i="15"/>
  <c r="K184" i="15"/>
  <c r="K134" i="15"/>
  <c r="K135" i="15"/>
  <c r="K119" i="15"/>
  <c r="K129" i="15"/>
  <c r="K140" i="15"/>
  <c r="K125" i="15"/>
  <c r="K143" i="15"/>
  <c r="K138" i="15"/>
  <c r="K142" i="15"/>
  <c r="K118" i="15"/>
  <c r="K132" i="15"/>
  <c r="K121" i="15"/>
  <c r="K122" i="15"/>
  <c r="K37" i="15"/>
  <c r="K21" i="15"/>
  <c r="K24" i="15"/>
  <c r="K18" i="15"/>
  <c r="K9" i="15"/>
  <c r="K44" i="15"/>
  <c r="K13" i="15"/>
  <c r="K20" i="15"/>
  <c r="K16" i="15"/>
  <c r="K30" i="15"/>
  <c r="K19" i="15"/>
  <c r="K29" i="15"/>
  <c r="K11" i="15"/>
  <c r="K133" i="15"/>
  <c r="K55" i="15"/>
  <c r="K64" i="15"/>
  <c r="K42" i="15"/>
  <c r="K72" i="15"/>
  <c r="K68" i="15"/>
  <c r="K71" i="15"/>
  <c r="K53" i="15"/>
  <c r="K34" i="15"/>
  <c r="K62" i="15"/>
  <c r="K146" i="15"/>
  <c r="K180" i="15"/>
  <c r="K124" i="15"/>
  <c r="K111" i="15"/>
  <c r="K128" i="15"/>
  <c r="K123" i="15"/>
  <c r="K102" i="15"/>
  <c r="K99" i="15"/>
  <c r="K96" i="15"/>
  <c r="K92" i="15"/>
  <c r="K85" i="15"/>
  <c r="K74" i="15"/>
  <c r="K101" i="15"/>
  <c r="K95" i="15"/>
  <c r="K91" i="15"/>
  <c r="K82" i="15"/>
  <c r="K86" i="15"/>
  <c r="K89" i="15"/>
  <c r="K161" i="15"/>
  <c r="K185" i="15"/>
  <c r="K56" i="15"/>
  <c r="K57" i="15"/>
  <c r="K59" i="15"/>
  <c r="K41" i="15"/>
  <c r="K61" i="15"/>
  <c r="K60" i="15"/>
  <c r="K49" i="15"/>
  <c r="K65" i="15"/>
  <c r="K47" i="15"/>
  <c r="K139" i="15"/>
  <c r="K120" i="15"/>
  <c r="K108" i="15"/>
  <c r="K69" i="15"/>
  <c r="K48" i="15"/>
  <c r="K54" i="15"/>
  <c r="K130" i="15"/>
  <c r="K105" i="15"/>
  <c r="K110" i="15"/>
  <c r="K112" i="15"/>
  <c r="K38" i="15"/>
  <c r="K106" i="15"/>
  <c r="K66" i="15"/>
  <c r="K144" i="15"/>
  <c r="K196" i="15"/>
  <c r="K194" i="15"/>
  <c r="K90" i="15"/>
  <c r="K191" i="15"/>
  <c r="K100" i="15"/>
  <c r="K98" i="15"/>
  <c r="K97" i="15"/>
  <c r="K94" i="15"/>
  <c r="K150" i="15"/>
  <c r="K88" i="15"/>
  <c r="K84" i="15"/>
  <c r="K75" i="15"/>
  <c r="K73" i="15"/>
  <c r="K159" i="15"/>
  <c r="K126" i="15"/>
  <c r="K157" i="15"/>
  <c r="K172" i="15"/>
  <c r="K115" i="15"/>
  <c r="K58" i="15"/>
  <c r="K165" i="15"/>
  <c r="K141" i="15"/>
  <c r="K52" i="15"/>
  <c r="K50" i="15"/>
  <c r="K182" i="15"/>
  <c r="K46" i="15"/>
  <c r="K45" i="15"/>
  <c r="C279" i="7"/>
  <c r="D279" i="7"/>
  <c r="C281" i="7"/>
  <c r="D280" i="7"/>
  <c r="D284" i="7"/>
  <c r="C283" i="7"/>
  <c r="D283" i="7"/>
  <c r="D282" i="7"/>
  <c r="C284" i="7"/>
  <c r="D281" i="7"/>
  <c r="C280" i="7"/>
  <c r="C282" i="7"/>
  <c r="G200" i="7" l="1"/>
  <c r="G199" i="7"/>
  <c r="G198" i="7"/>
  <c r="G197" i="7"/>
  <c r="G196" i="7"/>
  <c r="G195" i="7"/>
  <c r="G194" i="7"/>
  <c r="G193" i="7"/>
  <c r="G192" i="7"/>
  <c r="G190" i="7"/>
  <c r="G189" i="7"/>
  <c r="G191" i="7"/>
  <c r="N199" i="7" l="1"/>
  <c r="N190" i="7"/>
  <c r="N195" i="7"/>
  <c r="O195" i="7" s="1"/>
  <c r="N196" i="7"/>
  <c r="N200" i="7"/>
  <c r="N191" i="7"/>
  <c r="N193" i="7"/>
  <c r="N197" i="7"/>
  <c r="N189" i="7"/>
  <c r="O189" i="7" s="1"/>
  <c r="N192" i="7"/>
  <c r="O192" i="7" s="1"/>
  <c r="N194" i="7"/>
  <c r="N198" i="7"/>
  <c r="O198" i="7" s="1"/>
  <c r="C174" i="7"/>
  <c r="C172" i="7"/>
  <c r="C176" i="7" l="1"/>
  <c r="A2" i="15"/>
  <c r="A1" i="15"/>
  <c r="A2" i="7" l="1"/>
  <c r="A1" i="7"/>
</calcChain>
</file>

<file path=xl/sharedStrings.xml><?xml version="1.0" encoding="utf-8"?>
<sst xmlns="http://schemas.openxmlformats.org/spreadsheetml/2006/main" count="1328" uniqueCount="197">
  <si>
    <t>Problem Solving With Excel</t>
  </si>
  <si>
    <t>Question</t>
  </si>
  <si>
    <t>LocationName</t>
  </si>
  <si>
    <t>OrgUnitName</t>
  </si>
  <si>
    <t>ResourceLevelCd</t>
  </si>
  <si>
    <t>IsFullTimeResource</t>
  </si>
  <si>
    <t>AvgHourlyCost</t>
  </si>
  <si>
    <t>ShiftCd</t>
  </si>
  <si>
    <t>HeadCount</t>
  </si>
  <si>
    <t>New York</t>
  </si>
  <si>
    <t>Corporate Leadership</t>
  </si>
  <si>
    <t>CEO</t>
  </si>
  <si>
    <t>S1</t>
  </si>
  <si>
    <t>CXO</t>
  </si>
  <si>
    <t>Corporate Finance</t>
  </si>
  <si>
    <t>VP</t>
  </si>
  <si>
    <t>Stamford</t>
  </si>
  <si>
    <t>Eastern Region</t>
  </si>
  <si>
    <t>Buffalo</t>
  </si>
  <si>
    <t>Western Region</t>
  </si>
  <si>
    <t>Albany</t>
  </si>
  <si>
    <t>Northern Region</t>
  </si>
  <si>
    <t>Binghampton</t>
  </si>
  <si>
    <t>Southern Region</t>
  </si>
  <si>
    <t>Corporate Marketing</t>
  </si>
  <si>
    <t>Corporate HR</t>
  </si>
  <si>
    <t>Infinity</t>
  </si>
  <si>
    <t>Corporate Supply Chain</t>
  </si>
  <si>
    <t>Corporate IT</t>
  </si>
  <si>
    <t>Corporate Customer Service</t>
  </si>
  <si>
    <t>SALEM</t>
  </si>
  <si>
    <t>REC</t>
  </si>
  <si>
    <t>CSM</t>
  </si>
  <si>
    <t>SRM</t>
  </si>
  <si>
    <t>QAM</t>
  </si>
  <si>
    <t>HRM</t>
  </si>
  <si>
    <t>ITM</t>
  </si>
  <si>
    <t>MM</t>
  </si>
  <si>
    <t>MACCT</t>
  </si>
  <si>
    <t>Scranton</t>
  </si>
  <si>
    <t>Scranton Branch</t>
  </si>
  <si>
    <t>RM</t>
  </si>
  <si>
    <t>Scranton Sales</t>
  </si>
  <si>
    <t>ATTRM</t>
  </si>
  <si>
    <t>SALER</t>
  </si>
  <si>
    <t>Scranton Accounting</t>
  </si>
  <si>
    <t>SACCT</t>
  </si>
  <si>
    <t>ACCT</t>
  </si>
  <si>
    <t>Scranton Warehouse</t>
  </si>
  <si>
    <t>WS</t>
  </si>
  <si>
    <t>WF</t>
  </si>
  <si>
    <t>S2</t>
  </si>
  <si>
    <t>WDW</t>
  </si>
  <si>
    <t>S3</t>
  </si>
  <si>
    <t>HRR</t>
  </si>
  <si>
    <t>QAR</t>
  </si>
  <si>
    <t>SRR</t>
  </si>
  <si>
    <t>CSR</t>
  </si>
  <si>
    <t>ITR</t>
  </si>
  <si>
    <t>Stamford Branch</t>
  </si>
  <si>
    <t>Stamford Sales</t>
  </si>
  <si>
    <t>Stamford Accounting</t>
  </si>
  <si>
    <t>Stamford Warehouse</t>
  </si>
  <si>
    <t>Utica</t>
  </si>
  <si>
    <t>Utica Branch</t>
  </si>
  <si>
    <t>Utica Sales</t>
  </si>
  <si>
    <t>Utica Accounting</t>
  </si>
  <si>
    <t>Buffalo Branch</t>
  </si>
  <si>
    <t>Buffalo Sales</t>
  </si>
  <si>
    <t>Buffalo Accounting</t>
  </si>
  <si>
    <t>Buffalo Warehouse</t>
  </si>
  <si>
    <t>Rochester</t>
  </si>
  <si>
    <t>Rochester Branch</t>
  </si>
  <si>
    <t>Rochester Sales</t>
  </si>
  <si>
    <t>Rochester Accounting</t>
  </si>
  <si>
    <t>Rochester Warehouse</t>
  </si>
  <si>
    <t>Albany Branch</t>
  </si>
  <si>
    <t>Albany Sales</t>
  </si>
  <si>
    <t>Albany Accounting</t>
  </si>
  <si>
    <t>Albany Warehouse</t>
  </si>
  <si>
    <t>Akron</t>
  </si>
  <si>
    <t>Akron Branch</t>
  </si>
  <si>
    <t>Akron Sales</t>
  </si>
  <si>
    <t>Akron Accounting</t>
  </si>
  <si>
    <t>Akron Warehouse</t>
  </si>
  <si>
    <t>Cambden</t>
  </si>
  <si>
    <t>Cambden Branch</t>
  </si>
  <si>
    <t>Cambden Sales</t>
  </si>
  <si>
    <t>Cambden Accounting</t>
  </si>
  <si>
    <t>Nashua</t>
  </si>
  <si>
    <t>Nashua Branch</t>
  </si>
  <si>
    <t>Nashua Sales</t>
  </si>
  <si>
    <t>Nashua Accounting</t>
  </si>
  <si>
    <t>Nashua Warehouse</t>
  </si>
  <si>
    <t>Yonkers</t>
  </si>
  <si>
    <t>Yonkers Branch</t>
  </si>
  <si>
    <t>Yonkers Sales</t>
  </si>
  <si>
    <t>Yonkers Accounting</t>
  </si>
  <si>
    <t>Pittsfield</t>
  </si>
  <si>
    <t>Pittsfield Branch</t>
  </si>
  <si>
    <t>Pittsfield Sales</t>
  </si>
  <si>
    <t>Pittsfield Accounting</t>
  </si>
  <si>
    <t>Pittsfield Warehouse</t>
  </si>
  <si>
    <t>Syracuse</t>
  </si>
  <si>
    <t>Syracuse Branch</t>
  </si>
  <si>
    <t>Syracuse Sales</t>
  </si>
  <si>
    <t>Syracuse Accounting</t>
  </si>
  <si>
    <t>Binghampton Branch</t>
  </si>
  <si>
    <t>Binghampton Sales</t>
  </si>
  <si>
    <t>Binghampton Accounting</t>
  </si>
  <si>
    <t>Binghampton Warehouse</t>
  </si>
  <si>
    <t>Introduction</t>
  </si>
  <si>
    <t>C-Suite Resource</t>
  </si>
  <si>
    <t>Regional Manager</t>
  </si>
  <si>
    <t>Receptionist</t>
  </si>
  <si>
    <t>Role</t>
  </si>
  <si>
    <t>Bonus Target</t>
  </si>
  <si>
    <t>Row Labels</t>
  </si>
  <si>
    <t>Grand Total</t>
  </si>
  <si>
    <t>Sum of HeadCount</t>
  </si>
  <si>
    <t>Column Labels</t>
  </si>
  <si>
    <t>Answer</t>
  </si>
  <si>
    <t>Amount</t>
  </si>
  <si>
    <t>Pivot Table Below Here</t>
  </si>
  <si>
    <t>Customer Service</t>
  </si>
  <si>
    <t>Human Resources</t>
  </si>
  <si>
    <t>Information Technology</t>
  </si>
  <si>
    <t>Marketing</t>
  </si>
  <si>
    <t>Quality</t>
  </si>
  <si>
    <t>Sales</t>
  </si>
  <si>
    <t>Supplier Relations</t>
  </si>
  <si>
    <t>Finance</t>
  </si>
  <si>
    <t>Regional VP</t>
  </si>
  <si>
    <t>Warehouse</t>
  </si>
  <si>
    <t>Location</t>
  </si>
  <si>
    <t>Second</t>
  </si>
  <si>
    <t>Employee Type</t>
  </si>
  <si>
    <t>% of total of warehouse employees</t>
  </si>
  <si>
    <t>Already Has Finance</t>
  </si>
  <si>
    <t>Y</t>
  </si>
  <si>
    <t>N</t>
  </si>
  <si>
    <t>FTE Capacity</t>
  </si>
  <si>
    <t>20-23</t>
  </si>
  <si>
    <t>24-27</t>
  </si>
  <si>
    <t>28-30</t>
  </si>
  <si>
    <t>31-33</t>
  </si>
  <si>
    <t>33-36</t>
  </si>
  <si>
    <t>40+</t>
  </si>
  <si>
    <t>37-40</t>
  </si>
  <si>
    <t>Min</t>
  </si>
  <si>
    <t>Max</t>
  </si>
  <si>
    <t>Total</t>
  </si>
  <si>
    <t>Consolidation Prospective</t>
  </si>
  <si>
    <t>Salary Breakdown</t>
  </si>
  <si>
    <t>Future Office</t>
  </si>
  <si>
    <t>Target</t>
  </si>
  <si>
    <t>Remain Co.</t>
  </si>
  <si>
    <t>Total Sum of HeadCount</t>
  </si>
  <si>
    <t>Insert Slicers here</t>
  </si>
  <si>
    <t>1) Row Label = Role and Resource</t>
  </si>
  <si>
    <t>3) Values = Sum of employees</t>
  </si>
  <si>
    <t>5) Insert branded rows</t>
  </si>
  <si>
    <t>Headcount</t>
  </si>
  <si>
    <t>Cost Per Year</t>
  </si>
  <si>
    <t>Cost</t>
  </si>
  <si>
    <t>4) Insert calculated field to get cost + Fringe  (Cost Per Year * 1.030)</t>
  </si>
  <si>
    <t>7) Change calculated field value to "Base Employment Cost"</t>
  </si>
  <si>
    <t>Total Base Employement Cost</t>
  </si>
  <si>
    <t>Base Employement Cost</t>
  </si>
  <si>
    <t>6) Change Title of rows from Row Labels to "Role"</t>
  </si>
  <si>
    <t>Leave Slicers set to Buffalo Shift 2</t>
  </si>
  <si>
    <t>Develop a pivot table that shows the number of employees by location and by role type. Include Shifts along the column axis to build a visual representation of how the Shifts are distributed at each location.</t>
  </si>
  <si>
    <t xml:space="preserve">To help prepare for management meetings, the deal team has asked for a pivot table with the
following items:
</t>
  </si>
  <si>
    <t>Week 3 project</t>
  </si>
  <si>
    <t>Your company has been looking at a potential competitor for an acquisition. You are in initial due diligence and the acquisition team has asked for your help to get a better understanding of the companies organization structure, geographic disbursement and compensation structure. Below please find a series of templates they have asked you to populate to help with their analysis of the organization. Please use a series of pivot tables, countifs, sumifs and other tools to answer the questions.</t>
  </si>
  <si>
    <t>Which location has the most finance employees?</t>
  </si>
  <si>
    <t>Which location has the most total employees?</t>
  </si>
  <si>
    <t>Which loction has the most 3rd shift employees?</t>
  </si>
  <si>
    <t>What is the second biggest shift?</t>
  </si>
  <si>
    <t>What is the largest third shift role?</t>
  </si>
  <si>
    <t>Which Location has the most finance employees?</t>
  </si>
  <si>
    <t>Which Location has the most total employees?</t>
  </si>
  <si>
    <t xml:space="preserve">The finance department wants to understand where it has opportunities to consolidate the Finance staff into its existing organization. To get there, they would like your help by calculating the following:
</t>
  </si>
  <si>
    <t xml:space="preserve">The management team needs a dynamic table of all back office employees that they can quickly reference during the management meetings, as different shifts and locations are selected using the slicers. </t>
  </si>
  <si>
    <t>Create a dynamic table using the GETPIVOT to quickly update the following table using the pivot table and slicers from exercise 3.</t>
  </si>
  <si>
    <t>Answers</t>
  </si>
  <si>
    <t>Exercise 1 - Student Lead</t>
  </si>
  <si>
    <t>Exercise 2 - Student Lead</t>
  </si>
  <si>
    <t>Exercise 3 - Student Lead</t>
  </si>
  <si>
    <t>1) Sum of employees in each location
2) Consolidation Status with the following Criteria:
- Consolidate Now = Remain Co. already has Finance staff, the future office will be Remain Co.'s and it has current capacity to absorb the work 
- Need to hire:Remain Co. already has Finance s1) Sum of employees in each location
2) Consolidation Status with the following Criteria:
- Consolidate Now = Remain Co. already has Finance staff, the future office will be Remain Co.'s and it has current capacity to absorb the work 
- Need to hire: Remain Co. already has Finance staff, the future office will be Remain Co.'s but there is no capacity for additional Finance work and the team will need to hire new employees
- Need to Keep Open = The location does not have Finance presence already and (or) the future state office is that of the target staff, the future office will be Remain Co.'s but there is no capacity for additional Finance work and the team will need to hire new employee
- Need to Keep Open = The location does not have Finance presence already and (or) the future state office is that of the target</t>
  </si>
  <si>
    <t>Exercise 4 - Student Lead</t>
  </si>
  <si>
    <t>2) Column Labels of Location</t>
  </si>
  <si>
    <t xml:space="preserve">8) Collapse Role Field </t>
  </si>
  <si>
    <t>Exercise 5 - Student Lead</t>
  </si>
  <si>
    <t xml:space="preserve">8) Collzpse Role Field </t>
  </si>
  <si>
    <t>1) Sum of employees in each location
2) Consolidation Status with the following Criteria:
- Consolidate Now = Remain Co. already has Finance staff, the future office will be Remain Co.'s and it has current capacity to absorb the work 
- Need to hire:Remain Co. already has Finance s1) Sum of employees in each location
2) Consolidation Status with the following Criteria:
- Consolidate Now = Remain Co. already has Finance staff, the future office will be Remain Co.'s and it has current capacity to absorb the work 
- Need to hire: Remain Co. already has Finance staff, the future office will be Remain Co.'s but there is no capacity for additional Finance work and the team will need to hire new employees
- Need to Keep Open = The location does not have Finance presence already and (or) the future state office is that of the target
taff, the future office will be Remain Co.'s but there is no capacity for additional Finance work and the team will need to hire new employee
- Need to Keep Open = The location does not have Finance presence already and (or) the future state office is that of the target</t>
  </si>
  <si>
    <t>The warehouse team needs to know how many warehouse employees are in the state of New York, the % of total warehouse employees listed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</si>
</sst>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_(* #,##0_);_(* \(#,##0\);_(* &quot;-&quot;??_);_(@_)"/>
    <numFmt numFmtId="165" formatCode="_(* #,##0_);_(* \(#,##0\);_(* &quot;-&quot;_);@_)"/>
    <numFmt numFmtId="166" formatCode="0%_);\(0%\)"/>
  </numFmts>
  <fonts count="32">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b/>
      <sz val="12"/>
      <color theme="0"/>
      <name val="Calibri  "/>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11"/>
      <color theme="0"/>
      <name val="Arial"/>
      <family val="2"/>
      <scheme val="minor"/>
    </font>
    <font>
      <sz val="10"/>
      <name val="Arial"/>
      <family val="2"/>
    </font>
    <font>
      <b/>
      <sz val="9"/>
      <name val="Arial"/>
      <family val="2"/>
      <scheme val="minor"/>
    </font>
    <font>
      <b/>
      <sz val="9"/>
      <color theme="4" tint="-0.249977111117893"/>
      <name val="Arial"/>
      <family val="2"/>
      <scheme val="minor"/>
    </font>
    <font>
      <sz val="9"/>
      <color theme="0"/>
      <name val="Arial"/>
      <family val="2"/>
      <scheme val="minor"/>
    </font>
    <font>
      <sz val="9"/>
      <color rgb="FF000000"/>
      <name val="Arial"/>
      <family val="2"/>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3"/>
        <bgColor indexed="64"/>
      </patternFill>
    </fill>
    <fill>
      <patternFill patternType="solid">
        <fgColor rgb="FFFCD4B6"/>
        <bgColor indexed="64"/>
      </patternFill>
    </fill>
    <fill>
      <patternFill patternType="solid">
        <fgColor rgb="FFE8E6DF"/>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patternFill>
    </fill>
    <fill>
      <patternFill patternType="solid">
        <fgColor theme="3" tint="0.79998168889431442"/>
        <bgColor indexed="64"/>
      </patternFill>
    </fill>
    <fill>
      <patternFill patternType="solid">
        <fgColor theme="6" tint="-0.499984740745262"/>
        <bgColor indexed="64"/>
      </patternFill>
    </fill>
    <fill>
      <patternFill patternType="solid">
        <fgColor theme="0" tint="-4.9989318521683403E-2"/>
        <bgColor indexed="64"/>
      </patternFill>
    </fill>
  </fills>
  <borders count="23">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style="thin">
        <color auto="1"/>
      </right>
      <top style="medium">
        <color auto="1"/>
      </top>
      <bottom style="dotted">
        <color auto="1"/>
      </bottom>
      <diagonal/>
    </border>
    <border>
      <left style="medium">
        <color auto="1"/>
      </left>
      <right/>
      <top style="dotted">
        <color auto="1"/>
      </top>
      <bottom style="dotted">
        <color auto="1"/>
      </bottom>
      <diagonal/>
    </border>
    <border>
      <left/>
      <right style="thin">
        <color theme="0" tint="-0.34998626667073579"/>
      </right>
      <top style="medium">
        <color auto="1"/>
      </top>
      <bottom style="dotted">
        <color auto="1"/>
      </bottom>
      <diagonal/>
    </border>
    <border>
      <left style="thin">
        <color theme="0" tint="-0.34998626667073579"/>
      </left>
      <right style="thin">
        <color theme="0" tint="-0.34998626667073579"/>
      </right>
      <top style="medium">
        <color auto="1"/>
      </top>
      <bottom style="dotted">
        <color auto="1"/>
      </bottom>
      <diagonal/>
    </border>
    <border>
      <left/>
      <right style="thin">
        <color theme="0" tint="-0.34998626667073579"/>
      </right>
      <top style="dotted">
        <color auto="1"/>
      </top>
      <bottom style="dotted">
        <color auto="1"/>
      </bottom>
      <diagonal/>
    </border>
    <border>
      <left style="thin">
        <color theme="0" tint="-0.34998626667073579"/>
      </left>
      <right style="thin">
        <color theme="0" tint="-0.34998626667073579"/>
      </right>
      <top style="dotted">
        <color auto="1"/>
      </top>
      <bottom style="dotted">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3" tint="-0.24994659260841701"/>
      </left>
      <right/>
      <top style="medium">
        <color theme="3" tint="-0.24994659260841701"/>
      </top>
      <bottom/>
      <diagonal/>
    </border>
    <border>
      <left/>
      <right/>
      <top style="medium">
        <color theme="3" tint="-0.24994659260841701"/>
      </top>
      <bottom/>
      <diagonal/>
    </border>
    <border>
      <left/>
      <right style="medium">
        <color theme="3" tint="-0.24994659260841701"/>
      </right>
      <top style="medium">
        <color theme="3" tint="-0.24994659260841701"/>
      </top>
      <bottom/>
      <diagonal/>
    </border>
    <border>
      <left style="thin">
        <color theme="0" tint="-0.34998626667073579"/>
      </left>
      <right style="thin">
        <color theme="0" tint="-0.34998626667073579"/>
      </right>
      <top/>
      <bottom/>
      <diagonal/>
    </border>
  </borders>
  <cellStyleXfs count="34">
    <xf numFmtId="165" fontId="0" fillId="0" borderId="0"/>
    <xf numFmtId="43" fontId="1" fillId="0" borderId="0" applyFont="0" applyFill="0" applyBorder="0" applyAlignment="0" applyProtection="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4" fillId="0" borderId="0" applyAlignment="0" applyProtection="0"/>
    <xf numFmtId="49" fontId="15" fillId="0" borderId="1" applyFill="0" applyProtection="0">
      <alignment horizontal="right" wrapText="1"/>
    </xf>
    <xf numFmtId="49" fontId="16" fillId="0" borderId="0" applyProtection="0">
      <alignment wrapText="1"/>
    </xf>
    <xf numFmtId="49" fontId="17" fillId="0" borderId="7" applyFill="0" applyProtection="0">
      <alignment horizontal="right" wrapText="1"/>
    </xf>
    <xf numFmtId="49" fontId="17" fillId="0" borderId="0" applyProtection="0">
      <alignment wrapText="1"/>
    </xf>
    <xf numFmtId="0" fontId="14" fillId="2" borderId="0" applyNumberFormat="0" applyBorder="0" applyAlignment="0" applyProtection="0"/>
    <xf numFmtId="0" fontId="11" fillId="3" borderId="0" applyNumberFormat="0" applyBorder="0" applyAlignment="0" applyProtection="0"/>
    <xf numFmtId="0" fontId="20" fillId="4" borderId="0" applyNumberFormat="0" applyBorder="0" applyAlignment="0" applyProtection="0"/>
    <xf numFmtId="0" fontId="18" fillId="5" borderId="2" applyNumberFormat="0" applyAlignment="0" applyProtection="0"/>
    <xf numFmtId="0" fontId="21" fillId="6" borderId="3" applyNumberFormat="0" applyAlignment="0" applyProtection="0"/>
    <xf numFmtId="0" fontId="12" fillId="6" borderId="2" applyNumberFormat="0" applyAlignment="0" applyProtection="0"/>
    <xf numFmtId="0" fontId="19"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3" fillId="0" borderId="0" applyNumberFormat="0" applyFill="0" applyBorder="0" applyAlignment="0" applyProtection="0"/>
    <xf numFmtId="0" fontId="25" fillId="0" borderId="10" applyNumberFormat="0" applyFill="0" applyAlignment="0" applyProtection="0"/>
    <xf numFmtId="165" fontId="6" fillId="0" borderId="0" applyNumberFormat="0" applyFill="0" applyBorder="0" applyAlignment="0" applyProtection="0"/>
    <xf numFmtId="165" fontId="9" fillId="10" borderId="0" applyNumberFormat="0" applyFont="0" applyBorder="0" applyAlignment="0" applyProtection="0"/>
    <xf numFmtId="0" fontId="9" fillId="0" borderId="0" applyFill="0" applyBorder="0" applyProtection="0"/>
    <xf numFmtId="165" fontId="9" fillId="11" borderId="0" applyNumberFormat="0" applyFont="0" applyBorder="0" applyAlignment="0" applyProtection="0"/>
    <xf numFmtId="166" fontId="9" fillId="0" borderId="0" applyFill="0" applyBorder="0" applyAlignment="0" applyProtection="0"/>
    <xf numFmtId="0" fontId="22" fillId="0" borderId="0" applyNumberFormat="0" applyAlignment="0" applyProtection="0"/>
    <xf numFmtId="0" fontId="6" fillId="0" borderId="0" applyFill="0" applyProtection="0">
      <alignment wrapText="1"/>
    </xf>
    <xf numFmtId="0" fontId="6" fillId="0" borderId="8" applyFill="0" applyProtection="0">
      <alignment wrapText="1"/>
    </xf>
    <xf numFmtId="165" fontId="23" fillId="0" borderId="9" applyNumberFormat="0" applyFill="0" applyAlignment="0" applyProtection="0"/>
    <xf numFmtId="0" fontId="23" fillId="0" borderId="10" applyNumberFormat="0" applyFill="0" applyAlignment="0" applyProtection="0"/>
    <xf numFmtId="0" fontId="26" fillId="14" borderId="0" applyNumberFormat="0" applyBorder="0" applyAlignment="0" applyProtection="0"/>
    <xf numFmtId="0" fontId="27" fillId="0" borderId="0"/>
    <xf numFmtId="0" fontId="27" fillId="0" borderId="0"/>
  </cellStyleXfs>
  <cellXfs count="39">
    <xf numFmtId="165" fontId="0" fillId="0" borderId="0" xfId="0"/>
    <xf numFmtId="165" fontId="8" fillId="0" borderId="0" xfId="4" applyNumberFormat="1" applyFont="1" applyFill="1" applyBorder="1"/>
    <xf numFmtId="165" fontId="2" fillId="0" borderId="0" xfId="0" applyFont="1"/>
    <xf numFmtId="165" fontId="4" fillId="0" borderId="0" xfId="0" applyFont="1"/>
    <xf numFmtId="165" fontId="5" fillId="0" borderId="0" xfId="0" applyFont="1"/>
    <xf numFmtId="165" fontId="0" fillId="0" borderId="0" xfId="0"/>
    <xf numFmtId="164" fontId="10" fillId="9" borderId="11" xfId="1" applyNumberFormat="1" applyFont="1" applyFill="1" applyBorder="1" applyAlignment="1">
      <alignment horizontal="left" vertical="top"/>
    </xf>
    <xf numFmtId="164" fontId="10" fillId="9" borderId="13" xfId="1" applyNumberFormat="1" applyFont="1" applyFill="1" applyBorder="1" applyAlignment="1">
      <alignment horizontal="left" vertical="top"/>
    </xf>
    <xf numFmtId="164" fontId="10" fillId="9" borderId="14" xfId="1" applyNumberFormat="1" applyFont="1" applyFill="1" applyBorder="1" applyAlignment="1">
      <alignment horizontal="left" vertical="top"/>
    </xf>
    <xf numFmtId="165" fontId="0" fillId="0" borderId="15" xfId="0" applyBorder="1"/>
    <xf numFmtId="165" fontId="0" fillId="0" borderId="16" xfId="0" applyBorder="1"/>
    <xf numFmtId="165" fontId="23" fillId="0" borderId="0" xfId="0" applyFont="1"/>
    <xf numFmtId="1" fontId="0" fillId="0" borderId="16" xfId="0" applyNumberFormat="1" applyBorder="1"/>
    <xf numFmtId="1" fontId="0" fillId="0" borderId="12" xfId="0" applyNumberFormat="1" applyFill="1" applyBorder="1"/>
    <xf numFmtId="165" fontId="0" fillId="0" borderId="0" xfId="0" pivotButton="1"/>
    <xf numFmtId="165" fontId="0" fillId="0" borderId="0" xfId="0" applyAlignment="1">
      <alignment horizontal="left"/>
    </xf>
    <xf numFmtId="165" fontId="0" fillId="0" borderId="0" xfId="0" applyAlignment="1">
      <alignment horizontal="left" indent="1"/>
    </xf>
    <xf numFmtId="165" fontId="0" fillId="0" borderId="0" xfId="0" applyNumberFormat="1"/>
    <xf numFmtId="165" fontId="26" fillId="14" borderId="0" xfId="31" applyNumberFormat="1"/>
    <xf numFmtId="165" fontId="0" fillId="13" borderId="0" xfId="0" applyFill="1"/>
    <xf numFmtId="165" fontId="0" fillId="12" borderId="0" xfId="0" applyFill="1"/>
    <xf numFmtId="165" fontId="29" fillId="15" borderId="17" xfId="0" applyFont="1" applyFill="1" applyBorder="1"/>
    <xf numFmtId="165" fontId="28" fillId="12" borderId="18" xfId="0" applyFont="1" applyFill="1" applyBorder="1"/>
    <xf numFmtId="9" fontId="0" fillId="12" borderId="0" xfId="2" applyFont="1" applyFill="1"/>
    <xf numFmtId="165" fontId="0" fillId="13" borderId="0" xfId="0" applyFill="1" applyAlignment="1">
      <alignment wrapText="1"/>
    </xf>
    <xf numFmtId="0" fontId="0" fillId="0" borderId="0" xfId="0" applyNumberFormat="1" applyAlignment="1">
      <alignment horizontal="left" vertical="top" wrapText="1"/>
    </xf>
    <xf numFmtId="165" fontId="0" fillId="0" borderId="20" xfId="0" applyBorder="1" applyAlignment="1">
      <alignment horizontal="centerContinuous"/>
    </xf>
    <xf numFmtId="165" fontId="0" fillId="0" borderId="21" xfId="0" applyBorder="1" applyAlignment="1">
      <alignment horizontal="centerContinuous"/>
    </xf>
    <xf numFmtId="165" fontId="23" fillId="0" borderId="19" xfId="0" applyFont="1" applyBorder="1" applyAlignment="1">
      <alignment horizontal="centerContinuous"/>
    </xf>
    <xf numFmtId="0" fontId="0" fillId="0" borderId="0" xfId="0" applyNumberFormat="1" applyAlignment="1">
      <alignment wrapText="1"/>
    </xf>
    <xf numFmtId="165" fontId="30" fillId="16" borderId="0" xfId="0" applyNumberFormat="1" applyFont="1" applyFill="1"/>
    <xf numFmtId="165" fontId="30" fillId="16" borderId="0" xfId="0" applyFont="1" applyFill="1" applyAlignment="1">
      <alignment horizontal="left"/>
    </xf>
    <xf numFmtId="165" fontId="30" fillId="16" borderId="0" xfId="0" applyFont="1" applyFill="1"/>
    <xf numFmtId="43" fontId="0" fillId="0" borderId="0" xfId="0" applyNumberFormat="1"/>
    <xf numFmtId="164" fontId="10" fillId="9" borderId="22" xfId="1" applyNumberFormat="1" applyFont="1" applyFill="1" applyBorder="1" applyAlignment="1">
      <alignment horizontal="left" vertical="top"/>
    </xf>
    <xf numFmtId="165" fontId="0" fillId="17" borderId="0" xfId="0" applyFill="1"/>
    <xf numFmtId="165" fontId="0" fillId="17" borderId="0" xfId="0" applyFill="1" applyAlignment="1">
      <alignment horizontal="right"/>
    </xf>
    <xf numFmtId="0" fontId="0" fillId="0" borderId="0" xfId="0" applyNumberFormat="1" applyAlignment="1">
      <alignment horizontal="left" vertical="top" wrapText="1"/>
    </xf>
    <xf numFmtId="0" fontId="0" fillId="0" borderId="0" xfId="0" applyNumberFormat="1" applyAlignment="1">
      <alignment horizontal="left" vertical="top" wrapText="1"/>
    </xf>
  </cellXfs>
  <cellStyles count="34">
    <cellStyle name="Accent1" xfId="31" builtinId="29"/>
    <cellStyle name="Bad" xfId="11" builtinId="27" customBuiltin="1"/>
    <cellStyle name="Calculation" xfId="15" builtinId="22" customBuiltin="1"/>
    <cellStyle name="Check Cell" xfId="17" builtinId="23" customBuiltin="1"/>
    <cellStyle name="Comma" xfId="1" builtinId="3"/>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ustomBuiltin="1"/>
    <cellStyle name="Normal 10" xfId="33"/>
    <cellStyle name="Normal 2" xfId="32"/>
    <cellStyle name="Note" xfId="18" builtinId="10" customBuiltin="1"/>
    <cellStyle name="Output" xfId="14" builtinId="21" customBuiltin="1"/>
    <cellStyle name="Percent" xfId="2" builtinId="5" customBuiltin="1"/>
    <cellStyle name="Smart Bold" xfId="21"/>
    <cellStyle name="Smart Forecast" xfId="22"/>
    <cellStyle name="Smart General" xfId="23"/>
    <cellStyle name="Smart Highlight" xfId="24"/>
    <cellStyle name="Smart Percent" xfId="25"/>
    <cellStyle name="Smart Source" xfId="26"/>
    <cellStyle name="Smart Subtitle 1" xfId="3"/>
    <cellStyle name="Smart Subtitle 2" xfId="27"/>
    <cellStyle name="Smart Subtitle 3" xfId="28"/>
    <cellStyle name="Smart Subtotal" xfId="29"/>
    <cellStyle name="Smart Title" xfId="4"/>
    <cellStyle name="Smart Total" xfId="30"/>
    <cellStyle name="Title" xfId="5" builtinId="15" customBuiltin="1"/>
    <cellStyle name="Total" xfId="20" builtinId="25" customBuiltin="1"/>
  </cellStyles>
  <dxfs count="8">
    <dxf>
      <font>
        <color theme="0"/>
      </font>
    </dxf>
    <dxf>
      <fill>
        <patternFill>
          <bgColor theme="6" tint="-0.499984740745262"/>
        </patternFill>
      </fill>
    </dxf>
    <dxf>
      <font>
        <color theme="0"/>
      </font>
    </dxf>
    <dxf>
      <fill>
        <patternFill patternType="solid">
          <bgColor theme="6" tint="-0.499984740745262"/>
        </patternFill>
      </fill>
    </dxf>
    <dxf>
      <font>
        <color theme="0"/>
      </font>
    </dxf>
    <dxf>
      <fill>
        <patternFill patternType="solid">
          <bgColor theme="6" tint="-0.499984740745262"/>
        </patternFill>
      </fill>
    </dxf>
    <dxf>
      <font>
        <color theme="0"/>
      </font>
    </dxf>
    <dxf>
      <fill>
        <patternFill patternType="solid">
          <bgColor theme="6"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1174750</xdr:colOff>
          <xdr:row>276</xdr:row>
          <xdr:rowOff>50800</xdr:rowOff>
        </xdr:from>
        <xdr:to>
          <xdr:col>6</xdr:col>
          <xdr:colOff>209550</xdr:colOff>
          <xdr:row>279</xdr:row>
          <xdr:rowOff>127000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1352550</xdr:colOff>
          <xdr:row>209</xdr:row>
          <xdr:rowOff>107950</xdr:rowOff>
        </xdr:from>
        <xdr:to>
          <xdr:col>5</xdr:col>
          <xdr:colOff>323850</xdr:colOff>
          <xdr:row>213</xdr:row>
          <xdr:rowOff>57150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1174750</xdr:colOff>
          <xdr:row>183</xdr:row>
          <xdr:rowOff>50800</xdr:rowOff>
        </xdr:from>
        <xdr:to>
          <xdr:col>6</xdr:col>
          <xdr:colOff>1441450</xdr:colOff>
          <xdr:row>183</xdr:row>
          <xdr:rowOff>609600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1352550</xdr:colOff>
          <xdr:row>170</xdr:row>
          <xdr:rowOff>57150</xdr:rowOff>
        </xdr:from>
        <xdr:to>
          <xdr:col>5</xdr:col>
          <xdr:colOff>323850</xdr:colOff>
          <xdr:row>174</xdr:row>
          <xdr:rowOff>12700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107950</xdr:colOff>
          <xdr:row>10</xdr:row>
          <xdr:rowOff>76200</xdr:rowOff>
        </xdr:from>
        <xdr:to>
          <xdr:col>9</xdr:col>
          <xdr:colOff>374650</xdr:colOff>
          <xdr:row>12</xdr:row>
          <xdr:rowOff>146050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502920</xdr:colOff>
      <xdr:row>223</xdr:row>
      <xdr:rowOff>106680</xdr:rowOff>
    </xdr:from>
    <xdr:to>
      <xdr:col>1</xdr:col>
      <xdr:colOff>1918335</xdr:colOff>
      <xdr:row>238</xdr:row>
      <xdr:rowOff>62230</xdr:rowOff>
    </xdr:to>
    <mc:AlternateContent xmlns:mc="http://schemas.openxmlformats.org/markup-compatibility/2006" xmlns:a14="http://schemas.microsoft.com/office/drawing/2010/main">
      <mc:Choice Requires="a14">
        <xdr:graphicFrame macro="">
          <xdr:nvGraphicFramePr>
            <xdr:cNvPr id="2" name="LocationName"/>
            <xdr:cNvGraphicFramePr/>
          </xdr:nvGraphicFramePr>
          <xdr:xfrm>
            <a:off x="0" y="0"/>
            <a:ext cx="0" cy="0"/>
          </xdr:xfrm>
          <a:graphic>
            <a:graphicData uri="http://schemas.microsoft.com/office/drawing/2010/slicer">
              <sle:slicer xmlns:sle="http://schemas.microsoft.com/office/drawing/2010/slicer" name="LocationName"/>
            </a:graphicData>
          </a:graphic>
        </xdr:graphicFrame>
      </mc:Choice>
      <mc:Fallback xmlns="">
        <xdr:sp macro="" textlink="">
          <xdr:nvSpPr>
            <xdr:cNvPr id="0" name=""/>
            <xdr:cNvSpPr>
              <a:spLocks noTextEdit="1"/>
            </xdr:cNvSpPr>
          </xdr:nvSpPr>
          <xdr:spPr>
            <a:xfrm>
              <a:off x="502920" y="293370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518160</xdr:colOff>
      <xdr:row>238</xdr:row>
      <xdr:rowOff>83820</xdr:rowOff>
    </xdr:from>
    <xdr:to>
      <xdr:col>1</xdr:col>
      <xdr:colOff>1933575</xdr:colOff>
      <xdr:row>253</xdr:row>
      <xdr:rowOff>39370</xdr:rowOff>
    </xdr:to>
    <mc:AlternateContent xmlns:mc="http://schemas.openxmlformats.org/markup-compatibility/2006" xmlns:a14="http://schemas.microsoft.com/office/drawing/2010/main">
      <mc:Choice Requires="a14">
        <xdr:graphicFrame macro="">
          <xdr:nvGraphicFramePr>
            <xdr:cNvPr id="3" name="ShiftCd"/>
            <xdr:cNvGraphicFramePr/>
          </xdr:nvGraphicFramePr>
          <xdr:xfrm>
            <a:off x="0" y="0"/>
            <a:ext cx="0" cy="0"/>
          </xdr:xfrm>
          <a:graphic>
            <a:graphicData uri="http://schemas.microsoft.com/office/drawing/2010/slicer">
              <sle:slicer xmlns:sle="http://schemas.microsoft.com/office/drawing/2010/slicer" name="ShiftCd"/>
            </a:graphicData>
          </a:graphic>
        </xdr:graphicFrame>
      </mc:Choice>
      <mc:Fallback xmlns="">
        <xdr:sp macro="" textlink="">
          <xdr:nvSpPr>
            <xdr:cNvPr id="0" name=""/>
            <xdr:cNvSpPr>
              <a:spLocks noTextEdit="1"/>
            </xdr:cNvSpPr>
          </xdr:nvSpPr>
          <xdr:spPr>
            <a:xfrm>
              <a:off x="518160" y="508254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1047750</xdr:colOff>
          <xdr:row>275</xdr:row>
          <xdr:rowOff>146050</xdr:rowOff>
        </xdr:from>
        <xdr:to>
          <xdr:col>6</xdr:col>
          <xdr:colOff>1270000</xdr:colOff>
          <xdr:row>279</xdr:row>
          <xdr:rowOff>38100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88900</xdr:colOff>
          <xdr:row>9</xdr:row>
          <xdr:rowOff>203200</xdr:rowOff>
        </xdr:from>
        <xdr:to>
          <xdr:col>9</xdr:col>
          <xdr:colOff>609600</xdr:colOff>
          <xdr:row>11</xdr:row>
          <xdr:rowOff>114300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679450</xdr:colOff>
          <xdr:row>169</xdr:row>
          <xdr:rowOff>76200</xdr:rowOff>
        </xdr:from>
        <xdr:to>
          <xdr:col>6</xdr:col>
          <xdr:colOff>12700</xdr:colOff>
          <xdr:row>172</xdr:row>
          <xdr:rowOff>127000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260350</xdr:colOff>
          <xdr:row>183</xdr:row>
          <xdr:rowOff>12700</xdr:rowOff>
        </xdr:from>
        <xdr:to>
          <xdr:col>7</xdr:col>
          <xdr:colOff>450850</xdr:colOff>
          <xdr:row>183</xdr:row>
          <xdr:rowOff>546100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1174750</xdr:colOff>
          <xdr:row>210</xdr:row>
          <xdr:rowOff>114300</xdr:rowOff>
        </xdr:from>
        <xdr:to>
          <xdr:col>6</xdr:col>
          <xdr:colOff>1390650</xdr:colOff>
          <xdr:row>214</xdr:row>
          <xdr:rowOff>38100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Jacobs" refreshedDate="42654.866060069442" createdVersion="5" refreshedVersion="5" minRefreshableVersion="3" recordCount="188">
  <cacheSource type="worksheet">
    <worksheetSource ref="B8:J196" sheet="Data_Set"/>
  </cacheSource>
  <cacheFields count="9">
    <cacheField name="LocationName" numFmtId="1">
      <sharedItems count="14">
        <s v="Scranton"/>
        <s v="Stamford"/>
        <s v="Utica"/>
        <s v="Buffalo"/>
        <s v="Rochester"/>
        <s v="Albany"/>
        <s v="Akron"/>
        <s v="Cambden"/>
        <s v="Nashua"/>
        <s v="Yonkers"/>
        <s v="Pittsfield"/>
        <s v="Syracuse"/>
        <s v="Binghampton"/>
        <s v="New York"/>
      </sharedItems>
    </cacheField>
    <cacheField name="OrgUnitName" numFmtId="165">
      <sharedItems/>
    </cacheField>
    <cacheField name="ResourceLevelCd" numFmtId="165">
      <sharedItems/>
    </cacheField>
    <cacheField name="Role" numFmtId="165">
      <sharedItems count="13">
        <s v="Finance"/>
        <s v="Sales"/>
        <s v="C-Suite Resource"/>
        <s v="Customer Service"/>
        <s v="Human Resources"/>
        <s v="Information Technology"/>
        <s v="Marketing"/>
        <s v="Quality"/>
        <s v="Receptionist"/>
        <s v="Regional Manager"/>
        <s v="Supplier Relations"/>
        <s v="Regional VP"/>
        <s v="Warehouse"/>
      </sharedItems>
    </cacheField>
    <cacheField name="IsFullTimeResource" numFmtId="165">
      <sharedItems/>
    </cacheField>
    <cacheField name="AvgHourlyCost" numFmtId="165">
      <sharedItems containsSemiMixedTypes="0" containsString="0" containsNumber="1" minValue="10.939323734580112" maxValue="240.38461538461539"/>
    </cacheField>
    <cacheField name="Bonus Target" numFmtId="165">
      <sharedItems containsSemiMixedTypes="0" containsString="0" containsNumber="1" containsInteger="1" minValue="0" maxValue="150000"/>
    </cacheField>
    <cacheField name="ShiftCd" numFmtId="165">
      <sharedItems count="3">
        <s v="S1"/>
        <s v="S2"/>
        <s v="S3"/>
      </sharedItems>
    </cacheField>
    <cacheField name="HeadCount" numFmtId="1">
      <sharedItems containsSemiMixedTypes="0" containsString="0" containsNumber="1" containsInteger="1" minValue="1" maxValue="1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Jacobs" refreshedDate="42656.571514120369" createdVersion="5" refreshedVersion="5" minRefreshableVersion="3" recordCount="189">
  <cacheSource type="worksheet">
    <worksheetSource ref="B8:K197" sheet="Data_Set"/>
  </cacheSource>
  <cacheFields count="11">
    <cacheField name="LocationName" numFmtId="0">
      <sharedItems containsBlank="1" count="15">
        <s v="Syracuse"/>
        <s v="Pittsfield"/>
        <s v="Buffalo"/>
        <s v="Binghampton"/>
        <s v="Utica"/>
        <s v="Albany"/>
        <s v="Rochester"/>
        <s v="Cambden"/>
        <s v="Yonkers"/>
        <s v="Stamford"/>
        <s v="Scranton"/>
        <s v="Nashua"/>
        <s v="Akron"/>
        <s v="New York"/>
        <m/>
      </sharedItems>
    </cacheField>
    <cacheField name="OrgUnitName" numFmtId="165">
      <sharedItems containsBlank="1"/>
    </cacheField>
    <cacheField name="ResourceLevelCd" numFmtId="165">
      <sharedItems containsBlank="1" count="26">
        <s v="ACCT"/>
        <s v="SACCT"/>
        <s v="MACCT"/>
        <s v="ATTRM"/>
        <s v="CEO"/>
        <s v="CXO"/>
        <s v="CSM"/>
        <s v="CSR"/>
        <s v="HRM"/>
        <s v="HRR"/>
        <s v="ITM"/>
        <s v="ITR"/>
        <s v="MM"/>
        <s v="QAM"/>
        <s v="QAR"/>
        <s v="REC"/>
        <s v="RM"/>
        <s v="SALEM"/>
        <s v="SALER"/>
        <s v="SRM"/>
        <s v="SRR"/>
        <s v="VP"/>
        <s v="WDW"/>
        <s v="WF"/>
        <s v="WS"/>
        <m/>
      </sharedItems>
    </cacheField>
    <cacheField name="Role" numFmtId="165">
      <sharedItems containsBlank="1" count="14">
        <s v="Finance"/>
        <s v="Sales"/>
        <s v="C-Suite Resource"/>
        <s v="Customer Service"/>
        <s v="Human Resources"/>
        <s v="Information Technology"/>
        <s v="Marketing"/>
        <s v="Quality"/>
        <s v="Receptionist"/>
        <s v="Regional Manager"/>
        <s v="Supplier Relations"/>
        <s v="Regional VP"/>
        <s v="Warehouse"/>
        <m/>
      </sharedItems>
    </cacheField>
    <cacheField name="IsFullTimeResource" numFmtId="165">
      <sharedItems containsBlank="1"/>
    </cacheField>
    <cacheField name="AvgHourlyCost" numFmtId="165">
      <sharedItems containsString="0" containsBlank="1" containsNumber="1" minValue="10.939323734580112" maxValue="240.38461538461539"/>
    </cacheField>
    <cacheField name="Bonus Target" numFmtId="165">
      <sharedItems containsString="0" containsBlank="1" containsNumber="1" containsInteger="1" minValue="0" maxValue="150000"/>
    </cacheField>
    <cacheField name="ShiftCd" numFmtId="165">
      <sharedItems containsBlank="1" count="4">
        <s v="S1"/>
        <s v="S2"/>
        <s v="S3"/>
        <m/>
      </sharedItems>
    </cacheField>
    <cacheField name="HeadCount" numFmtId="0">
      <sharedItems containsString="0" containsBlank="1" containsNumber="1" containsInteger="1" minValue="1" maxValue="10"/>
    </cacheField>
    <cacheField name="Cost Per Year" numFmtId="0">
      <sharedItems containsString="0" containsBlank="1" containsNumber="1" minValue="30028.170571004259" maxValue="1422009.4386881171"/>
    </cacheField>
    <cacheField name="Cost + Fringe" numFmtId="0" formula="'Cost Per Year'*1.03"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88">
  <r>
    <x v="0"/>
    <s v="Scranton Accounting"/>
    <s v="ACCT"/>
    <x v="0"/>
    <b v="1"/>
    <n v="27.072020579534744"/>
    <n v="20000"/>
    <x v="0"/>
    <n v="3"/>
  </r>
  <r>
    <x v="1"/>
    <s v="Stamford Accounting"/>
    <s v="ACCT"/>
    <x v="0"/>
    <b v="1"/>
    <n v="26.335128024330174"/>
    <n v="20000"/>
    <x v="0"/>
    <n v="4"/>
  </r>
  <r>
    <x v="2"/>
    <s v="Utica Accounting"/>
    <s v="ACCT"/>
    <x v="0"/>
    <b v="1"/>
    <n v="22.603800873810297"/>
    <n v="20000"/>
    <x v="0"/>
    <n v="1"/>
  </r>
  <r>
    <x v="3"/>
    <s v="Buffalo Accounting"/>
    <s v="ACCT"/>
    <x v="0"/>
    <b v="1"/>
    <n v="22.07005509274083"/>
    <n v="20000"/>
    <x v="0"/>
    <n v="6"/>
  </r>
  <r>
    <x v="4"/>
    <s v="Rochester Accounting"/>
    <s v="ACCT"/>
    <x v="0"/>
    <b v="1"/>
    <n v="23.25157659577544"/>
    <n v="20000"/>
    <x v="0"/>
    <n v="4"/>
  </r>
  <r>
    <x v="5"/>
    <s v="Albany Accounting"/>
    <s v="ACCT"/>
    <x v="0"/>
    <b v="1"/>
    <n v="23.102968920807704"/>
    <n v="20000"/>
    <x v="0"/>
    <n v="3"/>
  </r>
  <r>
    <x v="6"/>
    <s v="Akron Accounting"/>
    <s v="ACCT"/>
    <x v="0"/>
    <b v="1"/>
    <n v="27.622262356804686"/>
    <n v="20000"/>
    <x v="0"/>
    <n v="3"/>
  </r>
  <r>
    <x v="7"/>
    <s v="Cambden Accounting"/>
    <s v="ACCT"/>
    <x v="0"/>
    <b v="1"/>
    <n v="24.33392743963315"/>
    <n v="20000"/>
    <x v="0"/>
    <n v="1"/>
  </r>
  <r>
    <x v="8"/>
    <s v="Nashua Accounting"/>
    <s v="ACCT"/>
    <x v="0"/>
    <b v="1"/>
    <n v="27.51384844847399"/>
    <n v="20000"/>
    <x v="0"/>
    <n v="2"/>
  </r>
  <r>
    <x v="9"/>
    <s v="Yonkers Accounting"/>
    <s v="ACCT"/>
    <x v="0"/>
    <b v="1"/>
    <n v="24.724326885313769"/>
    <n v="20000"/>
    <x v="0"/>
    <n v="2"/>
  </r>
  <r>
    <x v="10"/>
    <s v="Pittsfield Accounting"/>
    <s v="ACCT"/>
    <x v="0"/>
    <b v="1"/>
    <n v="20.559411769543921"/>
    <n v="20000"/>
    <x v="0"/>
    <n v="1"/>
  </r>
  <r>
    <x v="11"/>
    <s v="Syracuse Accounting"/>
    <s v="ACCT"/>
    <x v="0"/>
    <b v="1"/>
    <n v="20.43627174219041"/>
    <n v="20000"/>
    <x v="0"/>
    <n v="1"/>
  </r>
  <r>
    <x v="12"/>
    <s v="Binghampton Accounting"/>
    <s v="ACCT"/>
    <x v="0"/>
    <b v="1"/>
    <n v="22.255475637008676"/>
    <n v="20000"/>
    <x v="0"/>
    <n v="1"/>
  </r>
  <r>
    <x v="0"/>
    <s v="Scranton Accounting"/>
    <s v="SACCT"/>
    <x v="0"/>
    <b v="1"/>
    <n v="32.233171086786463"/>
    <n v="30000"/>
    <x v="0"/>
    <n v="1"/>
  </r>
  <r>
    <x v="1"/>
    <s v="Stamford Accounting"/>
    <s v="SACCT"/>
    <x v="0"/>
    <b v="1"/>
    <n v="41.873873227288307"/>
    <n v="30000"/>
    <x v="0"/>
    <n v="1"/>
  </r>
  <r>
    <x v="3"/>
    <s v="Buffalo Accounting"/>
    <s v="SACCT"/>
    <x v="0"/>
    <b v="1"/>
    <n v="38.117214743184533"/>
    <n v="30000"/>
    <x v="0"/>
    <n v="2"/>
  </r>
  <r>
    <x v="4"/>
    <s v="Rochester Accounting"/>
    <s v="SACCT"/>
    <x v="0"/>
    <b v="1"/>
    <n v="42.268214007250776"/>
    <n v="30000"/>
    <x v="0"/>
    <n v="1"/>
  </r>
  <r>
    <x v="5"/>
    <s v="Albany Accounting"/>
    <s v="SACCT"/>
    <x v="0"/>
    <b v="1"/>
    <n v="41.840421286714047"/>
    <n v="30000"/>
    <x v="0"/>
    <n v="1"/>
  </r>
  <r>
    <x v="6"/>
    <s v="Akron Accounting"/>
    <s v="SACCT"/>
    <x v="0"/>
    <b v="1"/>
    <n v="40.668067546730413"/>
    <n v="30000"/>
    <x v="0"/>
    <n v="1"/>
  </r>
  <r>
    <x v="8"/>
    <s v="Nashua Accounting"/>
    <s v="SACCT"/>
    <x v="0"/>
    <b v="1"/>
    <n v="33.777375254392645"/>
    <n v="30000"/>
    <x v="0"/>
    <n v="1"/>
  </r>
  <r>
    <x v="10"/>
    <s v="Pittsfield Accounting"/>
    <s v="SACCT"/>
    <x v="0"/>
    <b v="1"/>
    <n v="29.251407516604729"/>
    <n v="30000"/>
    <x v="0"/>
    <n v="1"/>
  </r>
  <r>
    <x v="12"/>
    <s v="Binghampton Accounting"/>
    <s v="SACCT"/>
    <x v="0"/>
    <b v="1"/>
    <n v="35.245498391898863"/>
    <n v="30000"/>
    <x v="0"/>
    <n v="1"/>
  </r>
  <r>
    <x v="13"/>
    <s v="Corporate Finance"/>
    <s v="MACCT"/>
    <x v="0"/>
    <b v="1"/>
    <n v="49.571795375649401"/>
    <n v="40000"/>
    <x v="0"/>
    <n v="4"/>
  </r>
  <r>
    <x v="0"/>
    <s v="Scranton Sales"/>
    <s v="ATTRM"/>
    <x v="1"/>
    <b v="1"/>
    <n v="38.46153846153846"/>
    <n v="0"/>
    <x v="0"/>
    <n v="1"/>
  </r>
  <r>
    <x v="13"/>
    <s v="Corporate Leadership"/>
    <s v="CEO"/>
    <x v="2"/>
    <b v="1"/>
    <n v="240.38461538461539"/>
    <n v="0"/>
    <x v="0"/>
    <n v="1"/>
  </r>
  <r>
    <x v="13"/>
    <s v="Corporate Leadership"/>
    <s v="CXO"/>
    <x v="2"/>
    <b v="1"/>
    <n v="170.91459599616792"/>
    <n v="150000"/>
    <x v="0"/>
    <n v="4"/>
  </r>
  <r>
    <x v="13"/>
    <s v="Corporate Customer Service"/>
    <s v="CSM"/>
    <x v="3"/>
    <b v="1"/>
    <n v="35.915182677716075"/>
    <n v="30000"/>
    <x v="0"/>
    <n v="2"/>
  </r>
  <r>
    <x v="0"/>
    <s v="Scranton Branch"/>
    <s v="CSR"/>
    <x v="3"/>
    <b v="1"/>
    <n v="27.138483488274478"/>
    <n v="20000"/>
    <x v="0"/>
    <n v="1"/>
  </r>
  <r>
    <x v="1"/>
    <s v="Stamford Branch"/>
    <s v="CSR"/>
    <x v="3"/>
    <b v="1"/>
    <n v="22.679010705476593"/>
    <n v="20000"/>
    <x v="0"/>
    <n v="2"/>
  </r>
  <r>
    <x v="2"/>
    <s v="Utica Branch"/>
    <s v="CSR"/>
    <x v="3"/>
    <b v="1"/>
    <n v="20.17714793091309"/>
    <n v="20000"/>
    <x v="0"/>
    <n v="1"/>
  </r>
  <r>
    <x v="3"/>
    <s v="Buffalo Branch"/>
    <s v="CSR"/>
    <x v="3"/>
    <b v="1"/>
    <n v="23.572805736248966"/>
    <n v="20000"/>
    <x v="0"/>
    <n v="2"/>
  </r>
  <r>
    <x v="4"/>
    <s v="Rochester Branch"/>
    <s v="CSR"/>
    <x v="3"/>
    <b v="1"/>
    <n v="23.477731242839273"/>
    <n v="20000"/>
    <x v="0"/>
    <n v="2"/>
  </r>
  <r>
    <x v="5"/>
    <s v="Albany Branch"/>
    <s v="CSR"/>
    <x v="3"/>
    <b v="1"/>
    <n v="22.242989113918213"/>
    <n v="20000"/>
    <x v="0"/>
    <n v="2"/>
  </r>
  <r>
    <x v="6"/>
    <s v="Akron Branch"/>
    <s v="CSR"/>
    <x v="3"/>
    <b v="1"/>
    <n v="28.407281430885973"/>
    <n v="20000"/>
    <x v="0"/>
    <n v="2"/>
  </r>
  <r>
    <x v="7"/>
    <s v="Cambden Branch"/>
    <s v="CSR"/>
    <x v="3"/>
    <b v="1"/>
    <n v="22.985235093548102"/>
    <n v="20000"/>
    <x v="0"/>
    <n v="1"/>
  </r>
  <r>
    <x v="8"/>
    <s v="Nashua Branch"/>
    <s v="CSR"/>
    <x v="3"/>
    <b v="1"/>
    <n v="21.067251565062033"/>
    <n v="20000"/>
    <x v="0"/>
    <n v="1"/>
  </r>
  <r>
    <x v="9"/>
    <s v="Yonkers Branch"/>
    <s v="CSR"/>
    <x v="3"/>
    <b v="1"/>
    <n v="28.16141840849409"/>
    <n v="20000"/>
    <x v="0"/>
    <n v="1"/>
  </r>
  <r>
    <x v="10"/>
    <s v="Pittsfield Branch"/>
    <s v="CSR"/>
    <x v="3"/>
    <b v="1"/>
    <n v="23.166032608391621"/>
    <n v="20000"/>
    <x v="0"/>
    <n v="2"/>
  </r>
  <r>
    <x v="12"/>
    <s v="Binghampton Branch"/>
    <s v="CSR"/>
    <x v="3"/>
    <b v="1"/>
    <n v="25.881437597763515"/>
    <n v="20000"/>
    <x v="0"/>
    <n v="2"/>
  </r>
  <r>
    <x v="13"/>
    <s v="Corporate HR"/>
    <s v="HRM"/>
    <x v="4"/>
    <b v="1"/>
    <n v="30.395391965038883"/>
    <n v="30000"/>
    <x v="0"/>
    <n v="2"/>
  </r>
  <r>
    <x v="0"/>
    <s v="Scranton Branch"/>
    <s v="HRR"/>
    <x v="4"/>
    <b v="1"/>
    <n v="20.568932315425748"/>
    <n v="20000"/>
    <x v="0"/>
    <n v="1"/>
  </r>
  <r>
    <x v="1"/>
    <s v="Stamford Branch"/>
    <s v="HRR"/>
    <x v="4"/>
    <b v="1"/>
    <n v="27.072093875675723"/>
    <n v="20000"/>
    <x v="0"/>
    <n v="1"/>
  </r>
  <r>
    <x v="3"/>
    <s v="Buffalo Branch"/>
    <s v="HRR"/>
    <x v="4"/>
    <b v="1"/>
    <n v="21.202636528252388"/>
    <n v="20000"/>
    <x v="0"/>
    <n v="1"/>
  </r>
  <r>
    <x v="4"/>
    <s v="Rochester Branch"/>
    <s v="HRR"/>
    <x v="4"/>
    <b v="1"/>
    <n v="24.621344838598752"/>
    <n v="20000"/>
    <x v="0"/>
    <n v="1"/>
  </r>
  <r>
    <x v="5"/>
    <s v="Albany Branch"/>
    <s v="HRR"/>
    <x v="4"/>
    <b v="1"/>
    <n v="24.657072970282695"/>
    <n v="20000"/>
    <x v="0"/>
    <n v="1"/>
  </r>
  <r>
    <x v="6"/>
    <s v="Akron Branch"/>
    <s v="HRR"/>
    <x v="4"/>
    <b v="1"/>
    <n v="20.316658536980697"/>
    <n v="20000"/>
    <x v="0"/>
    <n v="1"/>
  </r>
  <r>
    <x v="8"/>
    <s v="Nashua Branch"/>
    <s v="HRR"/>
    <x v="4"/>
    <b v="1"/>
    <n v="24.397094396503626"/>
    <n v="20000"/>
    <x v="0"/>
    <n v="1"/>
  </r>
  <r>
    <x v="10"/>
    <s v="Pittsfield Branch"/>
    <s v="HRR"/>
    <x v="4"/>
    <b v="1"/>
    <n v="24.14707194461969"/>
    <n v="20000"/>
    <x v="0"/>
    <n v="1"/>
  </r>
  <r>
    <x v="12"/>
    <s v="Binghampton Branch"/>
    <s v="HRR"/>
    <x v="4"/>
    <b v="1"/>
    <n v="23.596023038641867"/>
    <n v="20000"/>
    <x v="0"/>
    <n v="1"/>
  </r>
  <r>
    <x v="13"/>
    <s v="Corporate IT"/>
    <s v="ITM"/>
    <x v="5"/>
    <b v="1"/>
    <n v="51.961855813797456"/>
    <n v="40000"/>
    <x v="0"/>
    <n v="3"/>
  </r>
  <r>
    <x v="13"/>
    <s v="Infinity"/>
    <s v="ITM"/>
    <x v="5"/>
    <b v="1"/>
    <n v="42.658164640145635"/>
    <n v="40000"/>
    <x v="0"/>
    <n v="2"/>
  </r>
  <r>
    <x v="0"/>
    <s v="Scranton Branch"/>
    <s v="ITR"/>
    <x v="5"/>
    <b v="1"/>
    <n v="37.607403806679848"/>
    <n v="30000"/>
    <x v="0"/>
    <n v="1"/>
  </r>
  <r>
    <x v="1"/>
    <s v="Stamford Branch"/>
    <s v="ITR"/>
    <x v="5"/>
    <b v="1"/>
    <n v="34.424482924292647"/>
    <n v="30000"/>
    <x v="0"/>
    <n v="1"/>
  </r>
  <r>
    <x v="2"/>
    <s v="Utica Branch"/>
    <s v="ITR"/>
    <x v="5"/>
    <b v="1"/>
    <n v="33.565432547164882"/>
    <n v="30000"/>
    <x v="0"/>
    <n v="1"/>
  </r>
  <r>
    <x v="3"/>
    <s v="Buffalo Branch"/>
    <s v="ITR"/>
    <x v="5"/>
    <b v="1"/>
    <n v="38.660932508598684"/>
    <n v="30000"/>
    <x v="0"/>
    <n v="1"/>
  </r>
  <r>
    <x v="4"/>
    <s v="Rochester Branch"/>
    <s v="ITR"/>
    <x v="5"/>
    <b v="1"/>
    <n v="40.834552469231575"/>
    <n v="30000"/>
    <x v="0"/>
    <n v="1"/>
  </r>
  <r>
    <x v="5"/>
    <s v="Albany Branch"/>
    <s v="ITR"/>
    <x v="5"/>
    <b v="1"/>
    <n v="42.410903382315965"/>
    <n v="30000"/>
    <x v="0"/>
    <n v="1"/>
  </r>
  <r>
    <x v="6"/>
    <s v="Akron Branch"/>
    <s v="ITR"/>
    <x v="5"/>
    <b v="1"/>
    <n v="29.437243435476802"/>
    <n v="30000"/>
    <x v="0"/>
    <n v="1"/>
  </r>
  <r>
    <x v="7"/>
    <s v="Cambden Branch"/>
    <s v="ITR"/>
    <x v="5"/>
    <b v="1"/>
    <n v="34.211955184890101"/>
    <n v="30000"/>
    <x v="0"/>
    <n v="1"/>
  </r>
  <r>
    <x v="8"/>
    <s v="Nashua Branch"/>
    <s v="ITR"/>
    <x v="5"/>
    <b v="1"/>
    <n v="39.926060045112536"/>
    <n v="30000"/>
    <x v="0"/>
    <n v="1"/>
  </r>
  <r>
    <x v="9"/>
    <s v="Yonkers Branch"/>
    <s v="ITR"/>
    <x v="5"/>
    <b v="1"/>
    <n v="41.500510828535134"/>
    <n v="30000"/>
    <x v="0"/>
    <n v="1"/>
  </r>
  <r>
    <x v="10"/>
    <s v="Pittsfield Branch"/>
    <s v="ITR"/>
    <x v="5"/>
    <b v="1"/>
    <n v="41.93719302631466"/>
    <n v="30000"/>
    <x v="0"/>
    <n v="1"/>
  </r>
  <r>
    <x v="12"/>
    <s v="Binghampton Branch"/>
    <s v="ITR"/>
    <x v="5"/>
    <b v="1"/>
    <n v="42.457218928448583"/>
    <n v="30000"/>
    <x v="0"/>
    <n v="1"/>
  </r>
  <r>
    <x v="1"/>
    <s v="Eastern Region"/>
    <s v="MM"/>
    <x v="6"/>
    <b v="1"/>
    <n v="53.897169875064677"/>
    <n v="40000"/>
    <x v="0"/>
    <n v="1"/>
  </r>
  <r>
    <x v="3"/>
    <s v="Western Region"/>
    <s v="MM"/>
    <x v="6"/>
    <b v="1"/>
    <n v="56.028604137351067"/>
    <n v="40000"/>
    <x v="0"/>
    <n v="1"/>
  </r>
  <r>
    <x v="5"/>
    <s v="Northern Region"/>
    <s v="MM"/>
    <x v="6"/>
    <b v="1"/>
    <n v="47.009004054369157"/>
    <n v="40000"/>
    <x v="0"/>
    <n v="1"/>
  </r>
  <r>
    <x v="12"/>
    <s v="Southern Region"/>
    <s v="MM"/>
    <x v="6"/>
    <b v="1"/>
    <n v="54.056292740714561"/>
    <n v="40000"/>
    <x v="0"/>
    <n v="1"/>
  </r>
  <r>
    <x v="13"/>
    <s v="Infinity"/>
    <s v="MM"/>
    <x v="6"/>
    <b v="1"/>
    <n v="42.910687114350402"/>
    <n v="40000"/>
    <x v="0"/>
    <n v="3"/>
  </r>
  <r>
    <x v="13"/>
    <s v="Corporate Supply Chain"/>
    <s v="QAM"/>
    <x v="7"/>
    <b v="1"/>
    <n v="36.227751342518914"/>
    <n v="30000"/>
    <x v="0"/>
    <n v="2"/>
  </r>
  <r>
    <x v="0"/>
    <s v="Scranton Branch"/>
    <s v="QAR"/>
    <x v="7"/>
    <b v="1"/>
    <n v="24.674231261859571"/>
    <n v="20000"/>
    <x v="0"/>
    <n v="1"/>
  </r>
  <r>
    <x v="1"/>
    <s v="Stamford Branch"/>
    <s v="QAR"/>
    <x v="7"/>
    <b v="1"/>
    <n v="19.82403011752309"/>
    <n v="20000"/>
    <x v="0"/>
    <n v="1"/>
  </r>
  <r>
    <x v="3"/>
    <s v="Buffalo Branch"/>
    <s v="QAR"/>
    <x v="7"/>
    <b v="1"/>
    <n v="22.747382330191908"/>
    <n v="20000"/>
    <x v="0"/>
    <n v="1"/>
  </r>
  <r>
    <x v="4"/>
    <s v="Rochester Branch"/>
    <s v="QAR"/>
    <x v="7"/>
    <b v="1"/>
    <n v="28.526953665789048"/>
    <n v="20000"/>
    <x v="0"/>
    <n v="1"/>
  </r>
  <r>
    <x v="5"/>
    <s v="Albany Branch"/>
    <s v="QAR"/>
    <x v="7"/>
    <b v="1"/>
    <n v="28.124500938249618"/>
    <n v="20000"/>
    <x v="0"/>
    <n v="1"/>
  </r>
  <r>
    <x v="6"/>
    <s v="Akron Branch"/>
    <s v="QAR"/>
    <x v="7"/>
    <b v="1"/>
    <n v="28.669769511054625"/>
    <n v="20000"/>
    <x v="0"/>
    <n v="1"/>
  </r>
  <r>
    <x v="8"/>
    <s v="Nashua Branch"/>
    <s v="QAR"/>
    <x v="7"/>
    <b v="1"/>
    <n v="20.329317584592395"/>
    <n v="20000"/>
    <x v="0"/>
    <n v="1"/>
  </r>
  <r>
    <x v="10"/>
    <s v="Pittsfield Branch"/>
    <s v="QAR"/>
    <x v="7"/>
    <b v="1"/>
    <n v="26.159423950179658"/>
    <n v="20000"/>
    <x v="0"/>
    <n v="1"/>
  </r>
  <r>
    <x v="12"/>
    <s v="Binghampton Branch"/>
    <s v="QAR"/>
    <x v="7"/>
    <b v="1"/>
    <n v="23.07988348455503"/>
    <n v="20000"/>
    <x v="0"/>
    <n v="1"/>
  </r>
  <r>
    <x v="13"/>
    <s v="Corporate Leadership"/>
    <s v="REC"/>
    <x v="8"/>
    <b v="1"/>
    <n v="19.232642493764423"/>
    <n v="15000"/>
    <x v="0"/>
    <n v="3"/>
  </r>
  <r>
    <x v="0"/>
    <s v="Scranton Branch"/>
    <s v="REC"/>
    <x v="8"/>
    <b v="1"/>
    <n v="14.766268475896782"/>
    <n v="15000"/>
    <x v="0"/>
    <n v="1"/>
  </r>
  <r>
    <x v="1"/>
    <s v="Stamford Branch"/>
    <s v="REC"/>
    <x v="8"/>
    <b v="1"/>
    <n v="19.164411879645193"/>
    <n v="15000"/>
    <x v="0"/>
    <n v="1"/>
  </r>
  <r>
    <x v="2"/>
    <s v="Utica Branch"/>
    <s v="REC"/>
    <x v="8"/>
    <b v="1"/>
    <n v="17.179557302654786"/>
    <n v="15000"/>
    <x v="0"/>
    <n v="1"/>
  </r>
  <r>
    <x v="3"/>
    <s v="Buffalo Branch"/>
    <s v="REC"/>
    <x v="8"/>
    <b v="1"/>
    <n v="19.250964185211732"/>
    <n v="15000"/>
    <x v="0"/>
    <n v="1"/>
  </r>
  <r>
    <x v="4"/>
    <s v="Rochester Branch"/>
    <s v="REC"/>
    <x v="8"/>
    <b v="1"/>
    <n v="16.492153073098976"/>
    <n v="15000"/>
    <x v="0"/>
    <n v="1"/>
  </r>
  <r>
    <x v="5"/>
    <s v="Albany Branch"/>
    <s v="REC"/>
    <x v="8"/>
    <b v="1"/>
    <n v="17.557090815609914"/>
    <n v="15000"/>
    <x v="0"/>
    <n v="1"/>
  </r>
  <r>
    <x v="6"/>
    <s v="Akron Branch"/>
    <s v="REC"/>
    <x v="8"/>
    <b v="1"/>
    <n v="15.249507555029933"/>
    <n v="15000"/>
    <x v="0"/>
    <n v="1"/>
  </r>
  <r>
    <x v="7"/>
    <s v="Cambden Branch"/>
    <s v="REC"/>
    <x v="8"/>
    <b v="1"/>
    <n v="20.43600156516063"/>
    <n v="15000"/>
    <x v="0"/>
    <n v="1"/>
  </r>
  <r>
    <x v="8"/>
    <s v="Nashua Branch"/>
    <s v="REC"/>
    <x v="8"/>
    <b v="1"/>
    <n v="14.43662046682897"/>
    <n v="15000"/>
    <x v="0"/>
    <n v="1"/>
  </r>
  <r>
    <x v="9"/>
    <s v="Yonkers Branch"/>
    <s v="REC"/>
    <x v="8"/>
    <b v="1"/>
    <n v="16.773152471145679"/>
    <n v="15000"/>
    <x v="0"/>
    <n v="1"/>
  </r>
  <r>
    <x v="10"/>
    <s v="Pittsfield Branch"/>
    <s v="REC"/>
    <x v="8"/>
    <b v="1"/>
    <n v="18.185122418938963"/>
    <n v="15000"/>
    <x v="0"/>
    <n v="1"/>
  </r>
  <r>
    <x v="11"/>
    <s v="Syracuse Branch"/>
    <s v="REC"/>
    <x v="8"/>
    <b v="1"/>
    <n v="17.842732314832862"/>
    <n v="15000"/>
    <x v="0"/>
    <n v="1"/>
  </r>
  <r>
    <x v="12"/>
    <s v="Binghampton Branch"/>
    <s v="REC"/>
    <x v="8"/>
    <b v="1"/>
    <n v="20.147406887537237"/>
    <n v="15000"/>
    <x v="0"/>
    <n v="1"/>
  </r>
  <r>
    <x v="0"/>
    <s v="Scranton Branch"/>
    <s v="RM"/>
    <x v="9"/>
    <b v="1"/>
    <n v="53.355933680911697"/>
    <n v="50000"/>
    <x v="0"/>
    <n v="1"/>
  </r>
  <r>
    <x v="1"/>
    <s v="Stamford Branch"/>
    <s v="RM"/>
    <x v="9"/>
    <b v="1"/>
    <n v="51.876054540910509"/>
    <n v="50000"/>
    <x v="0"/>
    <n v="1"/>
  </r>
  <r>
    <x v="2"/>
    <s v="Utica Branch"/>
    <s v="RM"/>
    <x v="9"/>
    <b v="1"/>
    <n v="57.687557002136082"/>
    <n v="50000"/>
    <x v="0"/>
    <n v="1"/>
  </r>
  <r>
    <x v="3"/>
    <s v="Buffalo Branch"/>
    <s v="RM"/>
    <x v="9"/>
    <b v="1"/>
    <n v="51.338388539628752"/>
    <n v="50000"/>
    <x v="0"/>
    <n v="1"/>
  </r>
  <r>
    <x v="4"/>
    <s v="Rochester Branch"/>
    <s v="RM"/>
    <x v="9"/>
    <b v="1"/>
    <n v="70.587474434473165"/>
    <n v="50000"/>
    <x v="0"/>
    <n v="1"/>
  </r>
  <r>
    <x v="5"/>
    <s v="Albany Branch"/>
    <s v="RM"/>
    <x v="9"/>
    <b v="1"/>
    <n v="60.342391365015288"/>
    <n v="50000"/>
    <x v="0"/>
    <n v="1"/>
  </r>
  <r>
    <x v="6"/>
    <s v="Akron Branch"/>
    <s v="RM"/>
    <x v="9"/>
    <b v="1"/>
    <n v="71.208639117099807"/>
    <n v="50000"/>
    <x v="0"/>
    <n v="1"/>
  </r>
  <r>
    <x v="7"/>
    <s v="Cambden Branch"/>
    <s v="RM"/>
    <x v="9"/>
    <b v="1"/>
    <n v="54.911005267058023"/>
    <n v="50000"/>
    <x v="0"/>
    <n v="1"/>
  </r>
  <r>
    <x v="8"/>
    <s v="Nashua Branch"/>
    <s v="RM"/>
    <x v="9"/>
    <b v="1"/>
    <n v="66.232676901423986"/>
    <n v="50000"/>
    <x v="0"/>
    <n v="1"/>
  </r>
  <r>
    <x v="9"/>
    <s v="Yonkers Branch"/>
    <s v="RM"/>
    <x v="9"/>
    <b v="1"/>
    <n v="56.278361229043902"/>
    <n v="50000"/>
    <x v="0"/>
    <n v="1"/>
  </r>
  <r>
    <x v="10"/>
    <s v="Pittsfield Branch"/>
    <s v="RM"/>
    <x v="9"/>
    <b v="1"/>
    <n v="51.458821610648108"/>
    <n v="50000"/>
    <x v="0"/>
    <n v="1"/>
  </r>
  <r>
    <x v="11"/>
    <s v="Syracuse Branch"/>
    <s v="RM"/>
    <x v="9"/>
    <b v="1"/>
    <n v="58.417508111389438"/>
    <n v="50000"/>
    <x v="0"/>
    <n v="1"/>
  </r>
  <r>
    <x v="12"/>
    <s v="Binghampton Branch"/>
    <s v="RM"/>
    <x v="9"/>
    <b v="1"/>
    <n v="58.078854401946593"/>
    <n v="50000"/>
    <x v="0"/>
    <n v="1"/>
  </r>
  <r>
    <x v="1"/>
    <s v="Eastern Region"/>
    <s v="SALEM"/>
    <x v="1"/>
    <b v="1"/>
    <n v="50.869774449547684"/>
    <n v="40000"/>
    <x v="0"/>
    <n v="3"/>
  </r>
  <r>
    <x v="3"/>
    <s v="Western Region"/>
    <s v="SALEM"/>
    <x v="1"/>
    <b v="1"/>
    <n v="53.80294480977836"/>
    <n v="40000"/>
    <x v="0"/>
    <n v="2"/>
  </r>
  <r>
    <x v="5"/>
    <s v="Northern Region"/>
    <s v="SALEM"/>
    <x v="1"/>
    <b v="1"/>
    <n v="49.08763083888693"/>
    <n v="40000"/>
    <x v="0"/>
    <n v="2"/>
  </r>
  <r>
    <x v="12"/>
    <s v="Southern Region"/>
    <s v="SALEM"/>
    <x v="1"/>
    <b v="1"/>
    <n v="43.678485345278531"/>
    <n v="40000"/>
    <x v="0"/>
    <n v="2"/>
  </r>
  <r>
    <x v="0"/>
    <s v="Scranton Sales"/>
    <s v="SALER"/>
    <x v="1"/>
    <b v="1"/>
    <n v="39.64434505428035"/>
    <n v="30000"/>
    <x v="0"/>
    <n v="4"/>
  </r>
  <r>
    <x v="1"/>
    <s v="Stamford Sales"/>
    <s v="SALER"/>
    <x v="1"/>
    <b v="1"/>
    <n v="33.935790384740116"/>
    <n v="30000"/>
    <x v="0"/>
    <n v="7"/>
  </r>
  <r>
    <x v="2"/>
    <s v="Utica Sales"/>
    <s v="SALER"/>
    <x v="1"/>
    <b v="1"/>
    <n v="35.10584905570434"/>
    <n v="30000"/>
    <x v="0"/>
    <n v="3"/>
  </r>
  <r>
    <x v="3"/>
    <s v="Buffalo Sales"/>
    <s v="SALER"/>
    <x v="1"/>
    <b v="1"/>
    <n v="35.793342463072136"/>
    <n v="30000"/>
    <x v="0"/>
    <n v="7"/>
  </r>
  <r>
    <x v="4"/>
    <s v="Rochester Sales"/>
    <s v="SALER"/>
    <x v="1"/>
    <b v="1"/>
    <n v="37.485658569441462"/>
    <n v="30000"/>
    <x v="0"/>
    <n v="6"/>
  </r>
  <r>
    <x v="5"/>
    <s v="Albany Sales"/>
    <s v="SALER"/>
    <x v="1"/>
    <b v="1"/>
    <n v="36.016917546104736"/>
    <n v="30000"/>
    <x v="0"/>
    <n v="5"/>
  </r>
  <r>
    <x v="6"/>
    <s v="Akron Sales"/>
    <s v="SALER"/>
    <x v="1"/>
    <b v="1"/>
    <n v="39.283037161779248"/>
    <n v="30000"/>
    <x v="0"/>
    <n v="5"/>
  </r>
  <r>
    <x v="7"/>
    <s v="Cambden Sales"/>
    <s v="SALER"/>
    <x v="1"/>
    <b v="1"/>
    <n v="35.434470132574198"/>
    <n v="30000"/>
    <x v="0"/>
    <n v="3"/>
  </r>
  <r>
    <x v="8"/>
    <s v="Nashua Sales"/>
    <s v="SALER"/>
    <x v="1"/>
    <b v="1"/>
    <n v="33.881058840309393"/>
    <n v="30000"/>
    <x v="0"/>
    <n v="4"/>
  </r>
  <r>
    <x v="9"/>
    <s v="Yonkers Sales"/>
    <s v="SALER"/>
    <x v="1"/>
    <b v="1"/>
    <n v="35.396797636657567"/>
    <n v="30000"/>
    <x v="0"/>
    <n v="5"/>
  </r>
  <r>
    <x v="10"/>
    <s v="Pittsfield Sales"/>
    <s v="SALER"/>
    <x v="1"/>
    <b v="1"/>
    <n v="37.419293084576339"/>
    <n v="30000"/>
    <x v="0"/>
    <n v="3"/>
  </r>
  <r>
    <x v="11"/>
    <s v="Syracuse Sales"/>
    <s v="SALER"/>
    <x v="1"/>
    <b v="1"/>
    <n v="38.305598207815031"/>
    <n v="30000"/>
    <x v="0"/>
    <n v="2"/>
  </r>
  <r>
    <x v="12"/>
    <s v="Binghampton Sales"/>
    <s v="SALER"/>
    <x v="1"/>
    <b v="1"/>
    <n v="35.166062268370716"/>
    <n v="30000"/>
    <x v="0"/>
    <n v="3"/>
  </r>
  <r>
    <x v="13"/>
    <s v="Corporate Supply Chain"/>
    <s v="SRM"/>
    <x v="10"/>
    <b v="1"/>
    <n v="32.718112651195625"/>
    <n v="30000"/>
    <x v="0"/>
    <n v="4"/>
  </r>
  <r>
    <x v="0"/>
    <s v="Scranton Branch"/>
    <s v="SRR"/>
    <x v="10"/>
    <b v="1"/>
    <n v="22.512262745578379"/>
    <n v="20000"/>
    <x v="0"/>
    <n v="1"/>
  </r>
  <r>
    <x v="1"/>
    <s v="Stamford Branch"/>
    <s v="SRR"/>
    <x v="10"/>
    <b v="1"/>
    <n v="21.551349690148115"/>
    <n v="20000"/>
    <x v="0"/>
    <n v="2"/>
  </r>
  <r>
    <x v="3"/>
    <s v="Buffalo Branch"/>
    <s v="SRR"/>
    <x v="10"/>
    <b v="1"/>
    <n v="24.27260143793908"/>
    <n v="20000"/>
    <x v="0"/>
    <n v="2"/>
  </r>
  <r>
    <x v="4"/>
    <s v="Rochester Branch"/>
    <s v="SRR"/>
    <x v="10"/>
    <b v="1"/>
    <n v="23.741862887827754"/>
    <n v="20000"/>
    <x v="0"/>
    <n v="2"/>
  </r>
  <r>
    <x v="5"/>
    <s v="Albany Branch"/>
    <s v="SRR"/>
    <x v="10"/>
    <b v="1"/>
    <n v="21.498358505023344"/>
    <n v="20000"/>
    <x v="0"/>
    <n v="2"/>
  </r>
  <r>
    <x v="6"/>
    <s v="Akron Branch"/>
    <s v="SRR"/>
    <x v="10"/>
    <b v="1"/>
    <n v="24.846329788179084"/>
    <n v="20000"/>
    <x v="0"/>
    <n v="2"/>
  </r>
  <r>
    <x v="8"/>
    <s v="Nashua Branch"/>
    <s v="SRR"/>
    <x v="10"/>
    <b v="1"/>
    <n v="20.179250178046928"/>
    <n v="20000"/>
    <x v="0"/>
    <n v="1"/>
  </r>
  <r>
    <x v="10"/>
    <s v="Pittsfield Branch"/>
    <s v="SRR"/>
    <x v="10"/>
    <b v="1"/>
    <n v="19.9926077275978"/>
    <n v="20000"/>
    <x v="0"/>
    <n v="2"/>
  </r>
  <r>
    <x v="12"/>
    <s v="Binghampton Branch"/>
    <s v="SRR"/>
    <x v="10"/>
    <b v="1"/>
    <n v="27.644018311016723"/>
    <n v="20000"/>
    <x v="0"/>
    <n v="2"/>
  </r>
  <r>
    <x v="13"/>
    <s v="Corporate Finance"/>
    <s v="VP"/>
    <x v="0"/>
    <b v="1"/>
    <n v="84.327563274930469"/>
    <n v="100000"/>
    <x v="0"/>
    <n v="2"/>
  </r>
  <r>
    <x v="1"/>
    <s v="Eastern Region"/>
    <s v="VP"/>
    <x v="11"/>
    <b v="1"/>
    <n v="80.978050285990776"/>
    <n v="100000"/>
    <x v="0"/>
    <n v="1"/>
  </r>
  <r>
    <x v="3"/>
    <s v="Western Region"/>
    <s v="VP"/>
    <x v="11"/>
    <b v="1"/>
    <n v="95.428889207880502"/>
    <n v="100000"/>
    <x v="0"/>
    <n v="1"/>
  </r>
  <r>
    <x v="5"/>
    <s v="Northern Region"/>
    <s v="VP"/>
    <x v="11"/>
    <b v="1"/>
    <n v="97.097954373123102"/>
    <n v="100000"/>
    <x v="0"/>
    <n v="1"/>
  </r>
  <r>
    <x v="12"/>
    <s v="Southern Region"/>
    <s v="VP"/>
    <x v="11"/>
    <b v="1"/>
    <n v="83.022026975773741"/>
    <n v="100000"/>
    <x v="0"/>
    <n v="1"/>
  </r>
  <r>
    <x v="13"/>
    <s v="Corporate Marketing"/>
    <s v="VP"/>
    <x v="11"/>
    <b v="1"/>
    <n v="74.13152414926715"/>
    <n v="100000"/>
    <x v="0"/>
    <n v="1"/>
  </r>
  <r>
    <x v="13"/>
    <s v="Corporate HR"/>
    <s v="VP"/>
    <x v="11"/>
    <b v="1"/>
    <n v="87.918587204674537"/>
    <n v="100000"/>
    <x v="0"/>
    <n v="1"/>
  </r>
  <r>
    <x v="13"/>
    <s v="Infinity"/>
    <s v="VP"/>
    <x v="11"/>
    <b v="1"/>
    <n v="98.554210872596414"/>
    <n v="100000"/>
    <x v="0"/>
    <n v="1"/>
  </r>
  <r>
    <x v="13"/>
    <s v="Corporate Supply Chain"/>
    <s v="VP"/>
    <x v="11"/>
    <b v="1"/>
    <n v="74.470190184390773"/>
    <n v="100000"/>
    <x v="0"/>
    <n v="1"/>
  </r>
  <r>
    <x v="13"/>
    <s v="Corporate IT"/>
    <s v="VP"/>
    <x v="11"/>
    <b v="1"/>
    <n v="88.47526588916017"/>
    <n v="100000"/>
    <x v="0"/>
    <n v="1"/>
  </r>
  <r>
    <x v="13"/>
    <s v="Corporate Customer Service"/>
    <s v="VP"/>
    <x v="11"/>
    <b v="1"/>
    <n v="78.904146728235176"/>
    <n v="100000"/>
    <x v="0"/>
    <n v="1"/>
  </r>
  <r>
    <x v="0"/>
    <s v="Scranton Warehouse"/>
    <s v="WDW"/>
    <x v="12"/>
    <b v="1"/>
    <n v="11.623176899591545"/>
    <n v="10000"/>
    <x v="1"/>
    <n v="4"/>
  </r>
  <r>
    <x v="0"/>
    <s v="Scranton Warehouse"/>
    <s v="WDW"/>
    <x v="12"/>
    <b v="1"/>
    <n v="12.374545152436013"/>
    <n v="10000"/>
    <x v="2"/>
    <n v="4"/>
  </r>
  <r>
    <x v="1"/>
    <s v="Stamford Warehouse"/>
    <s v="WDW"/>
    <x v="12"/>
    <b v="1"/>
    <n v="12.724059699787498"/>
    <n v="10000"/>
    <x v="1"/>
    <n v="6"/>
  </r>
  <r>
    <x v="1"/>
    <s v="Stamford Warehouse"/>
    <s v="WDW"/>
    <x v="12"/>
    <b v="1"/>
    <n v="11.332632305443681"/>
    <n v="10000"/>
    <x v="2"/>
    <n v="7"/>
  </r>
  <r>
    <x v="3"/>
    <s v="Buffalo Warehouse"/>
    <s v="WDW"/>
    <x v="12"/>
    <b v="1"/>
    <n v="11.05755630081379"/>
    <n v="10000"/>
    <x v="1"/>
    <n v="10"/>
  </r>
  <r>
    <x v="3"/>
    <s v="Buffalo Warehouse"/>
    <s v="WDW"/>
    <x v="12"/>
    <b v="1"/>
    <n v="12.667779911110411"/>
    <n v="10000"/>
    <x v="2"/>
    <n v="9"/>
  </r>
  <r>
    <x v="4"/>
    <s v="Rochester Warehouse"/>
    <s v="WDW"/>
    <x v="12"/>
    <b v="1"/>
    <n v="11.515821296970051"/>
    <n v="10000"/>
    <x v="1"/>
    <n v="4"/>
  </r>
  <r>
    <x v="4"/>
    <s v="Rochester Warehouse"/>
    <s v="WDW"/>
    <x v="12"/>
    <b v="1"/>
    <n v="11.783492222854116"/>
    <n v="10000"/>
    <x v="2"/>
    <n v="5"/>
  </r>
  <r>
    <x v="5"/>
    <s v="Albany Warehouse"/>
    <s v="WDW"/>
    <x v="12"/>
    <b v="1"/>
    <n v="12.057204077756941"/>
    <n v="10000"/>
    <x v="1"/>
    <n v="9"/>
  </r>
  <r>
    <x v="5"/>
    <s v="Albany Warehouse"/>
    <s v="WDW"/>
    <x v="12"/>
    <b v="1"/>
    <n v="12.40413632355672"/>
    <n v="10000"/>
    <x v="2"/>
    <n v="8"/>
  </r>
  <r>
    <x v="6"/>
    <s v="Akron Warehouse"/>
    <s v="WDW"/>
    <x v="12"/>
    <b v="1"/>
    <n v="12.58812700413927"/>
    <n v="10000"/>
    <x v="1"/>
    <n v="6"/>
  </r>
  <r>
    <x v="6"/>
    <s v="Akron Warehouse"/>
    <s v="WDW"/>
    <x v="12"/>
    <b v="1"/>
    <n v="11.758211452307116"/>
    <n v="10000"/>
    <x v="2"/>
    <n v="7"/>
  </r>
  <r>
    <x v="8"/>
    <s v="Nashua Warehouse"/>
    <s v="WDW"/>
    <x v="12"/>
    <b v="1"/>
    <n v="11.123882539175527"/>
    <n v="10000"/>
    <x v="1"/>
    <n v="3"/>
  </r>
  <r>
    <x v="8"/>
    <s v="Nashua Warehouse"/>
    <s v="WDW"/>
    <x v="12"/>
    <b v="1"/>
    <n v="10.939323734580112"/>
    <n v="10000"/>
    <x v="2"/>
    <n v="3"/>
  </r>
  <r>
    <x v="10"/>
    <s v="Pittsfield Warehouse"/>
    <s v="WDW"/>
    <x v="12"/>
    <b v="1"/>
    <n v="11.78208057531425"/>
    <n v="10000"/>
    <x v="1"/>
    <n v="5"/>
  </r>
  <r>
    <x v="10"/>
    <s v="Pittsfield Warehouse"/>
    <s v="WDW"/>
    <x v="12"/>
    <b v="1"/>
    <n v="13.00232536884921"/>
    <n v="10000"/>
    <x v="2"/>
    <n v="6"/>
  </r>
  <r>
    <x v="12"/>
    <s v="Binghampton Warehouse"/>
    <s v="WDW"/>
    <x v="12"/>
    <b v="1"/>
    <n v="11.420087530258577"/>
    <n v="10000"/>
    <x v="1"/>
    <n v="5"/>
  </r>
  <r>
    <x v="12"/>
    <s v="Binghampton Warehouse"/>
    <s v="WDW"/>
    <x v="12"/>
    <b v="1"/>
    <n v="12.057627174891161"/>
    <n v="10000"/>
    <x v="2"/>
    <n v="6"/>
  </r>
  <r>
    <x v="0"/>
    <s v="Scranton Warehouse"/>
    <s v="WF"/>
    <x v="12"/>
    <b v="1"/>
    <n v="18.490338246541167"/>
    <n v="15000"/>
    <x v="1"/>
    <n v="1"/>
  </r>
  <r>
    <x v="0"/>
    <s v="Scranton Warehouse"/>
    <s v="WF"/>
    <x v="12"/>
    <b v="1"/>
    <n v="16.532122495248551"/>
    <n v="15000"/>
    <x v="2"/>
    <n v="1"/>
  </r>
  <r>
    <x v="1"/>
    <s v="Stamford Warehouse"/>
    <s v="WF"/>
    <x v="12"/>
    <b v="1"/>
    <n v="20.010992446371866"/>
    <n v="15000"/>
    <x v="1"/>
    <n v="1"/>
  </r>
  <r>
    <x v="1"/>
    <s v="Stamford Warehouse"/>
    <s v="WF"/>
    <x v="12"/>
    <b v="1"/>
    <n v="18.088694086633836"/>
    <n v="15000"/>
    <x v="2"/>
    <n v="1"/>
  </r>
  <r>
    <x v="3"/>
    <s v="Buffalo Warehouse"/>
    <s v="WF"/>
    <x v="12"/>
    <b v="1"/>
    <n v="19.894261530058348"/>
    <n v="15000"/>
    <x v="1"/>
    <n v="1"/>
  </r>
  <r>
    <x v="3"/>
    <s v="Buffalo Warehouse"/>
    <s v="WF"/>
    <x v="12"/>
    <b v="1"/>
    <n v="19.488511007328906"/>
    <n v="15000"/>
    <x v="2"/>
    <n v="1"/>
  </r>
  <r>
    <x v="4"/>
    <s v="Rochester Warehouse"/>
    <s v="WF"/>
    <x v="12"/>
    <b v="1"/>
    <n v="14.585651038366738"/>
    <n v="15000"/>
    <x v="1"/>
    <n v="1"/>
  </r>
  <r>
    <x v="4"/>
    <s v="Rochester Warehouse"/>
    <s v="WF"/>
    <x v="12"/>
    <b v="1"/>
    <n v="20.282868693680715"/>
    <n v="15000"/>
    <x v="2"/>
    <n v="1"/>
  </r>
  <r>
    <x v="5"/>
    <s v="Albany Warehouse"/>
    <s v="WF"/>
    <x v="12"/>
    <b v="1"/>
    <n v="18.929341374192539"/>
    <n v="15000"/>
    <x v="1"/>
    <n v="1"/>
  </r>
  <r>
    <x v="5"/>
    <s v="Albany Warehouse"/>
    <s v="WF"/>
    <x v="12"/>
    <b v="1"/>
    <n v="15.001505016330249"/>
    <n v="15000"/>
    <x v="2"/>
    <n v="1"/>
  </r>
  <r>
    <x v="6"/>
    <s v="Akron Warehouse"/>
    <s v="WF"/>
    <x v="12"/>
    <b v="1"/>
    <n v="20.422816368365211"/>
    <n v="15000"/>
    <x v="1"/>
    <n v="1"/>
  </r>
  <r>
    <x v="6"/>
    <s v="Akron Warehouse"/>
    <s v="WF"/>
    <x v="12"/>
    <b v="1"/>
    <n v="18.026607883526761"/>
    <n v="15000"/>
    <x v="2"/>
    <n v="1"/>
  </r>
  <r>
    <x v="8"/>
    <s v="Nashua Warehouse"/>
    <s v="WF"/>
    <x v="12"/>
    <b v="1"/>
    <n v="19.265650711701497"/>
    <n v="15000"/>
    <x v="1"/>
    <n v="1"/>
  </r>
  <r>
    <x v="8"/>
    <s v="Nashua Warehouse"/>
    <s v="WF"/>
    <x v="12"/>
    <b v="1"/>
    <n v="16.358643088176439"/>
    <n v="15000"/>
    <x v="2"/>
    <n v="1"/>
  </r>
  <r>
    <x v="10"/>
    <s v="Pittsfield Warehouse"/>
    <s v="WF"/>
    <x v="12"/>
    <b v="1"/>
    <n v="18.673323358298326"/>
    <n v="15000"/>
    <x v="1"/>
    <n v="1"/>
  </r>
  <r>
    <x v="10"/>
    <s v="Pittsfield Warehouse"/>
    <s v="WF"/>
    <x v="12"/>
    <b v="1"/>
    <n v="16.099478887693607"/>
    <n v="15000"/>
    <x v="2"/>
    <n v="1"/>
  </r>
  <r>
    <x v="12"/>
    <s v="Binghampton Warehouse"/>
    <s v="WF"/>
    <x v="12"/>
    <b v="1"/>
    <n v="18.329041828413132"/>
    <n v="15000"/>
    <x v="1"/>
    <n v="1"/>
  </r>
  <r>
    <x v="12"/>
    <s v="Binghampton Warehouse"/>
    <s v="WF"/>
    <x v="12"/>
    <b v="1"/>
    <n v="19.467225400243148"/>
    <n v="15000"/>
    <x v="2"/>
    <n v="1"/>
  </r>
  <r>
    <x v="0"/>
    <s v="Scranton Warehouse"/>
    <s v="WS"/>
    <x v="12"/>
    <b v="1"/>
    <n v="28.192536688993361"/>
    <n v="25000"/>
    <x v="0"/>
    <n v="1"/>
  </r>
  <r>
    <x v="1"/>
    <s v="Stamford Warehouse"/>
    <s v="WS"/>
    <x v="12"/>
    <b v="1"/>
    <n v="27.498422724916068"/>
    <n v="25000"/>
    <x v="0"/>
    <n v="1"/>
  </r>
  <r>
    <x v="3"/>
    <s v="Buffalo Warehouse"/>
    <s v="WS"/>
    <x v="12"/>
    <b v="1"/>
    <n v="25.202421452724057"/>
    <n v="25000"/>
    <x v="0"/>
    <n v="1"/>
  </r>
  <r>
    <x v="4"/>
    <s v="Rochester Warehouse"/>
    <s v="WS"/>
    <x v="12"/>
    <b v="1"/>
    <n v="33.275885952131368"/>
    <n v="25000"/>
    <x v="0"/>
    <n v="1"/>
  </r>
  <r>
    <x v="5"/>
    <s v="Albany Warehouse"/>
    <s v="WS"/>
    <x v="12"/>
    <b v="1"/>
    <n v="35.176909308324767"/>
    <n v="25000"/>
    <x v="0"/>
    <n v="1"/>
  </r>
  <r>
    <x v="6"/>
    <s v="Akron Warehouse"/>
    <s v="WS"/>
    <x v="12"/>
    <b v="1"/>
    <n v="32.95853676629325"/>
    <n v="25000"/>
    <x v="0"/>
    <n v="1"/>
  </r>
  <r>
    <x v="8"/>
    <s v="Nashua Warehouse"/>
    <s v="WS"/>
    <x v="12"/>
    <b v="1"/>
    <n v="32.916116859024946"/>
    <n v="25000"/>
    <x v="0"/>
    <n v="1"/>
  </r>
  <r>
    <x v="10"/>
    <s v="Pittsfield Warehouse"/>
    <s v="WS"/>
    <x v="12"/>
    <b v="1"/>
    <n v="33.29972971400128"/>
    <n v="25000"/>
    <x v="0"/>
    <n v="1"/>
  </r>
  <r>
    <x v="12"/>
    <s v="Binghampton Warehouse"/>
    <s v="WS"/>
    <x v="12"/>
    <b v="1"/>
    <n v="33.57463226137363"/>
    <n v="25000"/>
    <x v="0"/>
    <n v="1"/>
  </r>
</pivotCacheRecords>
</file>

<file path=xl/pivotCache/pivotCacheRecords2.xml><?xml version="1.0" encoding="utf-8"?>
<pivotCacheRecords xmlns="http://schemas.openxmlformats.org/spreadsheetml/2006/main" xmlns:r="http://schemas.openxmlformats.org/officeDocument/2006/relationships" count="189">
  <r>
    <x v="0"/>
    <s v="Syracuse Accounting"/>
    <x v="0"/>
    <x v="0"/>
    <b v="1"/>
    <n v="20.43627174219041"/>
    <n v="20000"/>
    <x v="0"/>
    <n v="1"/>
    <n v="42507.445223756054"/>
  </r>
  <r>
    <x v="1"/>
    <s v="Pittsfield Accounting"/>
    <x v="0"/>
    <x v="0"/>
    <b v="1"/>
    <n v="20.559411769543921"/>
    <n v="20000"/>
    <x v="0"/>
    <n v="1"/>
    <n v="42763.576480651354"/>
  </r>
  <r>
    <x v="2"/>
    <s v="Buffalo Accounting"/>
    <x v="0"/>
    <x v="0"/>
    <b v="1"/>
    <n v="22.07005509274083"/>
    <n v="20000"/>
    <x v="0"/>
    <n v="6"/>
    <n v="275434.28755740554"/>
  </r>
  <r>
    <x v="3"/>
    <s v="Binghampton Accounting"/>
    <x v="0"/>
    <x v="0"/>
    <b v="1"/>
    <n v="22.255475637008676"/>
    <n v="20000"/>
    <x v="0"/>
    <n v="1"/>
    <n v="46291.389324978045"/>
  </r>
  <r>
    <x v="4"/>
    <s v="Utica Accounting"/>
    <x v="0"/>
    <x v="0"/>
    <b v="1"/>
    <n v="22.603800873810297"/>
    <n v="20000"/>
    <x v="0"/>
    <n v="1"/>
    <n v="47015.905817525418"/>
  </r>
  <r>
    <x v="5"/>
    <s v="Albany Accounting"/>
    <x v="0"/>
    <x v="0"/>
    <b v="1"/>
    <n v="23.102968920807704"/>
    <n v="20000"/>
    <x v="0"/>
    <n v="3"/>
    <n v="144162.52606584007"/>
  </r>
  <r>
    <x v="6"/>
    <s v="Rochester Accounting"/>
    <x v="0"/>
    <x v="0"/>
    <b v="1"/>
    <n v="23.25157659577544"/>
    <n v="20000"/>
    <x v="0"/>
    <n v="4"/>
    <n v="193453.11727685167"/>
  </r>
  <r>
    <x v="7"/>
    <s v="Cambden Accounting"/>
    <x v="0"/>
    <x v="0"/>
    <b v="1"/>
    <n v="24.33392743963315"/>
    <n v="20000"/>
    <x v="0"/>
    <n v="1"/>
    <n v="50614.569074436949"/>
  </r>
  <r>
    <x v="8"/>
    <s v="Yonkers Accounting"/>
    <x v="0"/>
    <x v="0"/>
    <b v="1"/>
    <n v="24.724326885313769"/>
    <n v="20000"/>
    <x v="0"/>
    <n v="2"/>
    <n v="102853.19984290528"/>
  </r>
  <r>
    <x v="9"/>
    <s v="Stamford Accounting"/>
    <x v="0"/>
    <x v="0"/>
    <b v="1"/>
    <n v="26.335128024330174"/>
    <n v="20000"/>
    <x v="0"/>
    <n v="4"/>
    <n v="219108.26516242704"/>
  </r>
  <r>
    <x v="10"/>
    <s v="Scranton Accounting"/>
    <x v="0"/>
    <x v="0"/>
    <b v="1"/>
    <n v="27.072020579534744"/>
    <n v="20000"/>
    <x v="0"/>
    <n v="3"/>
    <n v="168929.40841629679"/>
  </r>
  <r>
    <x v="11"/>
    <s v="Nashua Accounting"/>
    <x v="0"/>
    <x v="0"/>
    <b v="1"/>
    <n v="27.51384844847399"/>
    <n v="20000"/>
    <x v="0"/>
    <n v="2"/>
    <n v="114457.60954565179"/>
  </r>
  <r>
    <x v="12"/>
    <s v="Akron Accounting"/>
    <x v="0"/>
    <x v="0"/>
    <b v="1"/>
    <n v="27.622262356804686"/>
    <n v="20000"/>
    <x v="0"/>
    <n v="3"/>
    <n v="172362.91710646125"/>
  </r>
  <r>
    <x v="1"/>
    <s v="Pittsfield Accounting"/>
    <x v="1"/>
    <x v="0"/>
    <b v="1"/>
    <n v="29.251407516604729"/>
    <n v="30000"/>
    <x v="0"/>
    <n v="1"/>
    <n v="60842.927634537838"/>
  </r>
  <r>
    <x v="10"/>
    <s v="Scranton Accounting"/>
    <x v="1"/>
    <x v="0"/>
    <b v="1"/>
    <n v="32.233171086786463"/>
    <n v="30000"/>
    <x v="0"/>
    <n v="1"/>
    <n v="67044.995860515846"/>
  </r>
  <r>
    <x v="11"/>
    <s v="Nashua Accounting"/>
    <x v="1"/>
    <x v="0"/>
    <b v="1"/>
    <n v="33.777375254392645"/>
    <n v="30000"/>
    <x v="0"/>
    <n v="1"/>
    <n v="70256.9405291367"/>
  </r>
  <r>
    <x v="3"/>
    <s v="Binghampton Accounting"/>
    <x v="1"/>
    <x v="0"/>
    <b v="1"/>
    <n v="35.245498391898863"/>
    <n v="30000"/>
    <x v="0"/>
    <n v="1"/>
    <n v="73310.636655149632"/>
  </r>
  <r>
    <x v="2"/>
    <s v="Buffalo Accounting"/>
    <x v="1"/>
    <x v="0"/>
    <b v="1"/>
    <n v="38.117214743184533"/>
    <n v="30000"/>
    <x v="0"/>
    <n v="2"/>
    <n v="158567.61333164765"/>
  </r>
  <r>
    <x v="12"/>
    <s v="Akron Accounting"/>
    <x v="1"/>
    <x v="0"/>
    <b v="1"/>
    <n v="40.668067546730413"/>
    <n v="30000"/>
    <x v="0"/>
    <n v="1"/>
    <n v="84589.580497199262"/>
  </r>
  <r>
    <x v="5"/>
    <s v="Albany Accounting"/>
    <x v="1"/>
    <x v="0"/>
    <b v="1"/>
    <n v="41.840421286714047"/>
    <n v="30000"/>
    <x v="0"/>
    <n v="1"/>
    <n v="87028.076276365216"/>
  </r>
  <r>
    <x v="9"/>
    <s v="Stamford Accounting"/>
    <x v="1"/>
    <x v="0"/>
    <b v="1"/>
    <n v="41.873873227288307"/>
    <n v="30000"/>
    <x v="0"/>
    <n v="1"/>
    <n v="87097.656312759675"/>
  </r>
  <r>
    <x v="6"/>
    <s v="Rochester Accounting"/>
    <x v="1"/>
    <x v="0"/>
    <b v="1"/>
    <n v="42.268214007250776"/>
    <n v="30000"/>
    <x v="0"/>
    <n v="1"/>
    <n v="87917.885135081611"/>
  </r>
  <r>
    <x v="13"/>
    <s v="Corporate Finance"/>
    <x v="2"/>
    <x v="0"/>
    <b v="1"/>
    <n v="49.571795375649401"/>
    <n v="40000"/>
    <x v="0"/>
    <n v="4"/>
    <n v="412437.33752540301"/>
  </r>
  <r>
    <x v="10"/>
    <s v="Scranton Sales"/>
    <x v="3"/>
    <x v="1"/>
    <b v="1"/>
    <n v="38.46153846153846"/>
    <n v="0"/>
    <x v="0"/>
    <n v="1"/>
    <n v="80000"/>
  </r>
  <r>
    <x v="13"/>
    <s v="Corporate Leadership"/>
    <x v="4"/>
    <x v="2"/>
    <b v="1"/>
    <n v="240.38461538461539"/>
    <n v="0"/>
    <x v="0"/>
    <n v="1"/>
    <n v="500000"/>
  </r>
  <r>
    <x v="13"/>
    <s v="Corporate Leadership"/>
    <x v="5"/>
    <x v="2"/>
    <b v="1"/>
    <n v="170.91459599616792"/>
    <n v="150000"/>
    <x v="0"/>
    <n v="4"/>
    <n v="1422009.4386881171"/>
  </r>
  <r>
    <x v="13"/>
    <s v="Corporate Customer Service"/>
    <x v="6"/>
    <x v="3"/>
    <b v="1"/>
    <n v="35.915182677716075"/>
    <n v="30000"/>
    <x v="0"/>
    <n v="2"/>
    <n v="149407.15993929887"/>
  </r>
  <r>
    <x v="10"/>
    <s v="Scranton Branch"/>
    <x v="7"/>
    <x v="3"/>
    <b v="1"/>
    <n v="27.138483488274478"/>
    <n v="20000"/>
    <x v="0"/>
    <n v="1"/>
    <n v="56448.045655610913"/>
  </r>
  <r>
    <x v="9"/>
    <s v="Stamford Branch"/>
    <x v="7"/>
    <x v="3"/>
    <b v="1"/>
    <n v="22.679010705476593"/>
    <n v="20000"/>
    <x v="0"/>
    <n v="2"/>
    <n v="94344.684534782631"/>
  </r>
  <r>
    <x v="4"/>
    <s v="Utica Branch"/>
    <x v="7"/>
    <x v="3"/>
    <b v="1"/>
    <n v="20.17714793091309"/>
    <n v="20000"/>
    <x v="0"/>
    <n v="1"/>
    <n v="41968.467696299231"/>
  </r>
  <r>
    <x v="2"/>
    <s v="Buffalo Branch"/>
    <x v="7"/>
    <x v="3"/>
    <b v="1"/>
    <n v="23.572805736248966"/>
    <n v="20000"/>
    <x v="0"/>
    <n v="2"/>
    <n v="98062.871862795699"/>
  </r>
  <r>
    <x v="6"/>
    <s v="Rochester Branch"/>
    <x v="7"/>
    <x v="3"/>
    <b v="1"/>
    <n v="23.477731242839273"/>
    <n v="20000"/>
    <x v="0"/>
    <n v="2"/>
    <n v="97667.361970211379"/>
  </r>
  <r>
    <x v="5"/>
    <s v="Albany Branch"/>
    <x v="7"/>
    <x v="3"/>
    <b v="1"/>
    <n v="22.242989113918213"/>
    <n v="20000"/>
    <x v="0"/>
    <n v="2"/>
    <n v="92530.834713899763"/>
  </r>
  <r>
    <x v="12"/>
    <s v="Akron Branch"/>
    <x v="7"/>
    <x v="3"/>
    <b v="1"/>
    <n v="28.407281430885973"/>
    <n v="20000"/>
    <x v="0"/>
    <n v="2"/>
    <n v="118174.29075248566"/>
  </r>
  <r>
    <x v="7"/>
    <s v="Cambden Branch"/>
    <x v="7"/>
    <x v="3"/>
    <b v="1"/>
    <n v="22.985235093548102"/>
    <n v="20000"/>
    <x v="0"/>
    <n v="1"/>
    <n v="47809.288994580049"/>
  </r>
  <r>
    <x v="11"/>
    <s v="Nashua Branch"/>
    <x v="7"/>
    <x v="3"/>
    <b v="1"/>
    <n v="21.067251565062033"/>
    <n v="20000"/>
    <x v="0"/>
    <n v="1"/>
    <n v="43819.883255329027"/>
  </r>
  <r>
    <x v="8"/>
    <s v="Yonkers Branch"/>
    <x v="7"/>
    <x v="3"/>
    <b v="1"/>
    <n v="28.16141840849409"/>
    <n v="20000"/>
    <x v="0"/>
    <n v="1"/>
    <n v="58575.750289667703"/>
  </r>
  <r>
    <x v="1"/>
    <s v="Pittsfield Branch"/>
    <x v="7"/>
    <x v="3"/>
    <b v="1"/>
    <n v="23.166032608391621"/>
    <n v="20000"/>
    <x v="0"/>
    <n v="2"/>
    <n v="96370.69565090914"/>
  </r>
  <r>
    <x v="3"/>
    <s v="Binghampton Branch"/>
    <x v="7"/>
    <x v="3"/>
    <b v="1"/>
    <n v="25.881437597763515"/>
    <n v="20000"/>
    <x v="0"/>
    <n v="2"/>
    <n v="107666.78040669623"/>
  </r>
  <r>
    <x v="13"/>
    <s v="Corporate HR"/>
    <x v="8"/>
    <x v="4"/>
    <b v="1"/>
    <n v="30.395391965038883"/>
    <n v="30000"/>
    <x v="0"/>
    <n v="2"/>
    <n v="126444.83057456175"/>
  </r>
  <r>
    <x v="10"/>
    <s v="Scranton Branch"/>
    <x v="9"/>
    <x v="4"/>
    <b v="1"/>
    <n v="20.568932315425748"/>
    <n v="20000"/>
    <x v="0"/>
    <n v="1"/>
    <n v="42783.379216085559"/>
  </r>
  <r>
    <x v="9"/>
    <s v="Stamford Branch"/>
    <x v="9"/>
    <x v="4"/>
    <b v="1"/>
    <n v="27.072093875675723"/>
    <n v="20000"/>
    <x v="0"/>
    <n v="1"/>
    <n v="56309.955261405506"/>
  </r>
  <r>
    <x v="2"/>
    <s v="Buffalo Branch"/>
    <x v="9"/>
    <x v="4"/>
    <b v="1"/>
    <n v="21.202636528252388"/>
    <n v="20000"/>
    <x v="0"/>
    <n v="1"/>
    <n v="44101.483978764969"/>
  </r>
  <r>
    <x v="6"/>
    <s v="Rochester Branch"/>
    <x v="9"/>
    <x v="4"/>
    <b v="1"/>
    <n v="24.621344838598752"/>
    <n v="20000"/>
    <x v="0"/>
    <n v="1"/>
    <n v="51212.397264285406"/>
  </r>
  <r>
    <x v="5"/>
    <s v="Albany Branch"/>
    <x v="9"/>
    <x v="4"/>
    <b v="1"/>
    <n v="24.657072970282695"/>
    <n v="20000"/>
    <x v="0"/>
    <n v="1"/>
    <n v="51286.711778188008"/>
  </r>
  <r>
    <x v="12"/>
    <s v="Akron Branch"/>
    <x v="9"/>
    <x v="4"/>
    <b v="1"/>
    <n v="20.316658536980697"/>
    <n v="20000"/>
    <x v="0"/>
    <n v="1"/>
    <n v="42258.649756919847"/>
  </r>
  <r>
    <x v="11"/>
    <s v="Nashua Branch"/>
    <x v="9"/>
    <x v="4"/>
    <b v="1"/>
    <n v="24.397094396503626"/>
    <n v="20000"/>
    <x v="0"/>
    <n v="1"/>
    <n v="50745.956344727543"/>
  </r>
  <r>
    <x v="1"/>
    <s v="Pittsfield Branch"/>
    <x v="9"/>
    <x v="4"/>
    <b v="1"/>
    <n v="24.14707194461969"/>
    <n v="20000"/>
    <x v="0"/>
    <n v="1"/>
    <n v="50225.909644808955"/>
  </r>
  <r>
    <x v="3"/>
    <s v="Binghampton Branch"/>
    <x v="9"/>
    <x v="4"/>
    <b v="1"/>
    <n v="23.596023038641867"/>
    <n v="20000"/>
    <x v="0"/>
    <n v="1"/>
    <n v="49079.72792037508"/>
  </r>
  <r>
    <x v="13"/>
    <s v="Corporate IT"/>
    <x v="10"/>
    <x v="5"/>
    <b v="1"/>
    <n v="51.961855813797456"/>
    <n v="40000"/>
    <x v="0"/>
    <n v="3"/>
    <n v="324241.9802780961"/>
  </r>
  <r>
    <x v="13"/>
    <s v="Infinity"/>
    <x v="10"/>
    <x v="5"/>
    <b v="1"/>
    <n v="42.658164640145635"/>
    <n v="40000"/>
    <x v="0"/>
    <n v="2"/>
    <n v="177457.96490300584"/>
  </r>
  <r>
    <x v="10"/>
    <s v="Scranton Branch"/>
    <x v="11"/>
    <x v="5"/>
    <b v="1"/>
    <n v="37.607403806679848"/>
    <n v="30000"/>
    <x v="0"/>
    <n v="1"/>
    <n v="78223.399917894087"/>
  </r>
  <r>
    <x v="9"/>
    <s v="Stamford Branch"/>
    <x v="11"/>
    <x v="5"/>
    <b v="1"/>
    <n v="34.424482924292647"/>
    <n v="30000"/>
    <x v="0"/>
    <n v="1"/>
    <n v="71602.924482528702"/>
  </r>
  <r>
    <x v="4"/>
    <s v="Utica Branch"/>
    <x v="11"/>
    <x v="5"/>
    <b v="1"/>
    <n v="33.565432547164882"/>
    <n v="30000"/>
    <x v="0"/>
    <n v="1"/>
    <n v="69816.09969810296"/>
  </r>
  <r>
    <x v="2"/>
    <s v="Buffalo Branch"/>
    <x v="11"/>
    <x v="5"/>
    <b v="1"/>
    <n v="38.660932508598684"/>
    <n v="30000"/>
    <x v="0"/>
    <n v="1"/>
    <n v="80414.739617885265"/>
  </r>
  <r>
    <x v="6"/>
    <s v="Rochester Branch"/>
    <x v="11"/>
    <x v="5"/>
    <b v="1"/>
    <n v="40.834552469231575"/>
    <n v="30000"/>
    <x v="0"/>
    <n v="1"/>
    <n v="84935.869136001682"/>
  </r>
  <r>
    <x v="5"/>
    <s v="Albany Branch"/>
    <x v="11"/>
    <x v="5"/>
    <b v="1"/>
    <n v="42.410903382315965"/>
    <n v="30000"/>
    <x v="0"/>
    <n v="1"/>
    <n v="88214.67903521721"/>
  </r>
  <r>
    <x v="12"/>
    <s v="Akron Branch"/>
    <x v="11"/>
    <x v="5"/>
    <b v="1"/>
    <n v="29.437243435476802"/>
    <n v="30000"/>
    <x v="0"/>
    <n v="1"/>
    <n v="61229.466345791749"/>
  </r>
  <r>
    <x v="7"/>
    <s v="Cambden Branch"/>
    <x v="11"/>
    <x v="5"/>
    <b v="1"/>
    <n v="34.211955184890101"/>
    <n v="30000"/>
    <x v="0"/>
    <n v="1"/>
    <n v="71160.866784571408"/>
  </r>
  <r>
    <x v="11"/>
    <s v="Nashua Branch"/>
    <x v="11"/>
    <x v="5"/>
    <b v="1"/>
    <n v="39.926060045112536"/>
    <n v="30000"/>
    <x v="0"/>
    <n v="1"/>
    <n v="83046.204893834074"/>
  </r>
  <r>
    <x v="8"/>
    <s v="Yonkers Branch"/>
    <x v="11"/>
    <x v="5"/>
    <b v="1"/>
    <n v="41.500510828535134"/>
    <n v="30000"/>
    <x v="0"/>
    <n v="1"/>
    <n v="86321.062523353074"/>
  </r>
  <r>
    <x v="1"/>
    <s v="Pittsfield Branch"/>
    <x v="11"/>
    <x v="5"/>
    <b v="1"/>
    <n v="41.93719302631466"/>
    <n v="30000"/>
    <x v="0"/>
    <n v="1"/>
    <n v="87229.36149473449"/>
  </r>
  <r>
    <x v="3"/>
    <s v="Binghampton Branch"/>
    <x v="11"/>
    <x v="5"/>
    <b v="1"/>
    <n v="42.457218928448583"/>
    <n v="30000"/>
    <x v="0"/>
    <n v="1"/>
    <n v="88311.015371173053"/>
  </r>
  <r>
    <x v="9"/>
    <s v="Eastern Region"/>
    <x v="12"/>
    <x v="6"/>
    <b v="1"/>
    <n v="53.897169875064677"/>
    <n v="40000"/>
    <x v="0"/>
    <n v="1"/>
    <n v="112106.11334013453"/>
  </r>
  <r>
    <x v="2"/>
    <s v="Western Region"/>
    <x v="12"/>
    <x v="6"/>
    <b v="1"/>
    <n v="56.028604137351067"/>
    <n v="40000"/>
    <x v="0"/>
    <n v="1"/>
    <n v="116539.49660569022"/>
  </r>
  <r>
    <x v="5"/>
    <s v="Northern Region"/>
    <x v="12"/>
    <x v="6"/>
    <b v="1"/>
    <n v="47.009004054369157"/>
    <n v="40000"/>
    <x v="0"/>
    <n v="1"/>
    <n v="97778.728433087846"/>
  </r>
  <r>
    <x v="3"/>
    <s v="Southern Region"/>
    <x v="12"/>
    <x v="6"/>
    <b v="1"/>
    <n v="54.056292740714561"/>
    <n v="40000"/>
    <x v="0"/>
    <n v="1"/>
    <n v="112437.08890068629"/>
  </r>
  <r>
    <x v="13"/>
    <s v="Infinity"/>
    <x v="12"/>
    <x v="6"/>
    <b v="1"/>
    <n v="42.910687114350402"/>
    <n v="40000"/>
    <x v="0"/>
    <n v="3"/>
    <n v="267762.68759354652"/>
  </r>
  <r>
    <x v="13"/>
    <s v="Corporate Supply Chain"/>
    <x v="13"/>
    <x v="7"/>
    <b v="1"/>
    <n v="36.227751342518914"/>
    <n v="30000"/>
    <x v="0"/>
    <n v="2"/>
    <n v="150707.44558487867"/>
  </r>
  <r>
    <x v="10"/>
    <s v="Scranton Branch"/>
    <x v="14"/>
    <x v="7"/>
    <b v="1"/>
    <n v="24.674231261859571"/>
    <n v="20000"/>
    <x v="0"/>
    <n v="1"/>
    <n v="51322.40102466791"/>
  </r>
  <r>
    <x v="9"/>
    <s v="Stamford Branch"/>
    <x v="14"/>
    <x v="7"/>
    <b v="1"/>
    <n v="19.82403011752309"/>
    <n v="20000"/>
    <x v="0"/>
    <n v="1"/>
    <n v="41233.982644448028"/>
  </r>
  <r>
    <x v="2"/>
    <s v="Buffalo Branch"/>
    <x v="14"/>
    <x v="7"/>
    <b v="1"/>
    <n v="22.747382330191908"/>
    <n v="20000"/>
    <x v="0"/>
    <n v="1"/>
    <n v="47314.555246799166"/>
  </r>
  <r>
    <x v="6"/>
    <s v="Rochester Branch"/>
    <x v="14"/>
    <x v="7"/>
    <b v="1"/>
    <n v="28.526953665789048"/>
    <n v="20000"/>
    <x v="0"/>
    <n v="1"/>
    <n v="59336.063624841219"/>
  </r>
  <r>
    <x v="5"/>
    <s v="Albany Branch"/>
    <x v="14"/>
    <x v="7"/>
    <b v="1"/>
    <n v="28.124500938249618"/>
    <n v="20000"/>
    <x v="0"/>
    <n v="1"/>
    <n v="58498.961951559206"/>
  </r>
  <r>
    <x v="12"/>
    <s v="Akron Branch"/>
    <x v="14"/>
    <x v="7"/>
    <b v="1"/>
    <n v="28.669769511054625"/>
    <n v="20000"/>
    <x v="0"/>
    <n v="1"/>
    <n v="59633.120582993623"/>
  </r>
  <r>
    <x v="11"/>
    <s v="Nashua Branch"/>
    <x v="14"/>
    <x v="7"/>
    <b v="1"/>
    <n v="20.329317584592395"/>
    <n v="20000"/>
    <x v="0"/>
    <n v="1"/>
    <n v="42284.980575952184"/>
  </r>
  <r>
    <x v="1"/>
    <s v="Pittsfield Branch"/>
    <x v="14"/>
    <x v="7"/>
    <b v="1"/>
    <n v="26.159423950179658"/>
    <n v="20000"/>
    <x v="0"/>
    <n v="1"/>
    <n v="54411.601816373688"/>
  </r>
  <r>
    <x v="3"/>
    <s v="Binghampton Branch"/>
    <x v="14"/>
    <x v="7"/>
    <b v="1"/>
    <n v="23.07988348455503"/>
    <n v="20000"/>
    <x v="0"/>
    <n v="1"/>
    <n v="48006.157647874461"/>
  </r>
  <r>
    <x v="13"/>
    <s v="Corporate Leadership"/>
    <x v="15"/>
    <x v="8"/>
    <b v="1"/>
    <n v="19.232642493764423"/>
    <n v="15000"/>
    <x v="0"/>
    <n v="3"/>
    <n v="120011.68916109001"/>
  </r>
  <r>
    <x v="10"/>
    <s v="Scranton Branch"/>
    <x v="15"/>
    <x v="8"/>
    <b v="1"/>
    <n v="14.766268475896782"/>
    <n v="15000"/>
    <x v="0"/>
    <n v="1"/>
    <n v="30713.838429865307"/>
  </r>
  <r>
    <x v="9"/>
    <s v="Stamford Branch"/>
    <x v="15"/>
    <x v="8"/>
    <b v="1"/>
    <n v="19.164411879645193"/>
    <n v="15000"/>
    <x v="0"/>
    <n v="1"/>
    <n v="39861.976709662005"/>
  </r>
  <r>
    <x v="4"/>
    <s v="Utica Branch"/>
    <x v="15"/>
    <x v="8"/>
    <b v="1"/>
    <n v="17.179557302654786"/>
    <n v="15000"/>
    <x v="0"/>
    <n v="1"/>
    <n v="35733.479189521953"/>
  </r>
  <r>
    <x v="2"/>
    <s v="Buffalo Branch"/>
    <x v="15"/>
    <x v="8"/>
    <b v="1"/>
    <n v="19.250964185211732"/>
    <n v="15000"/>
    <x v="0"/>
    <n v="1"/>
    <n v="40042.005505240406"/>
  </r>
  <r>
    <x v="6"/>
    <s v="Rochester Branch"/>
    <x v="15"/>
    <x v="8"/>
    <b v="1"/>
    <n v="16.492153073098976"/>
    <n v="15000"/>
    <x v="0"/>
    <n v="1"/>
    <n v="34303.678392045869"/>
  </r>
  <r>
    <x v="5"/>
    <s v="Albany Branch"/>
    <x v="15"/>
    <x v="8"/>
    <b v="1"/>
    <n v="17.557090815609914"/>
    <n v="15000"/>
    <x v="0"/>
    <n v="1"/>
    <n v="36518.74889646862"/>
  </r>
  <r>
    <x v="12"/>
    <s v="Akron Branch"/>
    <x v="15"/>
    <x v="8"/>
    <b v="1"/>
    <n v="15.249507555029933"/>
    <n v="15000"/>
    <x v="0"/>
    <n v="1"/>
    <n v="31718.97571446226"/>
  </r>
  <r>
    <x v="7"/>
    <s v="Cambden Branch"/>
    <x v="15"/>
    <x v="8"/>
    <b v="1"/>
    <n v="20.43600156516063"/>
    <n v="15000"/>
    <x v="0"/>
    <n v="1"/>
    <n v="42506.883255534114"/>
  </r>
  <r>
    <x v="11"/>
    <s v="Nashua Branch"/>
    <x v="15"/>
    <x v="8"/>
    <b v="1"/>
    <n v="14.43662046682897"/>
    <n v="15000"/>
    <x v="0"/>
    <n v="1"/>
    <n v="30028.170571004259"/>
  </r>
  <r>
    <x v="8"/>
    <s v="Yonkers Branch"/>
    <x v="15"/>
    <x v="8"/>
    <b v="1"/>
    <n v="16.773152471145679"/>
    <n v="15000"/>
    <x v="0"/>
    <n v="1"/>
    <n v="34888.157139983014"/>
  </r>
  <r>
    <x v="1"/>
    <s v="Pittsfield Branch"/>
    <x v="15"/>
    <x v="8"/>
    <b v="1"/>
    <n v="18.185122418938963"/>
    <n v="15000"/>
    <x v="0"/>
    <n v="1"/>
    <n v="37825.054631393046"/>
  </r>
  <r>
    <x v="0"/>
    <s v="Syracuse Branch"/>
    <x v="15"/>
    <x v="8"/>
    <b v="1"/>
    <n v="17.842732314832862"/>
    <n v="15000"/>
    <x v="0"/>
    <n v="1"/>
    <n v="37112.883214852351"/>
  </r>
  <r>
    <x v="3"/>
    <s v="Binghampton Branch"/>
    <x v="15"/>
    <x v="8"/>
    <b v="1"/>
    <n v="20.147406887537237"/>
    <n v="15000"/>
    <x v="0"/>
    <n v="1"/>
    <n v="41906.606326077454"/>
  </r>
  <r>
    <x v="10"/>
    <s v="Scranton Branch"/>
    <x v="16"/>
    <x v="9"/>
    <b v="1"/>
    <n v="53.355933680911697"/>
    <n v="50000"/>
    <x v="0"/>
    <n v="1"/>
    <n v="110980.34205629633"/>
  </r>
  <r>
    <x v="9"/>
    <s v="Stamford Branch"/>
    <x v="16"/>
    <x v="9"/>
    <b v="1"/>
    <n v="51.876054540910509"/>
    <n v="50000"/>
    <x v="0"/>
    <n v="1"/>
    <n v="107902.19344509386"/>
  </r>
  <r>
    <x v="4"/>
    <s v="Utica Branch"/>
    <x v="16"/>
    <x v="9"/>
    <b v="1"/>
    <n v="57.687557002136082"/>
    <n v="50000"/>
    <x v="0"/>
    <n v="1"/>
    <n v="119990.11856444305"/>
  </r>
  <r>
    <x v="2"/>
    <s v="Buffalo Branch"/>
    <x v="16"/>
    <x v="9"/>
    <b v="1"/>
    <n v="51.338388539628752"/>
    <n v="50000"/>
    <x v="0"/>
    <n v="1"/>
    <n v="106783.84816242781"/>
  </r>
  <r>
    <x v="6"/>
    <s v="Rochester Branch"/>
    <x v="16"/>
    <x v="9"/>
    <b v="1"/>
    <n v="70.587474434473165"/>
    <n v="50000"/>
    <x v="0"/>
    <n v="1"/>
    <n v="146821.94682370417"/>
  </r>
  <r>
    <x v="5"/>
    <s v="Albany Branch"/>
    <x v="16"/>
    <x v="9"/>
    <b v="1"/>
    <n v="60.342391365015288"/>
    <n v="50000"/>
    <x v="0"/>
    <n v="1"/>
    <n v="125512.1740392318"/>
  </r>
  <r>
    <x v="12"/>
    <s v="Akron Branch"/>
    <x v="16"/>
    <x v="9"/>
    <b v="1"/>
    <n v="71.208639117099807"/>
    <n v="50000"/>
    <x v="0"/>
    <n v="1"/>
    <n v="148113.96936356759"/>
  </r>
  <r>
    <x v="7"/>
    <s v="Cambden Branch"/>
    <x v="16"/>
    <x v="9"/>
    <b v="1"/>
    <n v="54.911005267058023"/>
    <n v="50000"/>
    <x v="0"/>
    <n v="1"/>
    <n v="114214.89095548069"/>
  </r>
  <r>
    <x v="11"/>
    <s v="Nashua Branch"/>
    <x v="16"/>
    <x v="9"/>
    <b v="1"/>
    <n v="66.232676901423986"/>
    <n v="50000"/>
    <x v="0"/>
    <n v="1"/>
    <n v="137763.9679549619"/>
  </r>
  <r>
    <x v="8"/>
    <s v="Yonkers Branch"/>
    <x v="16"/>
    <x v="9"/>
    <b v="1"/>
    <n v="56.278361229043902"/>
    <n v="50000"/>
    <x v="0"/>
    <n v="1"/>
    <n v="117058.99135641132"/>
  </r>
  <r>
    <x v="1"/>
    <s v="Pittsfield Branch"/>
    <x v="16"/>
    <x v="9"/>
    <b v="1"/>
    <n v="51.458821610648108"/>
    <n v="50000"/>
    <x v="0"/>
    <n v="1"/>
    <n v="107034.34895014807"/>
  </r>
  <r>
    <x v="0"/>
    <s v="Syracuse Branch"/>
    <x v="16"/>
    <x v="9"/>
    <b v="1"/>
    <n v="58.417508111389438"/>
    <n v="50000"/>
    <x v="0"/>
    <n v="1"/>
    <n v="121508.41687169003"/>
  </r>
  <r>
    <x v="3"/>
    <s v="Binghampton Branch"/>
    <x v="16"/>
    <x v="9"/>
    <b v="1"/>
    <n v="58.078854401946593"/>
    <n v="50000"/>
    <x v="0"/>
    <n v="1"/>
    <n v="120804.01715604891"/>
  </r>
  <r>
    <x v="9"/>
    <s v="Eastern Region"/>
    <x v="17"/>
    <x v="1"/>
    <b v="1"/>
    <n v="50.869774449547684"/>
    <n v="40000"/>
    <x v="0"/>
    <n v="3"/>
    <n v="317427.39256517752"/>
  </r>
  <r>
    <x v="2"/>
    <s v="Western Region"/>
    <x v="17"/>
    <x v="1"/>
    <b v="1"/>
    <n v="53.80294480977836"/>
    <n v="40000"/>
    <x v="0"/>
    <n v="2"/>
    <n v="223820.25040867797"/>
  </r>
  <r>
    <x v="5"/>
    <s v="Northern Region"/>
    <x v="17"/>
    <x v="1"/>
    <b v="1"/>
    <n v="49.08763083888693"/>
    <n v="40000"/>
    <x v="0"/>
    <n v="2"/>
    <n v="204204.54428976963"/>
  </r>
  <r>
    <x v="3"/>
    <s v="Southern Region"/>
    <x v="17"/>
    <x v="1"/>
    <b v="1"/>
    <n v="43.678485345278531"/>
    <n v="40000"/>
    <x v="0"/>
    <n v="2"/>
    <n v="181702.4990363587"/>
  </r>
  <r>
    <x v="10"/>
    <s v="Scranton Sales"/>
    <x v="18"/>
    <x v="1"/>
    <b v="1"/>
    <n v="39.64434505428035"/>
    <n v="30000"/>
    <x v="0"/>
    <n v="4"/>
    <n v="329840.95085161249"/>
  </r>
  <r>
    <x v="9"/>
    <s v="Stamford Sales"/>
    <x v="18"/>
    <x v="1"/>
    <b v="1"/>
    <n v="33.935790384740116"/>
    <n v="30000"/>
    <x v="0"/>
    <n v="7"/>
    <n v="494105.10800181609"/>
  </r>
  <r>
    <x v="4"/>
    <s v="Utica Sales"/>
    <x v="18"/>
    <x v="1"/>
    <b v="1"/>
    <n v="35.10584905570434"/>
    <n v="30000"/>
    <x v="0"/>
    <n v="3"/>
    <n v="219060.49810759508"/>
  </r>
  <r>
    <x v="2"/>
    <s v="Buffalo Sales"/>
    <x v="18"/>
    <x v="1"/>
    <b v="1"/>
    <n v="35.793342463072136"/>
    <n v="30000"/>
    <x v="0"/>
    <n v="7"/>
    <n v="521151.06626233034"/>
  </r>
  <r>
    <x v="6"/>
    <s v="Rochester Sales"/>
    <x v="18"/>
    <x v="1"/>
    <b v="1"/>
    <n v="37.485658569441462"/>
    <n v="30000"/>
    <x v="0"/>
    <n v="6"/>
    <n v="467821.01894662948"/>
  </r>
  <r>
    <x v="5"/>
    <s v="Albany Sales"/>
    <x v="18"/>
    <x v="1"/>
    <b v="1"/>
    <n v="36.016917546104736"/>
    <n v="30000"/>
    <x v="0"/>
    <n v="5"/>
    <n v="374575.94247948925"/>
  </r>
  <r>
    <x v="12"/>
    <s v="Akron Sales"/>
    <x v="18"/>
    <x v="1"/>
    <b v="1"/>
    <n v="39.283037161779248"/>
    <n v="30000"/>
    <x v="0"/>
    <n v="5"/>
    <n v="408543.58648250415"/>
  </r>
  <r>
    <x v="7"/>
    <s v="Cambden Sales"/>
    <x v="18"/>
    <x v="1"/>
    <b v="1"/>
    <n v="35.434470132574198"/>
    <n v="30000"/>
    <x v="0"/>
    <n v="3"/>
    <n v="221111.09362726298"/>
  </r>
  <r>
    <x v="11"/>
    <s v="Nashua Sales"/>
    <x v="18"/>
    <x v="1"/>
    <b v="1"/>
    <n v="33.881058840309393"/>
    <n v="30000"/>
    <x v="0"/>
    <n v="4"/>
    <n v="281890.40955137415"/>
  </r>
  <r>
    <x v="8"/>
    <s v="Yonkers Sales"/>
    <x v="18"/>
    <x v="1"/>
    <b v="1"/>
    <n v="35.396797636657567"/>
    <n v="30000"/>
    <x v="0"/>
    <n v="5"/>
    <n v="368126.69542123872"/>
  </r>
  <r>
    <x v="1"/>
    <s v="Pittsfield Sales"/>
    <x v="18"/>
    <x v="1"/>
    <b v="1"/>
    <n v="37.419293084576339"/>
    <n v="30000"/>
    <x v="0"/>
    <n v="3"/>
    <n v="233496.38884775635"/>
  </r>
  <r>
    <x v="0"/>
    <s v="Syracuse Sales"/>
    <x v="18"/>
    <x v="1"/>
    <b v="1"/>
    <n v="38.305598207815031"/>
    <n v="30000"/>
    <x v="0"/>
    <n v="2"/>
    <n v="159351.28854451052"/>
  </r>
  <r>
    <x v="3"/>
    <s v="Binghampton Sales"/>
    <x v="18"/>
    <x v="1"/>
    <b v="1"/>
    <n v="35.166062268370716"/>
    <n v="30000"/>
    <x v="0"/>
    <n v="3"/>
    <n v="219436.22855463324"/>
  </r>
  <r>
    <x v="13"/>
    <s v="Corporate Supply Chain"/>
    <x v="19"/>
    <x v="10"/>
    <b v="1"/>
    <n v="32.718112651195625"/>
    <n v="30000"/>
    <x v="0"/>
    <n v="4"/>
    <n v="272214.69725794758"/>
  </r>
  <r>
    <x v="10"/>
    <s v="Scranton Branch"/>
    <x v="20"/>
    <x v="10"/>
    <b v="1"/>
    <n v="22.512262745578379"/>
    <n v="20000"/>
    <x v="0"/>
    <n v="1"/>
    <n v="46825.506510803032"/>
  </r>
  <r>
    <x v="9"/>
    <s v="Stamford Branch"/>
    <x v="20"/>
    <x v="10"/>
    <b v="1"/>
    <n v="21.551349690148115"/>
    <n v="20000"/>
    <x v="0"/>
    <n v="2"/>
    <n v="89653.614711016155"/>
  </r>
  <r>
    <x v="2"/>
    <s v="Buffalo Branch"/>
    <x v="20"/>
    <x v="10"/>
    <b v="1"/>
    <n v="24.27260143793908"/>
    <n v="20000"/>
    <x v="0"/>
    <n v="2"/>
    <n v="100974.02198182658"/>
  </r>
  <r>
    <x v="6"/>
    <s v="Rochester Branch"/>
    <x v="20"/>
    <x v="10"/>
    <b v="1"/>
    <n v="23.741862887827754"/>
    <n v="20000"/>
    <x v="0"/>
    <n v="2"/>
    <n v="98766.14961336345"/>
  </r>
  <r>
    <x v="5"/>
    <s v="Albany Branch"/>
    <x v="20"/>
    <x v="10"/>
    <b v="1"/>
    <n v="21.498358505023344"/>
    <n v="20000"/>
    <x v="0"/>
    <n v="2"/>
    <n v="89433.171380897111"/>
  </r>
  <r>
    <x v="12"/>
    <s v="Akron Branch"/>
    <x v="20"/>
    <x v="10"/>
    <b v="1"/>
    <n v="24.846329788179084"/>
    <n v="20000"/>
    <x v="0"/>
    <n v="2"/>
    <n v="103360.73191882498"/>
  </r>
  <r>
    <x v="11"/>
    <s v="Nashua Branch"/>
    <x v="20"/>
    <x v="10"/>
    <b v="1"/>
    <n v="20.179250178046928"/>
    <n v="20000"/>
    <x v="0"/>
    <n v="1"/>
    <n v="41972.84037033761"/>
  </r>
  <r>
    <x v="1"/>
    <s v="Pittsfield Branch"/>
    <x v="20"/>
    <x v="10"/>
    <b v="1"/>
    <n v="19.9926077275978"/>
    <n v="20000"/>
    <x v="0"/>
    <n v="2"/>
    <n v="83169.248146806844"/>
  </r>
  <r>
    <x v="3"/>
    <s v="Binghampton Branch"/>
    <x v="20"/>
    <x v="10"/>
    <b v="1"/>
    <n v="27.644018311016723"/>
    <n v="20000"/>
    <x v="0"/>
    <n v="2"/>
    <n v="114999.11617382956"/>
  </r>
  <r>
    <x v="13"/>
    <s v="Corporate Finance"/>
    <x v="21"/>
    <x v="0"/>
    <b v="1"/>
    <n v="84.327563274930469"/>
    <n v="100000"/>
    <x v="0"/>
    <n v="2"/>
    <n v="350802.66322371073"/>
  </r>
  <r>
    <x v="9"/>
    <s v="Eastern Region"/>
    <x v="21"/>
    <x v="11"/>
    <b v="1"/>
    <n v="80.978050285990776"/>
    <n v="100000"/>
    <x v="0"/>
    <n v="1"/>
    <n v="168434.3445948608"/>
  </r>
  <r>
    <x v="2"/>
    <s v="Western Region"/>
    <x v="21"/>
    <x v="11"/>
    <b v="1"/>
    <n v="95.428889207880502"/>
    <n v="100000"/>
    <x v="0"/>
    <n v="1"/>
    <n v="198492.08955239144"/>
  </r>
  <r>
    <x v="5"/>
    <s v="Northern Region"/>
    <x v="21"/>
    <x v="11"/>
    <b v="1"/>
    <n v="97.097954373123102"/>
    <n v="100000"/>
    <x v="0"/>
    <n v="1"/>
    <n v="201963.74509609604"/>
  </r>
  <r>
    <x v="3"/>
    <s v="Southern Region"/>
    <x v="21"/>
    <x v="11"/>
    <b v="1"/>
    <n v="83.022026975773741"/>
    <n v="100000"/>
    <x v="0"/>
    <n v="1"/>
    <n v="172685.81610960938"/>
  </r>
  <r>
    <x v="13"/>
    <s v="Corporate Marketing"/>
    <x v="21"/>
    <x v="11"/>
    <b v="1"/>
    <n v="74.13152414926715"/>
    <n v="100000"/>
    <x v="0"/>
    <n v="1"/>
    <n v="154193.57023047569"/>
  </r>
  <r>
    <x v="13"/>
    <s v="Corporate HR"/>
    <x v="21"/>
    <x v="11"/>
    <b v="1"/>
    <n v="87.918587204674537"/>
    <n v="100000"/>
    <x v="0"/>
    <n v="1"/>
    <n v="182870.66138572304"/>
  </r>
  <r>
    <x v="13"/>
    <s v="Infinity"/>
    <x v="21"/>
    <x v="11"/>
    <b v="1"/>
    <n v="98.554210872596414"/>
    <n v="100000"/>
    <x v="0"/>
    <n v="1"/>
    <n v="204992.75861500055"/>
  </r>
  <r>
    <x v="13"/>
    <s v="Corporate Supply Chain"/>
    <x v="21"/>
    <x v="11"/>
    <b v="1"/>
    <n v="74.470190184390773"/>
    <n v="100000"/>
    <x v="0"/>
    <n v="1"/>
    <n v="154897.99558353281"/>
  </r>
  <r>
    <x v="13"/>
    <s v="Corporate IT"/>
    <x v="21"/>
    <x v="11"/>
    <b v="1"/>
    <n v="88.47526588916017"/>
    <n v="100000"/>
    <x v="0"/>
    <n v="1"/>
    <n v="184028.55304945316"/>
  </r>
  <r>
    <x v="13"/>
    <s v="Corporate Customer Service"/>
    <x v="21"/>
    <x v="11"/>
    <b v="1"/>
    <n v="78.904146728235176"/>
    <n v="100000"/>
    <x v="0"/>
    <n v="1"/>
    <n v="164120.62519472916"/>
  </r>
  <r>
    <x v="12"/>
    <s v="Akron Warehouse"/>
    <x v="22"/>
    <x v="12"/>
    <b v="1"/>
    <n v="12.58812700413927"/>
    <n v="10000"/>
    <x v="1"/>
    <n v="6"/>
    <n v="157099.8250116581"/>
  </r>
  <r>
    <x v="12"/>
    <s v="Akron Warehouse"/>
    <x v="22"/>
    <x v="12"/>
    <b v="1"/>
    <n v="11.758211452307116"/>
    <n v="10000"/>
    <x v="2"/>
    <n v="7"/>
    <n v="171199.55874559161"/>
  </r>
  <r>
    <x v="12"/>
    <s v="Akron Warehouse"/>
    <x v="23"/>
    <x v="12"/>
    <b v="1"/>
    <n v="20.422816368365211"/>
    <n v="15000"/>
    <x v="1"/>
    <n v="1"/>
    <n v="42479.458046199637"/>
  </r>
  <r>
    <x v="12"/>
    <s v="Akron Warehouse"/>
    <x v="23"/>
    <x v="12"/>
    <b v="1"/>
    <n v="18.026607883526761"/>
    <n v="15000"/>
    <x v="2"/>
    <n v="1"/>
    <n v="37495.344397735666"/>
  </r>
  <r>
    <x v="12"/>
    <s v="Akron Warehouse"/>
    <x v="24"/>
    <x v="12"/>
    <b v="1"/>
    <n v="32.95853676629325"/>
    <n v="25000"/>
    <x v="0"/>
    <n v="1"/>
    <n v="68553.756473889953"/>
  </r>
  <r>
    <x v="5"/>
    <s v="Albany Warehouse"/>
    <x v="22"/>
    <x v="12"/>
    <b v="1"/>
    <n v="12.057204077756941"/>
    <n v="10000"/>
    <x v="1"/>
    <n v="9"/>
    <n v="225710.86033560993"/>
  </r>
  <r>
    <x v="5"/>
    <s v="Albany Warehouse"/>
    <x v="22"/>
    <x v="12"/>
    <b v="1"/>
    <n v="12.40413632355672"/>
    <n v="10000"/>
    <x v="2"/>
    <n v="8"/>
    <n v="206404.82842398382"/>
  </r>
  <r>
    <x v="5"/>
    <s v="Albany Warehouse"/>
    <x v="23"/>
    <x v="12"/>
    <b v="1"/>
    <n v="18.929341374192539"/>
    <n v="15000"/>
    <x v="1"/>
    <n v="1"/>
    <n v="39373.030058320481"/>
  </r>
  <r>
    <x v="5"/>
    <s v="Albany Warehouse"/>
    <x v="23"/>
    <x v="12"/>
    <b v="1"/>
    <n v="15.001505016330249"/>
    <n v="15000"/>
    <x v="2"/>
    <n v="1"/>
    <n v="31203.130433966919"/>
  </r>
  <r>
    <x v="5"/>
    <s v="Albany Warehouse"/>
    <x v="24"/>
    <x v="12"/>
    <b v="1"/>
    <n v="35.176909308324767"/>
    <n v="25000"/>
    <x v="0"/>
    <n v="1"/>
    <n v="73167.971361315518"/>
  </r>
  <r>
    <x v="3"/>
    <s v="Binghampton Warehouse"/>
    <x v="22"/>
    <x v="12"/>
    <b v="1"/>
    <n v="11.420087530258577"/>
    <n v="10000"/>
    <x v="1"/>
    <n v="5"/>
    <n v="118768.9103146892"/>
  </r>
  <r>
    <x v="3"/>
    <s v="Binghampton Warehouse"/>
    <x v="22"/>
    <x v="12"/>
    <b v="1"/>
    <n v="12.057627174891161"/>
    <n v="10000"/>
    <x v="2"/>
    <n v="6"/>
    <n v="150479.18714264169"/>
  </r>
  <r>
    <x v="3"/>
    <s v="Binghampton Warehouse"/>
    <x v="23"/>
    <x v="12"/>
    <b v="1"/>
    <n v="18.329041828413132"/>
    <n v="15000"/>
    <x v="1"/>
    <n v="1"/>
    <n v="38124.407003099317"/>
  </r>
  <r>
    <x v="3"/>
    <s v="Binghampton Warehouse"/>
    <x v="23"/>
    <x v="12"/>
    <b v="1"/>
    <n v="19.467225400243148"/>
    <n v="15000"/>
    <x v="2"/>
    <n v="1"/>
    <n v="40491.828832505751"/>
  </r>
  <r>
    <x v="3"/>
    <s v="Binghampton Warehouse"/>
    <x v="24"/>
    <x v="12"/>
    <b v="1"/>
    <n v="33.57463226137363"/>
    <n v="25000"/>
    <x v="0"/>
    <n v="1"/>
    <n v="69835.235103657149"/>
  </r>
  <r>
    <x v="2"/>
    <s v="Buffalo Warehouse"/>
    <x v="22"/>
    <x v="12"/>
    <b v="1"/>
    <n v="11.05755630081379"/>
    <n v="10000"/>
    <x v="1"/>
    <n v="10"/>
    <n v="229997.1710569268"/>
  </r>
  <r>
    <x v="2"/>
    <s v="Buffalo Warehouse"/>
    <x v="22"/>
    <x v="12"/>
    <b v="1"/>
    <n v="12.667779911110411"/>
    <n v="10000"/>
    <x v="2"/>
    <n v="9"/>
    <n v="237140.83993598691"/>
  </r>
  <r>
    <x v="2"/>
    <s v="Buffalo Warehouse"/>
    <x v="23"/>
    <x v="12"/>
    <b v="1"/>
    <n v="19.894261530058348"/>
    <n v="15000"/>
    <x v="1"/>
    <n v="1"/>
    <n v="41380.063982521366"/>
  </r>
  <r>
    <x v="2"/>
    <s v="Buffalo Warehouse"/>
    <x v="23"/>
    <x v="12"/>
    <b v="1"/>
    <n v="19.488511007328906"/>
    <n v="15000"/>
    <x v="2"/>
    <n v="1"/>
    <n v="40536.102895244127"/>
  </r>
  <r>
    <x v="2"/>
    <s v="Buffalo Warehouse"/>
    <x v="24"/>
    <x v="12"/>
    <b v="1"/>
    <n v="25.202421452724057"/>
    <n v="25000"/>
    <x v="0"/>
    <n v="1"/>
    <n v="52421.03662166604"/>
  </r>
  <r>
    <x v="11"/>
    <s v="Nashua Warehouse"/>
    <x v="22"/>
    <x v="12"/>
    <b v="1"/>
    <n v="11.123882539175527"/>
    <n v="10000"/>
    <x v="1"/>
    <n v="3"/>
    <n v="69413.027044455288"/>
  </r>
  <r>
    <x v="11"/>
    <s v="Nashua Warehouse"/>
    <x v="22"/>
    <x v="12"/>
    <b v="1"/>
    <n v="10.939323734580112"/>
    <n v="10000"/>
    <x v="2"/>
    <n v="3"/>
    <n v="68261.380103779898"/>
  </r>
  <r>
    <x v="11"/>
    <s v="Nashua Warehouse"/>
    <x v="23"/>
    <x v="12"/>
    <b v="1"/>
    <n v="19.265650711701497"/>
    <n v="15000"/>
    <x v="1"/>
    <n v="1"/>
    <n v="40072.553480339113"/>
  </r>
  <r>
    <x v="11"/>
    <s v="Nashua Warehouse"/>
    <x v="23"/>
    <x v="12"/>
    <b v="1"/>
    <n v="16.358643088176439"/>
    <n v="15000"/>
    <x v="2"/>
    <n v="1"/>
    <n v="34025.977623406994"/>
  </r>
  <r>
    <x v="11"/>
    <s v="Nashua Warehouse"/>
    <x v="24"/>
    <x v="12"/>
    <b v="1"/>
    <n v="32.916116859024946"/>
    <n v="25000"/>
    <x v="0"/>
    <n v="1"/>
    <n v="68465.523066771886"/>
  </r>
  <r>
    <x v="1"/>
    <s v="Pittsfield Warehouse"/>
    <x v="22"/>
    <x v="12"/>
    <b v="1"/>
    <n v="11.78208057531425"/>
    <n v="10000"/>
    <x v="1"/>
    <n v="5"/>
    <n v="122533.63798326821"/>
  </r>
  <r>
    <x v="1"/>
    <s v="Pittsfield Warehouse"/>
    <x v="22"/>
    <x v="12"/>
    <b v="1"/>
    <n v="13.00232536884921"/>
    <n v="10000"/>
    <x v="2"/>
    <n v="6"/>
    <n v="162269.02060323811"/>
  </r>
  <r>
    <x v="1"/>
    <s v="Pittsfield Warehouse"/>
    <x v="23"/>
    <x v="12"/>
    <b v="1"/>
    <n v="18.673323358298326"/>
    <n v="15000"/>
    <x v="1"/>
    <n v="1"/>
    <n v="38840.51258526052"/>
  </r>
  <r>
    <x v="1"/>
    <s v="Pittsfield Warehouse"/>
    <x v="23"/>
    <x v="12"/>
    <b v="1"/>
    <n v="16.099478887693607"/>
    <n v="15000"/>
    <x v="2"/>
    <n v="1"/>
    <n v="33486.9160864027"/>
  </r>
  <r>
    <x v="1"/>
    <s v="Pittsfield Warehouse"/>
    <x v="24"/>
    <x v="12"/>
    <b v="1"/>
    <n v="33.29972971400128"/>
    <n v="25000"/>
    <x v="0"/>
    <n v="1"/>
    <n v="69263.437805122667"/>
  </r>
  <r>
    <x v="6"/>
    <s v="Rochester Warehouse"/>
    <x v="22"/>
    <x v="12"/>
    <b v="1"/>
    <n v="11.515821296970051"/>
    <n v="10000"/>
    <x v="1"/>
    <n v="4"/>
    <n v="95811.633190790832"/>
  </r>
  <r>
    <x v="6"/>
    <s v="Rochester Warehouse"/>
    <x v="22"/>
    <x v="12"/>
    <b v="1"/>
    <n v="11.783492222854116"/>
    <n v="10000"/>
    <x v="2"/>
    <n v="5"/>
    <n v="122548.31911768281"/>
  </r>
  <r>
    <x v="6"/>
    <s v="Rochester Warehouse"/>
    <x v="23"/>
    <x v="12"/>
    <b v="1"/>
    <n v="14.585651038366738"/>
    <n v="15000"/>
    <x v="1"/>
    <n v="1"/>
    <n v="30338.154159802816"/>
  </r>
  <r>
    <x v="6"/>
    <s v="Rochester Warehouse"/>
    <x v="23"/>
    <x v="12"/>
    <b v="1"/>
    <n v="20.282868693680715"/>
    <n v="15000"/>
    <x v="2"/>
    <n v="1"/>
    <n v="42188.366882855888"/>
  </r>
  <r>
    <x v="6"/>
    <s v="Rochester Warehouse"/>
    <x v="24"/>
    <x v="12"/>
    <b v="1"/>
    <n v="33.275885952131368"/>
    <n v="25000"/>
    <x v="0"/>
    <n v="1"/>
    <n v="69213.842780433246"/>
  </r>
  <r>
    <x v="10"/>
    <s v="Scranton Warehouse"/>
    <x v="22"/>
    <x v="12"/>
    <b v="1"/>
    <n v="11.623176899591545"/>
    <n v="10000"/>
    <x v="1"/>
    <n v="4"/>
    <n v="96704.83180460165"/>
  </r>
  <r>
    <x v="10"/>
    <s v="Scranton Warehouse"/>
    <x v="22"/>
    <x v="12"/>
    <b v="1"/>
    <n v="12.374545152436013"/>
    <n v="10000"/>
    <x v="2"/>
    <n v="4"/>
    <n v="102956.21566826763"/>
  </r>
  <r>
    <x v="10"/>
    <s v="Scranton Warehouse"/>
    <x v="23"/>
    <x v="12"/>
    <b v="1"/>
    <n v="18.490338246541167"/>
    <n v="15000"/>
    <x v="1"/>
    <n v="1"/>
    <n v="38459.903552805627"/>
  </r>
  <r>
    <x v="10"/>
    <s v="Scranton Warehouse"/>
    <x v="23"/>
    <x v="12"/>
    <b v="1"/>
    <n v="16.532122495248551"/>
    <n v="15000"/>
    <x v="2"/>
    <n v="1"/>
    <n v="34386.814790116987"/>
  </r>
  <r>
    <x v="10"/>
    <s v="Scranton Warehouse"/>
    <x v="24"/>
    <x v="12"/>
    <b v="1"/>
    <n v="28.192536688993361"/>
    <n v="25000"/>
    <x v="0"/>
    <n v="1"/>
    <n v="58640.476313106192"/>
  </r>
  <r>
    <x v="9"/>
    <s v="Stamford Warehouse"/>
    <x v="22"/>
    <x v="12"/>
    <b v="1"/>
    <n v="12.724059699787498"/>
    <n v="10000"/>
    <x v="1"/>
    <n v="6"/>
    <n v="158796.26505334798"/>
  </r>
  <r>
    <x v="9"/>
    <s v="Stamford Warehouse"/>
    <x v="22"/>
    <x v="12"/>
    <b v="1"/>
    <n v="11.332632305443681"/>
    <n v="10000"/>
    <x v="2"/>
    <n v="7"/>
    <n v="165003.12636726"/>
  </r>
  <r>
    <x v="9"/>
    <s v="Stamford Warehouse"/>
    <x v="23"/>
    <x v="12"/>
    <b v="1"/>
    <n v="20.010992446371866"/>
    <n v="15000"/>
    <x v="1"/>
    <n v="1"/>
    <n v="41622.864288453478"/>
  </r>
  <r>
    <x v="9"/>
    <s v="Stamford Warehouse"/>
    <x v="23"/>
    <x v="12"/>
    <b v="1"/>
    <n v="18.088694086633836"/>
    <n v="15000"/>
    <x v="2"/>
    <n v="1"/>
    <n v="37624.483700198383"/>
  </r>
  <r>
    <x v="9"/>
    <s v="Stamford Warehouse"/>
    <x v="24"/>
    <x v="12"/>
    <b v="1"/>
    <n v="27.498422724916068"/>
    <n v="25000"/>
    <x v="0"/>
    <n v="1"/>
    <n v="57196.719267825421"/>
  </r>
  <r>
    <x v="14"/>
    <m/>
    <x v="25"/>
    <x v="13"/>
    <m/>
    <m/>
    <m/>
    <x v="3"/>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Location">
  <location ref="D224:H228" firstHeaderRow="1" firstDataRow="3" firstDataCol="1"/>
  <pivotFields count="11">
    <pivotField axis="axisCol" showAll="0">
      <items count="16">
        <item h="1" x="12"/>
        <item h="1" x="5"/>
        <item h="1" x="3"/>
        <item x="2"/>
        <item h="1" x="7"/>
        <item h="1" x="11"/>
        <item h="1" x="13"/>
        <item h="1" x="1"/>
        <item h="1" x="6"/>
        <item h="1" x="10"/>
        <item h="1" x="9"/>
        <item h="1" x="0"/>
        <item h="1" x="4"/>
        <item h="1" x="8"/>
        <item h="1" x="14"/>
        <item t="default"/>
      </items>
    </pivotField>
    <pivotField showAll="0"/>
    <pivotField axis="axisRow" showAll="0">
      <items count="27">
        <item x="0"/>
        <item x="3"/>
        <item x="4"/>
        <item x="6"/>
        <item x="7"/>
        <item x="5"/>
        <item x="8"/>
        <item x="9"/>
        <item x="10"/>
        <item x="11"/>
        <item x="2"/>
        <item x="12"/>
        <item x="13"/>
        <item x="14"/>
        <item x="15"/>
        <item x="16"/>
        <item x="1"/>
        <item x="17"/>
        <item x="18"/>
        <item x="19"/>
        <item x="20"/>
        <item x="21"/>
        <item x="22"/>
        <item x="23"/>
        <item x="24"/>
        <item x="25"/>
        <item t="default"/>
      </items>
    </pivotField>
    <pivotField axis="axisRow" showAll="0">
      <items count="15">
        <item sd="0" x="2"/>
        <item sd="0" x="3"/>
        <item sd="0" x="0"/>
        <item sd="0" x="4"/>
        <item sd="0" x="5"/>
        <item sd="0" x="6"/>
        <item sd="0" x="7"/>
        <item sd="0" x="8"/>
        <item sd="0" x="9"/>
        <item sd="0" x="11"/>
        <item sd="0" x="1"/>
        <item sd="0" x="10"/>
        <item sd="0" x="12"/>
        <item sd="0" x="13"/>
        <item t="default" sd="0"/>
      </items>
    </pivotField>
    <pivotField showAll="0"/>
    <pivotField showAll="0"/>
    <pivotField showAll="0"/>
    <pivotField showAll="0">
      <items count="5">
        <item h="1" x="0"/>
        <item x="1"/>
        <item h="1" x="2"/>
        <item h="1" x="3"/>
        <item t="default"/>
      </items>
    </pivotField>
    <pivotField dataField="1" showAll="0"/>
    <pivotField showAll="0" defaultSubtotal="0"/>
    <pivotField dataField="1" dragToRow="0" dragToCol="0" dragToPage="0" showAll="0" defaultSubtotal="0"/>
  </pivotFields>
  <rowFields count="2">
    <field x="3"/>
    <field x="2"/>
  </rowFields>
  <rowItems count="2">
    <i>
      <x v="12"/>
    </i>
    <i t="grand">
      <x/>
    </i>
  </rowItems>
  <colFields count="2">
    <field x="0"/>
    <field x="-2"/>
  </colFields>
  <colItems count="4">
    <i>
      <x v="3"/>
      <x/>
    </i>
    <i r="1" i="1">
      <x v="1"/>
    </i>
    <i t="grand">
      <x/>
    </i>
    <i t="grand" i="1">
      <x/>
    </i>
  </colItems>
  <dataFields count="2">
    <dataField name="Sum of HeadCount" fld="8" baseField="0" baseItem="0" numFmtId="165"/>
    <dataField name="Base Employement Cost" fld="10" baseField="0" baseItem="0" numFmtId="165"/>
  </dataFields>
  <formats count="8">
    <format dxfId="7">
      <pivotArea grandCol="1" outline="0" collapsedLevelsAreSubtotals="1" fieldPosition="0"/>
    </format>
    <format dxfId="6">
      <pivotArea grandCol="1" outline="0" collapsedLevelsAreSubtotals="1" fieldPosition="0"/>
    </format>
    <format dxfId="5">
      <pivotArea field="0" grandRow="1" outline="0" collapsedLevelsAreSubtotals="1" axis="axisCol" fieldPosition="0">
        <references count="1">
          <reference field="0" count="0" selected="0"/>
        </references>
      </pivotArea>
    </format>
    <format dxfId="4">
      <pivotArea field="0" grandRow="1" outline="0" collapsedLevelsAreSubtotals="1" axis="axisCol" fieldPosition="0">
        <references count="1">
          <reference field="0" count="0" selected="0"/>
        </references>
      </pivotArea>
    </format>
    <format dxfId="3">
      <pivotArea dataOnly="0" labelOnly="1" grandRow="1" outline="0" fieldPosition="0"/>
    </format>
    <format dxfId="2">
      <pivotArea dataOnly="0" labelOnly="1" grandRow="1" outline="0" fieldPosition="0"/>
    </format>
    <format dxfId="1">
      <pivotArea dataOnly="0" grandCol="1" outline="0" fieldPosition="0"/>
    </format>
    <format dxfId="0">
      <pivotArea dataOnly="0" grandCol="1" outline="0"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14:K160" firstHeaderRow="1" firstDataRow="2" firstDataCol="1"/>
  <pivotFields count="9">
    <pivotField axis="axisRow" showAll="0">
      <items count="15">
        <item x="6"/>
        <item x="5"/>
        <item x="12"/>
        <item x="3"/>
        <item x="7"/>
        <item x="8"/>
        <item x="13"/>
        <item x="10"/>
        <item x="4"/>
        <item x="0"/>
        <item x="1"/>
        <item x="11"/>
        <item x="2"/>
        <item x="9"/>
        <item t="default"/>
      </items>
    </pivotField>
    <pivotField showAll="0"/>
    <pivotField showAll="0"/>
    <pivotField axis="axisRow" showAll="0">
      <items count="14">
        <item x="2"/>
        <item x="3"/>
        <item x="0"/>
        <item x="4"/>
        <item x="5"/>
        <item x="6"/>
        <item x="7"/>
        <item x="8"/>
        <item x="9"/>
        <item x="11"/>
        <item x="1"/>
        <item x="10"/>
        <item x="12"/>
        <item t="default"/>
      </items>
    </pivotField>
    <pivotField showAll="0"/>
    <pivotField numFmtId="165" showAll="0"/>
    <pivotField numFmtId="165" showAll="0"/>
    <pivotField axis="axisCol" showAll="0">
      <items count="4">
        <item x="0"/>
        <item x="1"/>
        <item x="2"/>
        <item t="default"/>
      </items>
    </pivotField>
    <pivotField dataField="1" numFmtId="1" showAll="0"/>
  </pivotFields>
  <rowFields count="2">
    <field x="0"/>
    <field x="3"/>
  </rowFields>
  <rowItems count="145">
    <i>
      <x/>
    </i>
    <i r="1">
      <x v="1"/>
    </i>
    <i r="1">
      <x v="2"/>
    </i>
    <i r="1">
      <x v="3"/>
    </i>
    <i r="1">
      <x v="4"/>
    </i>
    <i r="1">
      <x v="6"/>
    </i>
    <i r="1">
      <x v="7"/>
    </i>
    <i r="1">
      <x v="8"/>
    </i>
    <i r="1">
      <x v="10"/>
    </i>
    <i r="1">
      <x v="11"/>
    </i>
    <i r="1">
      <x v="12"/>
    </i>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4"/>
    </i>
    <i r="1">
      <x v="7"/>
    </i>
    <i r="1">
      <x v="8"/>
    </i>
    <i r="1">
      <x v="10"/>
    </i>
    <i>
      <x v="5"/>
    </i>
    <i r="1">
      <x v="1"/>
    </i>
    <i r="1">
      <x v="2"/>
    </i>
    <i r="1">
      <x v="3"/>
    </i>
    <i r="1">
      <x v="4"/>
    </i>
    <i r="1">
      <x v="6"/>
    </i>
    <i r="1">
      <x v="7"/>
    </i>
    <i r="1">
      <x v="8"/>
    </i>
    <i r="1">
      <x v="10"/>
    </i>
    <i r="1">
      <x v="11"/>
    </i>
    <i r="1">
      <x v="12"/>
    </i>
    <i>
      <x v="6"/>
    </i>
    <i r="1">
      <x/>
    </i>
    <i r="1">
      <x v="1"/>
    </i>
    <i r="1">
      <x v="2"/>
    </i>
    <i r="1">
      <x v="3"/>
    </i>
    <i r="1">
      <x v="4"/>
    </i>
    <i r="1">
      <x v="5"/>
    </i>
    <i r="1">
      <x v="6"/>
    </i>
    <i r="1">
      <x v="7"/>
    </i>
    <i r="1">
      <x v="9"/>
    </i>
    <i r="1">
      <x v="11"/>
    </i>
    <i>
      <x v="7"/>
    </i>
    <i r="1">
      <x v="1"/>
    </i>
    <i r="1">
      <x v="2"/>
    </i>
    <i r="1">
      <x v="3"/>
    </i>
    <i r="1">
      <x v="4"/>
    </i>
    <i r="1">
      <x v="6"/>
    </i>
    <i r="1">
      <x v="7"/>
    </i>
    <i r="1">
      <x v="8"/>
    </i>
    <i r="1">
      <x v="10"/>
    </i>
    <i r="1">
      <x v="11"/>
    </i>
    <i r="1">
      <x v="12"/>
    </i>
    <i>
      <x v="8"/>
    </i>
    <i r="1">
      <x v="1"/>
    </i>
    <i r="1">
      <x v="2"/>
    </i>
    <i r="1">
      <x v="3"/>
    </i>
    <i r="1">
      <x v="4"/>
    </i>
    <i r="1">
      <x v="6"/>
    </i>
    <i r="1">
      <x v="7"/>
    </i>
    <i r="1">
      <x v="8"/>
    </i>
    <i r="1">
      <x v="10"/>
    </i>
    <i r="1">
      <x v="11"/>
    </i>
    <i r="1">
      <x v="12"/>
    </i>
    <i>
      <x v="9"/>
    </i>
    <i r="1">
      <x v="1"/>
    </i>
    <i r="1">
      <x v="2"/>
    </i>
    <i r="1">
      <x v="3"/>
    </i>
    <i r="1">
      <x v="4"/>
    </i>
    <i r="1">
      <x v="6"/>
    </i>
    <i r="1">
      <x v="7"/>
    </i>
    <i r="1">
      <x v="8"/>
    </i>
    <i r="1">
      <x v="10"/>
    </i>
    <i r="1">
      <x v="11"/>
    </i>
    <i r="1">
      <x v="12"/>
    </i>
    <i>
      <x v="10"/>
    </i>
    <i r="1">
      <x v="1"/>
    </i>
    <i r="1">
      <x v="2"/>
    </i>
    <i r="1">
      <x v="3"/>
    </i>
    <i r="1">
      <x v="4"/>
    </i>
    <i r="1">
      <x v="5"/>
    </i>
    <i r="1">
      <x v="6"/>
    </i>
    <i r="1">
      <x v="7"/>
    </i>
    <i r="1">
      <x v="8"/>
    </i>
    <i r="1">
      <x v="9"/>
    </i>
    <i r="1">
      <x v="10"/>
    </i>
    <i r="1">
      <x v="11"/>
    </i>
    <i r="1">
      <x v="12"/>
    </i>
    <i>
      <x v="11"/>
    </i>
    <i r="1">
      <x v="2"/>
    </i>
    <i r="1">
      <x v="7"/>
    </i>
    <i r="1">
      <x v="8"/>
    </i>
    <i r="1">
      <x v="10"/>
    </i>
    <i>
      <x v="12"/>
    </i>
    <i r="1">
      <x v="1"/>
    </i>
    <i r="1">
      <x v="2"/>
    </i>
    <i r="1">
      <x v="4"/>
    </i>
    <i r="1">
      <x v="7"/>
    </i>
    <i r="1">
      <x v="8"/>
    </i>
    <i r="1">
      <x v="10"/>
    </i>
    <i>
      <x v="13"/>
    </i>
    <i r="1">
      <x v="1"/>
    </i>
    <i r="1">
      <x v="2"/>
    </i>
    <i r="1">
      <x v="4"/>
    </i>
    <i r="1">
      <x v="7"/>
    </i>
    <i r="1">
      <x v="8"/>
    </i>
    <i r="1">
      <x v="10"/>
    </i>
    <i t="grand">
      <x/>
    </i>
  </rowItems>
  <colFields count="1">
    <field x="7"/>
  </colFields>
  <colItems count="4">
    <i>
      <x/>
    </i>
    <i>
      <x v="1"/>
    </i>
    <i>
      <x v="2"/>
    </i>
    <i t="grand">
      <x/>
    </i>
  </colItems>
  <dataFields count="1">
    <dataField name="Sum of HeadCount" fld="8"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LocationName" sourceName="LocationName">
  <pivotTables>
    <pivotTable tabId="7" name="PivotTable2"/>
  </pivotTables>
  <data>
    <tabular pivotCacheId="2">
      <items count="15">
        <i x="12"/>
        <i x="5"/>
        <i x="3"/>
        <i x="2" s="1"/>
        <i x="11"/>
        <i x="1"/>
        <i x="6"/>
        <i x="10"/>
        <i x="9"/>
        <i x="7" nd="1"/>
        <i x="13" nd="1"/>
        <i x="0" nd="1"/>
        <i x="4" nd="1"/>
        <i x="8" nd="1"/>
        <i x="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hiftCd" sourceName="ShiftCd">
  <pivotTables>
    <pivotTable tabId="7" name="PivotTable2"/>
  </pivotTables>
  <data>
    <tabular pivotCacheId="2">
      <items count="4">
        <i x="0"/>
        <i x="1" s="1"/>
        <i x="2"/>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LocationName" cache="Slicer_LocationName" caption="LocationName" rowHeight="196850"/>
  <slicer name="ShiftCd" cache="Slicer_ShiftCd" caption="ShiftCd" rowHeight="196850"/>
</slicers>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printerSettings" Target="../printerSettings/printerSettings4.bin"/><Relationship Id="rId7" Type="http://schemas.openxmlformats.org/officeDocument/2006/relationships/ctrlProp" Target="../ctrlProps/ctrlProp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microsoft.com/office/2007/relationships/slicer" Target="../slicers/slicer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
  <sheetViews>
    <sheetView showGridLines="0" tabSelected="1" workbookViewId="0">
      <selection activeCell="C7" sqref="C7"/>
    </sheetView>
  </sheetViews>
  <sheetFormatPr defaultRowHeight="11.5"/>
  <sheetData>
    <row r="1" spans="1:1" ht="18">
      <c r="A1" s="3" t="s">
        <v>0</v>
      </c>
    </row>
    <row r="2" spans="1:1" ht="18">
      <c r="A2" s="3" t="s">
        <v>173</v>
      </c>
    </row>
    <row r="3" spans="1:1" ht="18">
      <c r="A3" s="3"/>
    </row>
    <row r="4" spans="1:1" ht="13">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96"/>
  <sheetViews>
    <sheetView showGridLines="0" zoomScale="90" zoomScaleNormal="90" workbookViewId="0"/>
  </sheetViews>
  <sheetFormatPr defaultColWidth="9" defaultRowHeight="11.5"/>
  <cols>
    <col min="1" max="1" width="9" style="5"/>
    <col min="2" max="2" width="19.8984375" style="5" bestFit="1" customWidth="1"/>
    <col min="3" max="3" width="27.09765625" style="5" bestFit="1" customWidth="1"/>
    <col min="4" max="4" width="27.8984375" style="5" bestFit="1" customWidth="1"/>
    <col min="5" max="5" width="27.8984375" style="5" customWidth="1"/>
    <col min="6" max="6" width="30.3984375" style="5" bestFit="1" customWidth="1"/>
    <col min="7" max="7" width="24.3984375" style="5" bestFit="1" customWidth="1"/>
    <col min="8" max="8" width="24.3984375" style="5" customWidth="1"/>
    <col min="9" max="9" width="20.3984375" style="5" customWidth="1"/>
    <col min="10" max="10" width="15.3984375" style="5" bestFit="1" customWidth="1"/>
    <col min="11" max="12" width="23.09765625" style="5" customWidth="1"/>
    <col min="13" max="13" width="11.09765625" style="5" bestFit="1" customWidth="1"/>
    <col min="14" max="16384" width="9" style="5"/>
  </cols>
  <sheetData>
    <row r="1" spans="1:11" ht="13">
      <c r="A1" s="4" t="str">
        <f>'Cover Page'!A1</f>
        <v>Problem Solving With Excel</v>
      </c>
    </row>
    <row r="2" spans="1:11" ht="13">
      <c r="A2" s="4" t="str">
        <f>'Cover Page'!A2</f>
        <v>Week 3 project</v>
      </c>
    </row>
    <row r="3" spans="1:11" ht="13">
      <c r="A3" s="4"/>
    </row>
    <row r="4" spans="1:11" ht="13">
      <c r="A4" s="4"/>
    </row>
    <row r="6" spans="1:11">
      <c r="B6" s="11"/>
    </row>
    <row r="7" spans="1:11" ht="12" thickBot="1"/>
    <row r="8" spans="1:11" ht="15.5">
      <c r="B8" s="6" t="s">
        <v>2</v>
      </c>
      <c r="C8" s="7" t="s">
        <v>3</v>
      </c>
      <c r="D8" s="7" t="s">
        <v>4</v>
      </c>
      <c r="E8" s="7" t="s">
        <v>115</v>
      </c>
      <c r="F8" s="8" t="s">
        <v>5</v>
      </c>
      <c r="G8" s="8" t="s">
        <v>6</v>
      </c>
      <c r="H8" s="8" t="s">
        <v>116</v>
      </c>
      <c r="I8" s="8" t="s">
        <v>7</v>
      </c>
      <c r="J8" s="8" t="s">
        <v>8</v>
      </c>
      <c r="K8" s="34" t="s">
        <v>163</v>
      </c>
    </row>
    <row r="9" spans="1:11">
      <c r="B9" s="13" t="s">
        <v>89</v>
      </c>
      <c r="C9" s="9" t="s">
        <v>90</v>
      </c>
      <c r="D9" s="9" t="s">
        <v>31</v>
      </c>
      <c r="E9" s="9" t="s">
        <v>114</v>
      </c>
      <c r="F9" s="10" t="b">
        <v>1</v>
      </c>
      <c r="G9" s="10">
        <v>14.43662046682897</v>
      </c>
      <c r="H9" s="10">
        <v>15000</v>
      </c>
      <c r="I9" s="10" t="s">
        <v>12</v>
      </c>
      <c r="J9" s="12">
        <v>1</v>
      </c>
      <c r="K9" s="12">
        <f t="shared" ref="K9:K40" si="0">J9*G9*2080</f>
        <v>30028.170571004259</v>
      </c>
    </row>
    <row r="10" spans="1:11">
      <c r="B10" s="13" t="s">
        <v>71</v>
      </c>
      <c r="C10" s="9" t="s">
        <v>75</v>
      </c>
      <c r="D10" s="9" t="s">
        <v>50</v>
      </c>
      <c r="E10" s="9" t="s">
        <v>133</v>
      </c>
      <c r="F10" s="10" t="b">
        <v>1</v>
      </c>
      <c r="G10" s="10">
        <v>14.585651038366738</v>
      </c>
      <c r="H10" s="10">
        <v>15000</v>
      </c>
      <c r="I10" s="10" t="s">
        <v>51</v>
      </c>
      <c r="J10" s="12">
        <v>1</v>
      </c>
      <c r="K10" s="12">
        <f t="shared" si="0"/>
        <v>30338.154159802816</v>
      </c>
    </row>
    <row r="11" spans="1:11">
      <c r="B11" s="13" t="s">
        <v>39</v>
      </c>
      <c r="C11" s="9" t="s">
        <v>40</v>
      </c>
      <c r="D11" s="9" t="s">
        <v>31</v>
      </c>
      <c r="E11" s="9" t="s">
        <v>114</v>
      </c>
      <c r="F11" s="10" t="b">
        <v>1</v>
      </c>
      <c r="G11" s="10">
        <v>14.766268475896782</v>
      </c>
      <c r="H11" s="10">
        <v>15000</v>
      </c>
      <c r="I11" s="10" t="s">
        <v>12</v>
      </c>
      <c r="J11" s="12">
        <v>1</v>
      </c>
      <c r="K11" s="12">
        <f t="shared" si="0"/>
        <v>30713.838429865307</v>
      </c>
    </row>
    <row r="12" spans="1:11">
      <c r="B12" s="13" t="s">
        <v>20</v>
      </c>
      <c r="C12" s="9" t="s">
        <v>79</v>
      </c>
      <c r="D12" s="9" t="s">
        <v>50</v>
      </c>
      <c r="E12" s="9" t="s">
        <v>133</v>
      </c>
      <c r="F12" s="10" t="b">
        <v>1</v>
      </c>
      <c r="G12" s="10">
        <v>15.001505016330249</v>
      </c>
      <c r="H12" s="10">
        <v>15000</v>
      </c>
      <c r="I12" s="10" t="s">
        <v>53</v>
      </c>
      <c r="J12" s="12">
        <v>1</v>
      </c>
      <c r="K12" s="12">
        <f t="shared" si="0"/>
        <v>31203.130433966919</v>
      </c>
    </row>
    <row r="13" spans="1:11">
      <c r="B13" s="13" t="s">
        <v>80</v>
      </c>
      <c r="C13" s="9" t="s">
        <v>81</v>
      </c>
      <c r="D13" s="9" t="s">
        <v>31</v>
      </c>
      <c r="E13" s="9" t="s">
        <v>114</v>
      </c>
      <c r="F13" s="10" t="b">
        <v>1</v>
      </c>
      <c r="G13" s="10">
        <v>15.249507555029933</v>
      </c>
      <c r="H13" s="10">
        <v>15000</v>
      </c>
      <c r="I13" s="10" t="s">
        <v>12</v>
      </c>
      <c r="J13" s="12">
        <v>1</v>
      </c>
      <c r="K13" s="12">
        <f t="shared" si="0"/>
        <v>31718.97571446226</v>
      </c>
    </row>
    <row r="14" spans="1:11">
      <c r="B14" s="13" t="s">
        <v>98</v>
      </c>
      <c r="C14" s="9" t="s">
        <v>102</v>
      </c>
      <c r="D14" s="9" t="s">
        <v>50</v>
      </c>
      <c r="E14" s="9" t="s">
        <v>133</v>
      </c>
      <c r="F14" s="10" t="b">
        <v>1</v>
      </c>
      <c r="G14" s="10">
        <v>16.099478887693607</v>
      </c>
      <c r="H14" s="10">
        <v>15000</v>
      </c>
      <c r="I14" s="10" t="s">
        <v>53</v>
      </c>
      <c r="J14" s="12">
        <v>1</v>
      </c>
      <c r="K14" s="12">
        <f t="shared" si="0"/>
        <v>33486.9160864027</v>
      </c>
    </row>
    <row r="15" spans="1:11">
      <c r="B15" s="13" t="s">
        <v>89</v>
      </c>
      <c r="C15" s="9" t="s">
        <v>93</v>
      </c>
      <c r="D15" s="9" t="s">
        <v>50</v>
      </c>
      <c r="E15" s="9" t="s">
        <v>133</v>
      </c>
      <c r="F15" s="10" t="b">
        <v>1</v>
      </c>
      <c r="G15" s="10">
        <v>16.358643088176439</v>
      </c>
      <c r="H15" s="10">
        <v>15000</v>
      </c>
      <c r="I15" s="10" t="s">
        <v>53</v>
      </c>
      <c r="J15" s="12">
        <v>1</v>
      </c>
      <c r="K15" s="12">
        <f t="shared" si="0"/>
        <v>34025.977623406994</v>
      </c>
    </row>
    <row r="16" spans="1:11">
      <c r="B16" s="13" t="s">
        <v>71</v>
      </c>
      <c r="C16" s="9" t="s">
        <v>72</v>
      </c>
      <c r="D16" s="9" t="s">
        <v>31</v>
      </c>
      <c r="E16" s="9" t="s">
        <v>114</v>
      </c>
      <c r="F16" s="10" t="b">
        <v>1</v>
      </c>
      <c r="G16" s="10">
        <v>16.492153073098976</v>
      </c>
      <c r="H16" s="10">
        <v>15000</v>
      </c>
      <c r="I16" s="10" t="s">
        <v>12</v>
      </c>
      <c r="J16" s="12">
        <v>1</v>
      </c>
      <c r="K16" s="12">
        <f t="shared" si="0"/>
        <v>34303.678392045869</v>
      </c>
    </row>
    <row r="17" spans="2:12">
      <c r="B17" s="13" t="s">
        <v>39</v>
      </c>
      <c r="C17" s="9" t="s">
        <v>48</v>
      </c>
      <c r="D17" s="9" t="s">
        <v>50</v>
      </c>
      <c r="E17" s="9" t="s">
        <v>133</v>
      </c>
      <c r="F17" s="10" t="b">
        <v>1</v>
      </c>
      <c r="G17" s="10">
        <v>16.532122495248551</v>
      </c>
      <c r="H17" s="10">
        <v>15000</v>
      </c>
      <c r="I17" s="10" t="s">
        <v>53</v>
      </c>
      <c r="J17" s="12">
        <v>1</v>
      </c>
      <c r="K17" s="12">
        <f t="shared" si="0"/>
        <v>34386.814790116987</v>
      </c>
    </row>
    <row r="18" spans="2:12">
      <c r="B18" s="13" t="s">
        <v>94</v>
      </c>
      <c r="C18" s="9" t="s">
        <v>95</v>
      </c>
      <c r="D18" s="9" t="s">
        <v>31</v>
      </c>
      <c r="E18" s="9" t="s">
        <v>114</v>
      </c>
      <c r="F18" s="10" t="b">
        <v>1</v>
      </c>
      <c r="G18" s="10">
        <v>16.773152471145679</v>
      </c>
      <c r="H18" s="10">
        <v>15000</v>
      </c>
      <c r="I18" s="10" t="s">
        <v>12</v>
      </c>
      <c r="J18" s="12">
        <v>1</v>
      </c>
      <c r="K18" s="12">
        <f t="shared" si="0"/>
        <v>34888.157139983014</v>
      </c>
    </row>
    <row r="19" spans="2:12">
      <c r="B19" s="13" t="s">
        <v>63</v>
      </c>
      <c r="C19" s="9" t="s">
        <v>64</v>
      </c>
      <c r="D19" s="9" t="s">
        <v>31</v>
      </c>
      <c r="E19" s="9" t="s">
        <v>114</v>
      </c>
      <c r="F19" s="10" t="b">
        <v>1</v>
      </c>
      <c r="G19" s="10">
        <v>17.179557302654786</v>
      </c>
      <c r="H19" s="10">
        <v>15000</v>
      </c>
      <c r="I19" s="10" t="s">
        <v>12</v>
      </c>
      <c r="J19" s="12">
        <v>1</v>
      </c>
      <c r="K19" s="12">
        <f t="shared" si="0"/>
        <v>35733.479189521953</v>
      </c>
    </row>
    <row r="20" spans="2:12">
      <c r="B20" s="13" t="s">
        <v>20</v>
      </c>
      <c r="C20" s="9" t="s">
        <v>76</v>
      </c>
      <c r="D20" s="9" t="s">
        <v>31</v>
      </c>
      <c r="E20" s="9" t="s">
        <v>114</v>
      </c>
      <c r="F20" s="10" t="b">
        <v>1</v>
      </c>
      <c r="G20" s="10">
        <v>17.557090815609914</v>
      </c>
      <c r="H20" s="10">
        <v>15000</v>
      </c>
      <c r="I20" s="10" t="s">
        <v>12</v>
      </c>
      <c r="J20" s="12">
        <v>1</v>
      </c>
      <c r="K20" s="12">
        <f t="shared" si="0"/>
        <v>36518.74889646862</v>
      </c>
    </row>
    <row r="21" spans="2:12">
      <c r="B21" s="13" t="s">
        <v>103</v>
      </c>
      <c r="C21" s="9" t="s">
        <v>104</v>
      </c>
      <c r="D21" s="9" t="s">
        <v>31</v>
      </c>
      <c r="E21" s="9" t="s">
        <v>114</v>
      </c>
      <c r="F21" s="10" t="b">
        <v>1</v>
      </c>
      <c r="G21" s="10">
        <v>17.842732314832862</v>
      </c>
      <c r="H21" s="10">
        <v>15000</v>
      </c>
      <c r="I21" s="10" t="s">
        <v>12</v>
      </c>
      <c r="J21" s="12">
        <v>1</v>
      </c>
      <c r="K21" s="12">
        <f t="shared" si="0"/>
        <v>37112.883214852351</v>
      </c>
      <c r="L21" s="33"/>
    </row>
    <row r="22" spans="2:12">
      <c r="B22" s="13" t="s">
        <v>80</v>
      </c>
      <c r="C22" s="9" t="s">
        <v>84</v>
      </c>
      <c r="D22" s="9" t="s">
        <v>50</v>
      </c>
      <c r="E22" s="9" t="s">
        <v>133</v>
      </c>
      <c r="F22" s="10" t="b">
        <v>1</v>
      </c>
      <c r="G22" s="10">
        <v>18.026607883526761</v>
      </c>
      <c r="H22" s="10">
        <v>15000</v>
      </c>
      <c r="I22" s="10" t="s">
        <v>53</v>
      </c>
      <c r="J22" s="12">
        <v>1</v>
      </c>
      <c r="K22" s="12">
        <f t="shared" si="0"/>
        <v>37495.344397735666</v>
      </c>
    </row>
    <row r="23" spans="2:12">
      <c r="B23" s="13" t="s">
        <v>16</v>
      </c>
      <c r="C23" s="9" t="s">
        <v>62</v>
      </c>
      <c r="D23" s="9" t="s">
        <v>50</v>
      </c>
      <c r="E23" s="9" t="s">
        <v>133</v>
      </c>
      <c r="F23" s="10" t="b">
        <v>1</v>
      </c>
      <c r="G23" s="10">
        <v>18.088694086633836</v>
      </c>
      <c r="H23" s="10">
        <v>15000</v>
      </c>
      <c r="I23" s="10" t="s">
        <v>53</v>
      </c>
      <c r="J23" s="12">
        <v>1</v>
      </c>
      <c r="K23" s="12">
        <f t="shared" si="0"/>
        <v>37624.483700198383</v>
      </c>
    </row>
    <row r="24" spans="2:12">
      <c r="B24" s="13" t="s">
        <v>98</v>
      </c>
      <c r="C24" s="9" t="s">
        <v>99</v>
      </c>
      <c r="D24" s="9" t="s">
        <v>31</v>
      </c>
      <c r="E24" s="9" t="s">
        <v>114</v>
      </c>
      <c r="F24" s="10" t="b">
        <v>1</v>
      </c>
      <c r="G24" s="10">
        <v>18.185122418938963</v>
      </c>
      <c r="H24" s="10">
        <v>15000</v>
      </c>
      <c r="I24" s="10" t="s">
        <v>12</v>
      </c>
      <c r="J24" s="12">
        <v>1</v>
      </c>
      <c r="K24" s="12">
        <f t="shared" si="0"/>
        <v>37825.054631393046</v>
      </c>
    </row>
    <row r="25" spans="2:12">
      <c r="B25" s="13" t="s">
        <v>22</v>
      </c>
      <c r="C25" s="9" t="s">
        <v>110</v>
      </c>
      <c r="D25" s="9" t="s">
        <v>50</v>
      </c>
      <c r="E25" s="9" t="s">
        <v>133</v>
      </c>
      <c r="F25" s="10" t="b">
        <v>1</v>
      </c>
      <c r="G25" s="10">
        <v>18.329041828413132</v>
      </c>
      <c r="H25" s="10">
        <v>15000</v>
      </c>
      <c r="I25" s="10" t="s">
        <v>51</v>
      </c>
      <c r="J25" s="12">
        <v>1</v>
      </c>
      <c r="K25" s="12">
        <f t="shared" si="0"/>
        <v>38124.407003099317</v>
      </c>
    </row>
    <row r="26" spans="2:12">
      <c r="B26" s="13" t="s">
        <v>39</v>
      </c>
      <c r="C26" s="9" t="s">
        <v>48</v>
      </c>
      <c r="D26" s="9" t="s">
        <v>50</v>
      </c>
      <c r="E26" s="9" t="s">
        <v>133</v>
      </c>
      <c r="F26" s="10" t="b">
        <v>1</v>
      </c>
      <c r="G26" s="10">
        <v>18.490338246541167</v>
      </c>
      <c r="H26" s="10">
        <v>15000</v>
      </c>
      <c r="I26" s="10" t="s">
        <v>51</v>
      </c>
      <c r="J26" s="12">
        <v>1</v>
      </c>
      <c r="K26" s="12">
        <f t="shared" si="0"/>
        <v>38459.903552805627</v>
      </c>
    </row>
    <row r="27" spans="2:12">
      <c r="B27" s="13" t="s">
        <v>98</v>
      </c>
      <c r="C27" s="9" t="s">
        <v>102</v>
      </c>
      <c r="D27" s="9" t="s">
        <v>50</v>
      </c>
      <c r="E27" s="9" t="s">
        <v>133</v>
      </c>
      <c r="F27" s="10" t="b">
        <v>1</v>
      </c>
      <c r="G27" s="10">
        <v>18.673323358298326</v>
      </c>
      <c r="H27" s="10">
        <v>15000</v>
      </c>
      <c r="I27" s="10" t="s">
        <v>51</v>
      </c>
      <c r="J27" s="12">
        <v>1</v>
      </c>
      <c r="K27" s="12">
        <f t="shared" si="0"/>
        <v>38840.51258526052</v>
      </c>
      <c r="L27" s="33"/>
    </row>
    <row r="28" spans="2:12">
      <c r="B28" s="13" t="s">
        <v>20</v>
      </c>
      <c r="C28" s="9" t="s">
        <v>79</v>
      </c>
      <c r="D28" s="9" t="s">
        <v>50</v>
      </c>
      <c r="E28" s="9" t="s">
        <v>133</v>
      </c>
      <c r="F28" s="10" t="b">
        <v>1</v>
      </c>
      <c r="G28" s="10">
        <v>18.929341374192539</v>
      </c>
      <c r="H28" s="10">
        <v>15000</v>
      </c>
      <c r="I28" s="10" t="s">
        <v>51</v>
      </c>
      <c r="J28" s="12">
        <v>1</v>
      </c>
      <c r="K28" s="12">
        <f t="shared" si="0"/>
        <v>39373.030058320481</v>
      </c>
    </row>
    <row r="29" spans="2:12">
      <c r="B29" s="13" t="s">
        <v>16</v>
      </c>
      <c r="C29" s="9" t="s">
        <v>59</v>
      </c>
      <c r="D29" s="9" t="s">
        <v>31</v>
      </c>
      <c r="E29" s="9" t="s">
        <v>114</v>
      </c>
      <c r="F29" s="10" t="b">
        <v>1</v>
      </c>
      <c r="G29" s="10">
        <v>19.164411879645193</v>
      </c>
      <c r="H29" s="10">
        <v>15000</v>
      </c>
      <c r="I29" s="10" t="s">
        <v>12</v>
      </c>
      <c r="J29" s="12">
        <v>1</v>
      </c>
      <c r="K29" s="12">
        <f t="shared" si="0"/>
        <v>39861.976709662005</v>
      </c>
    </row>
    <row r="30" spans="2:12">
      <c r="B30" s="13" t="s">
        <v>18</v>
      </c>
      <c r="C30" s="9" t="s">
        <v>67</v>
      </c>
      <c r="D30" s="9" t="s">
        <v>31</v>
      </c>
      <c r="E30" s="9" t="s">
        <v>114</v>
      </c>
      <c r="F30" s="10" t="b">
        <v>1</v>
      </c>
      <c r="G30" s="10">
        <v>19.250964185211732</v>
      </c>
      <c r="H30" s="10">
        <v>15000</v>
      </c>
      <c r="I30" s="10" t="s">
        <v>12</v>
      </c>
      <c r="J30" s="12">
        <v>1</v>
      </c>
      <c r="K30" s="12">
        <f t="shared" si="0"/>
        <v>40042.005505240406</v>
      </c>
    </row>
    <row r="31" spans="2:12">
      <c r="B31" s="13" t="s">
        <v>89</v>
      </c>
      <c r="C31" s="9" t="s">
        <v>93</v>
      </c>
      <c r="D31" s="9" t="s">
        <v>50</v>
      </c>
      <c r="E31" s="9" t="s">
        <v>133</v>
      </c>
      <c r="F31" s="10" t="b">
        <v>1</v>
      </c>
      <c r="G31" s="10">
        <v>19.265650711701497</v>
      </c>
      <c r="H31" s="10">
        <v>15000</v>
      </c>
      <c r="I31" s="10" t="s">
        <v>51</v>
      </c>
      <c r="J31" s="12">
        <v>1</v>
      </c>
      <c r="K31" s="12">
        <f t="shared" si="0"/>
        <v>40072.553480339113</v>
      </c>
    </row>
    <row r="32" spans="2:12">
      <c r="B32" s="13" t="s">
        <v>22</v>
      </c>
      <c r="C32" s="9" t="s">
        <v>110</v>
      </c>
      <c r="D32" s="9" t="s">
        <v>50</v>
      </c>
      <c r="E32" s="9" t="s">
        <v>133</v>
      </c>
      <c r="F32" s="10" t="b">
        <v>1</v>
      </c>
      <c r="G32" s="10">
        <v>19.467225400243148</v>
      </c>
      <c r="H32" s="10">
        <v>15000</v>
      </c>
      <c r="I32" s="10" t="s">
        <v>53</v>
      </c>
      <c r="J32" s="12">
        <v>1</v>
      </c>
      <c r="K32" s="12">
        <f t="shared" si="0"/>
        <v>40491.828832505751</v>
      </c>
    </row>
    <row r="33" spans="2:13">
      <c r="B33" s="13" t="s">
        <v>18</v>
      </c>
      <c r="C33" s="9" t="s">
        <v>70</v>
      </c>
      <c r="D33" s="9" t="s">
        <v>50</v>
      </c>
      <c r="E33" s="9" t="s">
        <v>133</v>
      </c>
      <c r="F33" s="10" t="b">
        <v>1</v>
      </c>
      <c r="G33" s="10">
        <v>19.488511007328906</v>
      </c>
      <c r="H33" s="10">
        <v>15000</v>
      </c>
      <c r="I33" s="10" t="s">
        <v>53</v>
      </c>
      <c r="J33" s="12">
        <v>1</v>
      </c>
      <c r="K33" s="12">
        <f t="shared" si="0"/>
        <v>40536.102895244127</v>
      </c>
    </row>
    <row r="34" spans="2:13">
      <c r="B34" s="13" t="s">
        <v>16</v>
      </c>
      <c r="C34" s="9" t="s">
        <v>59</v>
      </c>
      <c r="D34" s="9" t="s">
        <v>55</v>
      </c>
      <c r="E34" s="9" t="s">
        <v>128</v>
      </c>
      <c r="F34" s="10" t="b">
        <v>1</v>
      </c>
      <c r="G34" s="10">
        <v>19.82403011752309</v>
      </c>
      <c r="H34" s="10">
        <v>20000</v>
      </c>
      <c r="I34" s="10" t="s">
        <v>12</v>
      </c>
      <c r="J34" s="12">
        <v>1</v>
      </c>
      <c r="K34" s="12">
        <f t="shared" si="0"/>
        <v>41233.982644448028</v>
      </c>
    </row>
    <row r="35" spans="2:13">
      <c r="B35" s="13" t="s">
        <v>18</v>
      </c>
      <c r="C35" s="9" t="s">
        <v>70</v>
      </c>
      <c r="D35" s="9" t="s">
        <v>50</v>
      </c>
      <c r="E35" s="9" t="s">
        <v>133</v>
      </c>
      <c r="F35" s="10" t="b">
        <v>1</v>
      </c>
      <c r="G35" s="10">
        <v>19.894261530058348</v>
      </c>
      <c r="H35" s="10">
        <v>15000</v>
      </c>
      <c r="I35" s="10" t="s">
        <v>51</v>
      </c>
      <c r="J35" s="12">
        <v>1</v>
      </c>
      <c r="K35" s="12">
        <f t="shared" si="0"/>
        <v>41380.063982521366</v>
      </c>
    </row>
    <row r="36" spans="2:13">
      <c r="B36" s="13" t="s">
        <v>16</v>
      </c>
      <c r="C36" s="9" t="s">
        <v>62</v>
      </c>
      <c r="D36" s="9" t="s">
        <v>50</v>
      </c>
      <c r="E36" s="9" t="s">
        <v>133</v>
      </c>
      <c r="F36" s="10" t="b">
        <v>1</v>
      </c>
      <c r="G36" s="10">
        <v>20.010992446371866</v>
      </c>
      <c r="H36" s="10">
        <v>15000</v>
      </c>
      <c r="I36" s="10" t="s">
        <v>51</v>
      </c>
      <c r="J36" s="12">
        <v>1</v>
      </c>
      <c r="K36" s="12">
        <f t="shared" si="0"/>
        <v>41622.864288453478</v>
      </c>
    </row>
    <row r="37" spans="2:13">
      <c r="B37" s="13" t="s">
        <v>22</v>
      </c>
      <c r="C37" s="9" t="s">
        <v>107</v>
      </c>
      <c r="D37" s="9" t="s">
        <v>31</v>
      </c>
      <c r="E37" s="9" t="s">
        <v>114</v>
      </c>
      <c r="F37" s="10" t="b">
        <v>1</v>
      </c>
      <c r="G37" s="10">
        <v>20.147406887537237</v>
      </c>
      <c r="H37" s="10">
        <v>15000</v>
      </c>
      <c r="I37" s="10" t="s">
        <v>12</v>
      </c>
      <c r="J37" s="12">
        <v>1</v>
      </c>
      <c r="K37" s="12">
        <f t="shared" si="0"/>
        <v>41906.606326077454</v>
      </c>
    </row>
    <row r="38" spans="2:13">
      <c r="B38" s="13" t="s">
        <v>63</v>
      </c>
      <c r="C38" s="9" t="s">
        <v>64</v>
      </c>
      <c r="D38" s="9" t="s">
        <v>57</v>
      </c>
      <c r="E38" s="9" t="s">
        <v>124</v>
      </c>
      <c r="F38" s="10" t="b">
        <v>1</v>
      </c>
      <c r="G38" s="10">
        <v>20.17714793091309</v>
      </c>
      <c r="H38" s="10">
        <v>20000</v>
      </c>
      <c r="I38" s="10" t="s">
        <v>12</v>
      </c>
      <c r="J38" s="12">
        <v>1</v>
      </c>
      <c r="K38" s="12">
        <f t="shared" si="0"/>
        <v>41968.467696299231</v>
      </c>
    </row>
    <row r="39" spans="2:13">
      <c r="B39" s="13" t="s">
        <v>89</v>
      </c>
      <c r="C39" s="9" t="s">
        <v>90</v>
      </c>
      <c r="D39" s="9" t="s">
        <v>56</v>
      </c>
      <c r="E39" s="9" t="s">
        <v>130</v>
      </c>
      <c r="F39" s="10" t="b">
        <v>1</v>
      </c>
      <c r="G39" s="10">
        <v>20.179250178046928</v>
      </c>
      <c r="H39" s="10">
        <v>20000</v>
      </c>
      <c r="I39" s="10" t="s">
        <v>12</v>
      </c>
      <c r="J39" s="12">
        <v>1</v>
      </c>
      <c r="K39" s="12">
        <f t="shared" si="0"/>
        <v>41972.84037033761</v>
      </c>
    </row>
    <row r="40" spans="2:13">
      <c r="B40" s="13" t="s">
        <v>71</v>
      </c>
      <c r="C40" s="9" t="s">
        <v>75</v>
      </c>
      <c r="D40" s="9" t="s">
        <v>50</v>
      </c>
      <c r="E40" s="9" t="s">
        <v>133</v>
      </c>
      <c r="F40" s="10" t="b">
        <v>1</v>
      </c>
      <c r="G40" s="10">
        <v>20.282868693680715</v>
      </c>
      <c r="H40" s="10">
        <v>15000</v>
      </c>
      <c r="I40" s="10" t="s">
        <v>53</v>
      </c>
      <c r="J40" s="12">
        <v>1</v>
      </c>
      <c r="K40" s="12">
        <f t="shared" si="0"/>
        <v>42188.366882855888</v>
      </c>
    </row>
    <row r="41" spans="2:13">
      <c r="B41" s="13" t="s">
        <v>80</v>
      </c>
      <c r="C41" s="9" t="s">
        <v>81</v>
      </c>
      <c r="D41" s="9" t="s">
        <v>54</v>
      </c>
      <c r="E41" s="9" t="s">
        <v>125</v>
      </c>
      <c r="F41" s="10" t="b">
        <v>1</v>
      </c>
      <c r="G41" s="10">
        <v>20.316658536980697</v>
      </c>
      <c r="H41" s="10">
        <v>20000</v>
      </c>
      <c r="I41" s="10" t="s">
        <v>12</v>
      </c>
      <c r="J41" s="12">
        <v>1</v>
      </c>
      <c r="K41" s="12">
        <f t="shared" ref="K41:K72" si="1">J41*G41*2080</f>
        <v>42258.649756919847</v>
      </c>
    </row>
    <row r="42" spans="2:13">
      <c r="B42" s="13" t="s">
        <v>89</v>
      </c>
      <c r="C42" s="9" t="s">
        <v>90</v>
      </c>
      <c r="D42" s="9" t="s">
        <v>55</v>
      </c>
      <c r="E42" s="9" t="s">
        <v>128</v>
      </c>
      <c r="F42" s="10" t="b">
        <v>1</v>
      </c>
      <c r="G42" s="10">
        <v>20.329317584592395</v>
      </c>
      <c r="H42" s="10">
        <v>20000</v>
      </c>
      <c r="I42" s="10" t="s">
        <v>12</v>
      </c>
      <c r="J42" s="12">
        <v>1</v>
      </c>
      <c r="K42" s="12">
        <f t="shared" si="1"/>
        <v>42284.980575952184</v>
      </c>
      <c r="M42" s="33"/>
    </row>
    <row r="43" spans="2:13">
      <c r="B43" s="13" t="s">
        <v>80</v>
      </c>
      <c r="C43" s="9" t="s">
        <v>84</v>
      </c>
      <c r="D43" s="9" t="s">
        <v>50</v>
      </c>
      <c r="E43" s="9" t="s">
        <v>133</v>
      </c>
      <c r="F43" s="10" t="b">
        <v>1</v>
      </c>
      <c r="G43" s="10">
        <v>20.422816368365211</v>
      </c>
      <c r="H43" s="10">
        <v>15000</v>
      </c>
      <c r="I43" s="10" t="s">
        <v>51</v>
      </c>
      <c r="J43" s="12">
        <v>1</v>
      </c>
      <c r="K43" s="12">
        <f t="shared" si="1"/>
        <v>42479.458046199637</v>
      </c>
    </row>
    <row r="44" spans="2:13">
      <c r="B44" s="13" t="s">
        <v>85</v>
      </c>
      <c r="C44" s="9" t="s">
        <v>86</v>
      </c>
      <c r="D44" s="9" t="s">
        <v>31</v>
      </c>
      <c r="E44" s="9" t="s">
        <v>114</v>
      </c>
      <c r="F44" s="10" t="b">
        <v>1</v>
      </c>
      <c r="G44" s="10">
        <v>20.43600156516063</v>
      </c>
      <c r="H44" s="10">
        <v>15000</v>
      </c>
      <c r="I44" s="10" t="s">
        <v>12</v>
      </c>
      <c r="J44" s="12">
        <v>1</v>
      </c>
      <c r="K44" s="12">
        <f t="shared" si="1"/>
        <v>42506.883255534114</v>
      </c>
    </row>
    <row r="45" spans="2:13">
      <c r="B45" s="13" t="s">
        <v>103</v>
      </c>
      <c r="C45" s="9" t="s">
        <v>106</v>
      </c>
      <c r="D45" s="9" t="s">
        <v>47</v>
      </c>
      <c r="E45" s="9" t="s">
        <v>131</v>
      </c>
      <c r="F45" s="10" t="b">
        <v>1</v>
      </c>
      <c r="G45" s="10">
        <v>20.43627174219041</v>
      </c>
      <c r="H45" s="10">
        <v>20000</v>
      </c>
      <c r="I45" s="10" t="s">
        <v>12</v>
      </c>
      <c r="J45" s="12">
        <v>1</v>
      </c>
      <c r="K45" s="12">
        <f t="shared" si="1"/>
        <v>42507.445223756054</v>
      </c>
    </row>
    <row r="46" spans="2:13">
      <c r="B46" s="13" t="s">
        <v>98</v>
      </c>
      <c r="C46" s="9" t="s">
        <v>101</v>
      </c>
      <c r="D46" s="9" t="s">
        <v>47</v>
      </c>
      <c r="E46" s="9" t="s">
        <v>131</v>
      </c>
      <c r="F46" s="10" t="b">
        <v>1</v>
      </c>
      <c r="G46" s="10">
        <v>20.559411769543921</v>
      </c>
      <c r="H46" s="10">
        <v>20000</v>
      </c>
      <c r="I46" s="10" t="s">
        <v>12</v>
      </c>
      <c r="J46" s="12">
        <v>1</v>
      </c>
      <c r="K46" s="12">
        <f t="shared" si="1"/>
        <v>42763.576480651354</v>
      </c>
    </row>
    <row r="47" spans="2:13">
      <c r="B47" s="13" t="s">
        <v>39</v>
      </c>
      <c r="C47" s="9" t="s">
        <v>40</v>
      </c>
      <c r="D47" s="9" t="s">
        <v>54</v>
      </c>
      <c r="E47" s="9" t="s">
        <v>125</v>
      </c>
      <c r="F47" s="10" t="b">
        <v>1</v>
      </c>
      <c r="G47" s="10">
        <v>20.568932315425748</v>
      </c>
      <c r="H47" s="10">
        <v>20000</v>
      </c>
      <c r="I47" s="10" t="s">
        <v>12</v>
      </c>
      <c r="J47" s="12">
        <v>1</v>
      </c>
      <c r="K47" s="12">
        <f t="shared" si="1"/>
        <v>42783.379216085559</v>
      </c>
    </row>
    <row r="48" spans="2:13">
      <c r="B48" s="13" t="s">
        <v>89</v>
      </c>
      <c r="C48" s="9" t="s">
        <v>90</v>
      </c>
      <c r="D48" s="9" t="s">
        <v>57</v>
      </c>
      <c r="E48" s="9" t="s">
        <v>124</v>
      </c>
      <c r="F48" s="10" t="b">
        <v>1</v>
      </c>
      <c r="G48" s="10">
        <v>21.067251565062033</v>
      </c>
      <c r="H48" s="10">
        <v>20000</v>
      </c>
      <c r="I48" s="10" t="s">
        <v>12</v>
      </c>
      <c r="J48" s="12">
        <v>1</v>
      </c>
      <c r="K48" s="12">
        <f t="shared" si="1"/>
        <v>43819.883255329027</v>
      </c>
    </row>
    <row r="49" spans="2:11">
      <c r="B49" s="13" t="s">
        <v>18</v>
      </c>
      <c r="C49" s="9" t="s">
        <v>67</v>
      </c>
      <c r="D49" s="9" t="s">
        <v>54</v>
      </c>
      <c r="E49" s="9" t="s">
        <v>125</v>
      </c>
      <c r="F49" s="10" t="b">
        <v>1</v>
      </c>
      <c r="G49" s="10">
        <v>21.202636528252388</v>
      </c>
      <c r="H49" s="10">
        <v>20000</v>
      </c>
      <c r="I49" s="10" t="s">
        <v>12</v>
      </c>
      <c r="J49" s="12">
        <v>1</v>
      </c>
      <c r="K49" s="12">
        <f t="shared" si="1"/>
        <v>44101.483978764969</v>
      </c>
    </row>
    <row r="50" spans="2:11">
      <c r="B50" s="13" t="s">
        <v>22</v>
      </c>
      <c r="C50" s="9" t="s">
        <v>109</v>
      </c>
      <c r="D50" s="9" t="s">
        <v>47</v>
      </c>
      <c r="E50" s="9" t="s">
        <v>131</v>
      </c>
      <c r="F50" s="10" t="b">
        <v>1</v>
      </c>
      <c r="G50" s="10">
        <v>22.255475637008676</v>
      </c>
      <c r="H50" s="10">
        <v>20000</v>
      </c>
      <c r="I50" s="10" t="s">
        <v>12</v>
      </c>
      <c r="J50" s="12">
        <v>1</v>
      </c>
      <c r="K50" s="12">
        <f t="shared" si="1"/>
        <v>46291.389324978045</v>
      </c>
    </row>
    <row r="51" spans="2:11">
      <c r="B51" s="13" t="s">
        <v>39</v>
      </c>
      <c r="C51" s="9" t="s">
        <v>40</v>
      </c>
      <c r="D51" s="9" t="s">
        <v>56</v>
      </c>
      <c r="E51" s="9" t="s">
        <v>130</v>
      </c>
      <c r="F51" s="10" t="b">
        <v>1</v>
      </c>
      <c r="G51" s="10">
        <v>22.512262745578379</v>
      </c>
      <c r="H51" s="10">
        <v>20000</v>
      </c>
      <c r="I51" s="10" t="s">
        <v>12</v>
      </c>
      <c r="J51" s="12">
        <v>1</v>
      </c>
      <c r="K51" s="12">
        <f t="shared" si="1"/>
        <v>46825.506510803032</v>
      </c>
    </row>
    <row r="52" spans="2:11">
      <c r="B52" s="13" t="s">
        <v>63</v>
      </c>
      <c r="C52" s="9" t="s">
        <v>66</v>
      </c>
      <c r="D52" s="9" t="s">
        <v>47</v>
      </c>
      <c r="E52" s="9" t="s">
        <v>131</v>
      </c>
      <c r="F52" s="10" t="b">
        <v>1</v>
      </c>
      <c r="G52" s="10">
        <v>22.603800873810297</v>
      </c>
      <c r="H52" s="10">
        <v>20000</v>
      </c>
      <c r="I52" s="10" t="s">
        <v>12</v>
      </c>
      <c r="J52" s="12">
        <v>1</v>
      </c>
      <c r="K52" s="12">
        <f t="shared" si="1"/>
        <v>47015.905817525418</v>
      </c>
    </row>
    <row r="53" spans="2:11">
      <c r="B53" s="13" t="s">
        <v>18</v>
      </c>
      <c r="C53" s="9" t="s">
        <v>67</v>
      </c>
      <c r="D53" s="9" t="s">
        <v>55</v>
      </c>
      <c r="E53" s="9" t="s">
        <v>128</v>
      </c>
      <c r="F53" s="10" t="b">
        <v>1</v>
      </c>
      <c r="G53" s="10">
        <v>22.747382330191908</v>
      </c>
      <c r="H53" s="10">
        <v>20000</v>
      </c>
      <c r="I53" s="10" t="s">
        <v>12</v>
      </c>
      <c r="J53" s="12">
        <v>1</v>
      </c>
      <c r="K53" s="12">
        <f t="shared" si="1"/>
        <v>47314.555246799166</v>
      </c>
    </row>
    <row r="54" spans="2:11">
      <c r="B54" s="13" t="s">
        <v>85</v>
      </c>
      <c r="C54" s="9" t="s">
        <v>86</v>
      </c>
      <c r="D54" s="9" t="s">
        <v>57</v>
      </c>
      <c r="E54" s="9" t="s">
        <v>124</v>
      </c>
      <c r="F54" s="10" t="b">
        <v>1</v>
      </c>
      <c r="G54" s="10">
        <v>22.985235093548102</v>
      </c>
      <c r="H54" s="10">
        <v>20000</v>
      </c>
      <c r="I54" s="10" t="s">
        <v>12</v>
      </c>
      <c r="J54" s="12">
        <v>1</v>
      </c>
      <c r="K54" s="12">
        <f t="shared" si="1"/>
        <v>47809.288994580049</v>
      </c>
    </row>
    <row r="55" spans="2:11">
      <c r="B55" s="13" t="s">
        <v>22</v>
      </c>
      <c r="C55" s="9" t="s">
        <v>107</v>
      </c>
      <c r="D55" s="9" t="s">
        <v>55</v>
      </c>
      <c r="E55" s="9" t="s">
        <v>128</v>
      </c>
      <c r="F55" s="10" t="b">
        <v>1</v>
      </c>
      <c r="G55" s="10">
        <v>23.07988348455503</v>
      </c>
      <c r="H55" s="10">
        <v>20000</v>
      </c>
      <c r="I55" s="10" t="s">
        <v>12</v>
      </c>
      <c r="J55" s="12">
        <v>1</v>
      </c>
      <c r="K55" s="12">
        <f t="shared" si="1"/>
        <v>48006.157647874461</v>
      </c>
    </row>
    <row r="56" spans="2:11">
      <c r="B56" s="13" t="s">
        <v>22</v>
      </c>
      <c r="C56" s="9" t="s">
        <v>107</v>
      </c>
      <c r="D56" s="9" t="s">
        <v>54</v>
      </c>
      <c r="E56" s="9" t="s">
        <v>125</v>
      </c>
      <c r="F56" s="10" t="b">
        <v>1</v>
      </c>
      <c r="G56" s="10">
        <v>23.596023038641867</v>
      </c>
      <c r="H56" s="10">
        <v>20000</v>
      </c>
      <c r="I56" s="10" t="s">
        <v>12</v>
      </c>
      <c r="J56" s="12">
        <v>1</v>
      </c>
      <c r="K56" s="12">
        <f t="shared" si="1"/>
        <v>49079.72792037508</v>
      </c>
    </row>
    <row r="57" spans="2:11">
      <c r="B57" s="13" t="s">
        <v>98</v>
      </c>
      <c r="C57" s="9" t="s">
        <v>99</v>
      </c>
      <c r="D57" s="9" t="s">
        <v>54</v>
      </c>
      <c r="E57" s="9" t="s">
        <v>125</v>
      </c>
      <c r="F57" s="10" t="b">
        <v>1</v>
      </c>
      <c r="G57" s="10">
        <v>24.14707194461969</v>
      </c>
      <c r="H57" s="10">
        <v>20000</v>
      </c>
      <c r="I57" s="10" t="s">
        <v>12</v>
      </c>
      <c r="J57" s="12">
        <v>1</v>
      </c>
      <c r="K57" s="12">
        <f t="shared" si="1"/>
        <v>50225.909644808955</v>
      </c>
    </row>
    <row r="58" spans="2:11">
      <c r="B58" s="13" t="s">
        <v>85</v>
      </c>
      <c r="C58" s="9" t="s">
        <v>88</v>
      </c>
      <c r="D58" s="9" t="s">
        <v>47</v>
      </c>
      <c r="E58" s="9" t="s">
        <v>131</v>
      </c>
      <c r="F58" s="10" t="b">
        <v>1</v>
      </c>
      <c r="G58" s="10">
        <v>24.33392743963315</v>
      </c>
      <c r="H58" s="10">
        <v>20000</v>
      </c>
      <c r="I58" s="10" t="s">
        <v>12</v>
      </c>
      <c r="J58" s="12">
        <v>1</v>
      </c>
      <c r="K58" s="12">
        <f t="shared" si="1"/>
        <v>50614.569074436949</v>
      </c>
    </row>
    <row r="59" spans="2:11">
      <c r="B59" s="13" t="s">
        <v>89</v>
      </c>
      <c r="C59" s="9" t="s">
        <v>90</v>
      </c>
      <c r="D59" s="9" t="s">
        <v>54</v>
      </c>
      <c r="E59" s="9" t="s">
        <v>125</v>
      </c>
      <c r="F59" s="10" t="b">
        <v>1</v>
      </c>
      <c r="G59" s="10">
        <v>24.397094396503626</v>
      </c>
      <c r="H59" s="10">
        <v>20000</v>
      </c>
      <c r="I59" s="10" t="s">
        <v>12</v>
      </c>
      <c r="J59" s="12">
        <v>1</v>
      </c>
      <c r="K59" s="12">
        <f t="shared" si="1"/>
        <v>50745.956344727543</v>
      </c>
    </row>
    <row r="60" spans="2:11">
      <c r="B60" s="13" t="s">
        <v>71</v>
      </c>
      <c r="C60" s="9" t="s">
        <v>72</v>
      </c>
      <c r="D60" s="9" t="s">
        <v>54</v>
      </c>
      <c r="E60" s="9" t="s">
        <v>125</v>
      </c>
      <c r="F60" s="10" t="b">
        <v>1</v>
      </c>
      <c r="G60" s="10">
        <v>24.621344838598752</v>
      </c>
      <c r="H60" s="10">
        <v>20000</v>
      </c>
      <c r="I60" s="10" t="s">
        <v>12</v>
      </c>
      <c r="J60" s="12">
        <v>1</v>
      </c>
      <c r="K60" s="12">
        <f t="shared" si="1"/>
        <v>51212.397264285406</v>
      </c>
    </row>
    <row r="61" spans="2:11">
      <c r="B61" s="13" t="s">
        <v>20</v>
      </c>
      <c r="C61" s="9" t="s">
        <v>76</v>
      </c>
      <c r="D61" s="9" t="s">
        <v>54</v>
      </c>
      <c r="E61" s="9" t="s">
        <v>125</v>
      </c>
      <c r="F61" s="10" t="b">
        <v>1</v>
      </c>
      <c r="G61" s="10">
        <v>24.657072970282695</v>
      </c>
      <c r="H61" s="10">
        <v>20000</v>
      </c>
      <c r="I61" s="10" t="s">
        <v>12</v>
      </c>
      <c r="J61" s="12">
        <v>1</v>
      </c>
      <c r="K61" s="12">
        <f t="shared" si="1"/>
        <v>51286.711778188008</v>
      </c>
    </row>
    <row r="62" spans="2:11">
      <c r="B62" s="13" t="s">
        <v>39</v>
      </c>
      <c r="C62" s="9" t="s">
        <v>40</v>
      </c>
      <c r="D62" s="9" t="s">
        <v>55</v>
      </c>
      <c r="E62" s="9" t="s">
        <v>128</v>
      </c>
      <c r="F62" s="10" t="b">
        <v>1</v>
      </c>
      <c r="G62" s="10">
        <v>24.674231261859571</v>
      </c>
      <c r="H62" s="10">
        <v>20000</v>
      </c>
      <c r="I62" s="10" t="s">
        <v>12</v>
      </c>
      <c r="J62" s="12">
        <v>1</v>
      </c>
      <c r="K62" s="12">
        <f t="shared" si="1"/>
        <v>51322.40102466791</v>
      </c>
    </row>
    <row r="63" spans="2:11">
      <c r="B63" s="13" t="s">
        <v>18</v>
      </c>
      <c r="C63" s="9" t="s">
        <v>70</v>
      </c>
      <c r="D63" s="9" t="s">
        <v>49</v>
      </c>
      <c r="E63" s="9" t="s">
        <v>133</v>
      </c>
      <c r="F63" s="10" t="b">
        <v>1</v>
      </c>
      <c r="G63" s="10">
        <v>25.202421452724057</v>
      </c>
      <c r="H63" s="10">
        <v>25000</v>
      </c>
      <c r="I63" s="10" t="s">
        <v>12</v>
      </c>
      <c r="J63" s="12">
        <v>1</v>
      </c>
      <c r="K63" s="12">
        <f t="shared" si="1"/>
        <v>52421.03662166604</v>
      </c>
    </row>
    <row r="64" spans="2:11">
      <c r="B64" s="13" t="s">
        <v>98</v>
      </c>
      <c r="C64" s="9" t="s">
        <v>99</v>
      </c>
      <c r="D64" s="9" t="s">
        <v>55</v>
      </c>
      <c r="E64" s="9" t="s">
        <v>128</v>
      </c>
      <c r="F64" s="10" t="b">
        <v>1</v>
      </c>
      <c r="G64" s="10">
        <v>26.159423950179658</v>
      </c>
      <c r="H64" s="10">
        <v>20000</v>
      </c>
      <c r="I64" s="10" t="s">
        <v>12</v>
      </c>
      <c r="J64" s="12">
        <v>1</v>
      </c>
      <c r="K64" s="12">
        <f t="shared" si="1"/>
        <v>54411.601816373688</v>
      </c>
    </row>
    <row r="65" spans="2:11">
      <c r="B65" s="13" t="s">
        <v>16</v>
      </c>
      <c r="C65" s="9" t="s">
        <v>59</v>
      </c>
      <c r="D65" s="9" t="s">
        <v>54</v>
      </c>
      <c r="E65" s="9" t="s">
        <v>125</v>
      </c>
      <c r="F65" s="10" t="b">
        <v>1</v>
      </c>
      <c r="G65" s="10">
        <v>27.072093875675723</v>
      </c>
      <c r="H65" s="10">
        <v>20000</v>
      </c>
      <c r="I65" s="10" t="s">
        <v>12</v>
      </c>
      <c r="J65" s="12">
        <v>1</v>
      </c>
      <c r="K65" s="12">
        <f t="shared" si="1"/>
        <v>56309.955261405506</v>
      </c>
    </row>
    <row r="66" spans="2:11">
      <c r="B66" s="13" t="s">
        <v>39</v>
      </c>
      <c r="C66" s="9" t="s">
        <v>40</v>
      </c>
      <c r="D66" s="9" t="s">
        <v>57</v>
      </c>
      <c r="E66" s="9" t="s">
        <v>124</v>
      </c>
      <c r="F66" s="10" t="b">
        <v>1</v>
      </c>
      <c r="G66" s="10">
        <v>27.138483488274478</v>
      </c>
      <c r="H66" s="10">
        <v>20000</v>
      </c>
      <c r="I66" s="10" t="s">
        <v>12</v>
      </c>
      <c r="J66" s="12">
        <v>1</v>
      </c>
      <c r="K66" s="12">
        <f t="shared" si="1"/>
        <v>56448.045655610913</v>
      </c>
    </row>
    <row r="67" spans="2:11">
      <c r="B67" s="13" t="s">
        <v>16</v>
      </c>
      <c r="C67" s="9" t="s">
        <v>62</v>
      </c>
      <c r="D67" s="9" t="s">
        <v>49</v>
      </c>
      <c r="E67" s="9" t="s">
        <v>133</v>
      </c>
      <c r="F67" s="10" t="b">
        <v>1</v>
      </c>
      <c r="G67" s="10">
        <v>27.498422724916068</v>
      </c>
      <c r="H67" s="10">
        <v>25000</v>
      </c>
      <c r="I67" s="10" t="s">
        <v>12</v>
      </c>
      <c r="J67" s="12">
        <v>1</v>
      </c>
      <c r="K67" s="12">
        <f t="shared" si="1"/>
        <v>57196.719267825421</v>
      </c>
    </row>
    <row r="68" spans="2:11">
      <c r="B68" s="13" t="s">
        <v>20</v>
      </c>
      <c r="C68" s="9" t="s">
        <v>76</v>
      </c>
      <c r="D68" s="9" t="s">
        <v>55</v>
      </c>
      <c r="E68" s="9" t="s">
        <v>128</v>
      </c>
      <c r="F68" s="10" t="b">
        <v>1</v>
      </c>
      <c r="G68" s="10">
        <v>28.124500938249618</v>
      </c>
      <c r="H68" s="10">
        <v>20000</v>
      </c>
      <c r="I68" s="10" t="s">
        <v>12</v>
      </c>
      <c r="J68" s="12">
        <v>1</v>
      </c>
      <c r="K68" s="12">
        <f t="shared" si="1"/>
        <v>58498.961951559206</v>
      </c>
    </row>
    <row r="69" spans="2:11">
      <c r="B69" s="13" t="s">
        <v>94</v>
      </c>
      <c r="C69" s="9" t="s">
        <v>95</v>
      </c>
      <c r="D69" s="9" t="s">
        <v>57</v>
      </c>
      <c r="E69" s="9" t="s">
        <v>124</v>
      </c>
      <c r="F69" s="10" t="b">
        <v>1</v>
      </c>
      <c r="G69" s="10">
        <v>28.16141840849409</v>
      </c>
      <c r="H69" s="10">
        <v>20000</v>
      </c>
      <c r="I69" s="10" t="s">
        <v>12</v>
      </c>
      <c r="J69" s="12">
        <v>1</v>
      </c>
      <c r="K69" s="12">
        <f t="shared" si="1"/>
        <v>58575.750289667703</v>
      </c>
    </row>
    <row r="70" spans="2:11">
      <c r="B70" s="13" t="s">
        <v>39</v>
      </c>
      <c r="C70" s="9" t="s">
        <v>48</v>
      </c>
      <c r="D70" s="9" t="s">
        <v>49</v>
      </c>
      <c r="E70" s="9" t="s">
        <v>133</v>
      </c>
      <c r="F70" s="10" t="b">
        <v>1</v>
      </c>
      <c r="G70" s="10">
        <v>28.192536688993361</v>
      </c>
      <c r="H70" s="10">
        <v>25000</v>
      </c>
      <c r="I70" s="10" t="s">
        <v>12</v>
      </c>
      <c r="J70" s="12">
        <v>1</v>
      </c>
      <c r="K70" s="12">
        <f t="shared" si="1"/>
        <v>58640.476313106192</v>
      </c>
    </row>
    <row r="71" spans="2:11">
      <c r="B71" s="13" t="s">
        <v>71</v>
      </c>
      <c r="C71" s="9" t="s">
        <v>72</v>
      </c>
      <c r="D71" s="9" t="s">
        <v>55</v>
      </c>
      <c r="E71" s="9" t="s">
        <v>128</v>
      </c>
      <c r="F71" s="10" t="b">
        <v>1</v>
      </c>
      <c r="G71" s="10">
        <v>28.526953665789048</v>
      </c>
      <c r="H71" s="10">
        <v>20000</v>
      </c>
      <c r="I71" s="10" t="s">
        <v>12</v>
      </c>
      <c r="J71" s="12">
        <v>1</v>
      </c>
      <c r="K71" s="12">
        <f t="shared" si="1"/>
        <v>59336.063624841219</v>
      </c>
    </row>
    <row r="72" spans="2:11">
      <c r="B72" s="13" t="s">
        <v>80</v>
      </c>
      <c r="C72" s="9" t="s">
        <v>81</v>
      </c>
      <c r="D72" s="9" t="s">
        <v>55</v>
      </c>
      <c r="E72" s="9" t="s">
        <v>128</v>
      </c>
      <c r="F72" s="10" t="b">
        <v>1</v>
      </c>
      <c r="G72" s="10">
        <v>28.669769511054625</v>
      </c>
      <c r="H72" s="10">
        <v>20000</v>
      </c>
      <c r="I72" s="10" t="s">
        <v>12</v>
      </c>
      <c r="J72" s="12">
        <v>1</v>
      </c>
      <c r="K72" s="12">
        <f t="shared" si="1"/>
        <v>59633.120582993623</v>
      </c>
    </row>
    <row r="73" spans="2:11">
      <c r="B73" s="13" t="s">
        <v>98</v>
      </c>
      <c r="C73" s="9" t="s">
        <v>101</v>
      </c>
      <c r="D73" s="9" t="s">
        <v>46</v>
      </c>
      <c r="E73" s="9" t="s">
        <v>131</v>
      </c>
      <c r="F73" s="10" t="b">
        <v>1</v>
      </c>
      <c r="G73" s="10">
        <v>29.251407516604729</v>
      </c>
      <c r="H73" s="10">
        <v>30000</v>
      </c>
      <c r="I73" s="10" t="s">
        <v>12</v>
      </c>
      <c r="J73" s="12">
        <v>1</v>
      </c>
      <c r="K73" s="12">
        <f t="shared" ref="K73:K104" si="2">J73*G73*2080</f>
        <v>60842.927634537838</v>
      </c>
    </row>
    <row r="74" spans="2:11">
      <c r="B74" s="13" t="s">
        <v>80</v>
      </c>
      <c r="C74" s="9" t="s">
        <v>81</v>
      </c>
      <c r="D74" s="9" t="s">
        <v>58</v>
      </c>
      <c r="E74" s="9" t="s">
        <v>126</v>
      </c>
      <c r="F74" s="10" t="b">
        <v>1</v>
      </c>
      <c r="G74" s="10">
        <v>29.437243435476802</v>
      </c>
      <c r="H74" s="10">
        <v>30000</v>
      </c>
      <c r="I74" s="10" t="s">
        <v>12</v>
      </c>
      <c r="J74" s="12">
        <v>1</v>
      </c>
      <c r="K74" s="12">
        <f t="shared" si="2"/>
        <v>61229.466345791749</v>
      </c>
    </row>
    <row r="75" spans="2:11">
      <c r="B75" s="13" t="s">
        <v>39</v>
      </c>
      <c r="C75" s="9" t="s">
        <v>45</v>
      </c>
      <c r="D75" s="9" t="s">
        <v>46</v>
      </c>
      <c r="E75" s="9" t="s">
        <v>131</v>
      </c>
      <c r="F75" s="10" t="b">
        <v>1</v>
      </c>
      <c r="G75" s="10">
        <v>32.233171086786463</v>
      </c>
      <c r="H75" s="10">
        <v>30000</v>
      </c>
      <c r="I75" s="10" t="s">
        <v>12</v>
      </c>
      <c r="J75" s="12">
        <v>1</v>
      </c>
      <c r="K75" s="12">
        <f t="shared" si="2"/>
        <v>67044.995860515846</v>
      </c>
    </row>
    <row r="76" spans="2:11">
      <c r="B76" s="13" t="s">
        <v>89</v>
      </c>
      <c r="C76" s="9" t="s">
        <v>93</v>
      </c>
      <c r="D76" s="9" t="s">
        <v>52</v>
      </c>
      <c r="E76" s="9" t="s">
        <v>133</v>
      </c>
      <c r="F76" s="10" t="b">
        <v>1</v>
      </c>
      <c r="G76" s="10">
        <v>10.939323734580112</v>
      </c>
      <c r="H76" s="10">
        <v>10000</v>
      </c>
      <c r="I76" s="10" t="s">
        <v>53</v>
      </c>
      <c r="J76" s="12">
        <v>3</v>
      </c>
      <c r="K76" s="12">
        <f t="shared" si="2"/>
        <v>68261.380103779898</v>
      </c>
    </row>
    <row r="77" spans="2:11">
      <c r="B77" s="13" t="s">
        <v>89</v>
      </c>
      <c r="C77" s="9" t="s">
        <v>93</v>
      </c>
      <c r="D77" s="9" t="s">
        <v>49</v>
      </c>
      <c r="E77" s="9" t="s">
        <v>133</v>
      </c>
      <c r="F77" s="10" t="b">
        <v>1</v>
      </c>
      <c r="G77" s="10">
        <v>32.916116859024946</v>
      </c>
      <c r="H77" s="10">
        <v>25000</v>
      </c>
      <c r="I77" s="10" t="s">
        <v>12</v>
      </c>
      <c r="J77" s="12">
        <v>1</v>
      </c>
      <c r="K77" s="12">
        <f t="shared" si="2"/>
        <v>68465.523066771886</v>
      </c>
    </row>
    <row r="78" spans="2:11">
      <c r="B78" s="13" t="s">
        <v>80</v>
      </c>
      <c r="C78" s="9" t="s">
        <v>84</v>
      </c>
      <c r="D78" s="9" t="s">
        <v>49</v>
      </c>
      <c r="E78" s="9" t="s">
        <v>133</v>
      </c>
      <c r="F78" s="10" t="b">
        <v>1</v>
      </c>
      <c r="G78" s="10">
        <v>32.95853676629325</v>
      </c>
      <c r="H78" s="10">
        <v>25000</v>
      </c>
      <c r="I78" s="10" t="s">
        <v>12</v>
      </c>
      <c r="J78" s="12">
        <v>1</v>
      </c>
      <c r="K78" s="12">
        <f t="shared" si="2"/>
        <v>68553.756473889953</v>
      </c>
    </row>
    <row r="79" spans="2:11">
      <c r="B79" s="13" t="s">
        <v>71</v>
      </c>
      <c r="C79" s="9" t="s">
        <v>75</v>
      </c>
      <c r="D79" s="9" t="s">
        <v>49</v>
      </c>
      <c r="E79" s="9" t="s">
        <v>133</v>
      </c>
      <c r="F79" s="10" t="b">
        <v>1</v>
      </c>
      <c r="G79" s="10">
        <v>33.275885952131368</v>
      </c>
      <c r="H79" s="10">
        <v>25000</v>
      </c>
      <c r="I79" s="10" t="s">
        <v>12</v>
      </c>
      <c r="J79" s="12">
        <v>1</v>
      </c>
      <c r="K79" s="12">
        <f t="shared" si="2"/>
        <v>69213.842780433246</v>
      </c>
    </row>
    <row r="80" spans="2:11">
      <c r="B80" s="13" t="s">
        <v>98</v>
      </c>
      <c r="C80" s="9" t="s">
        <v>102</v>
      </c>
      <c r="D80" s="9" t="s">
        <v>49</v>
      </c>
      <c r="E80" s="9" t="s">
        <v>133</v>
      </c>
      <c r="F80" s="10" t="b">
        <v>1</v>
      </c>
      <c r="G80" s="10">
        <v>33.29972971400128</v>
      </c>
      <c r="H80" s="10">
        <v>25000</v>
      </c>
      <c r="I80" s="10" t="s">
        <v>12</v>
      </c>
      <c r="J80" s="12">
        <v>1</v>
      </c>
      <c r="K80" s="12">
        <f t="shared" si="2"/>
        <v>69263.437805122667</v>
      </c>
    </row>
    <row r="81" spans="2:11">
      <c r="B81" s="13" t="s">
        <v>89</v>
      </c>
      <c r="C81" s="9" t="s">
        <v>93</v>
      </c>
      <c r="D81" s="9" t="s">
        <v>52</v>
      </c>
      <c r="E81" s="9" t="s">
        <v>133</v>
      </c>
      <c r="F81" s="10" t="b">
        <v>1</v>
      </c>
      <c r="G81" s="10">
        <v>11.123882539175527</v>
      </c>
      <c r="H81" s="10">
        <v>10000</v>
      </c>
      <c r="I81" s="10" t="s">
        <v>51</v>
      </c>
      <c r="J81" s="12">
        <v>3</v>
      </c>
      <c r="K81" s="12">
        <f t="shared" si="2"/>
        <v>69413.027044455288</v>
      </c>
    </row>
    <row r="82" spans="2:11">
      <c r="B82" s="13" t="s">
        <v>63</v>
      </c>
      <c r="C82" s="9" t="s">
        <v>64</v>
      </c>
      <c r="D82" s="9" t="s">
        <v>58</v>
      </c>
      <c r="E82" s="9" t="s">
        <v>126</v>
      </c>
      <c r="F82" s="10" t="b">
        <v>1</v>
      </c>
      <c r="G82" s="10">
        <v>33.565432547164882</v>
      </c>
      <c r="H82" s="10">
        <v>30000</v>
      </c>
      <c r="I82" s="10" t="s">
        <v>12</v>
      </c>
      <c r="J82" s="12">
        <v>1</v>
      </c>
      <c r="K82" s="12">
        <f t="shared" si="2"/>
        <v>69816.09969810296</v>
      </c>
    </row>
    <row r="83" spans="2:11">
      <c r="B83" s="13" t="s">
        <v>22</v>
      </c>
      <c r="C83" s="9" t="s">
        <v>110</v>
      </c>
      <c r="D83" s="9" t="s">
        <v>49</v>
      </c>
      <c r="E83" s="9" t="s">
        <v>133</v>
      </c>
      <c r="F83" s="10" t="b">
        <v>1</v>
      </c>
      <c r="G83" s="10">
        <v>33.57463226137363</v>
      </c>
      <c r="H83" s="10">
        <v>25000</v>
      </c>
      <c r="I83" s="10" t="s">
        <v>12</v>
      </c>
      <c r="J83" s="12">
        <v>1</v>
      </c>
      <c r="K83" s="12">
        <f t="shared" si="2"/>
        <v>69835.235103657149</v>
      </c>
    </row>
    <row r="84" spans="2:11">
      <c r="B84" s="13" t="s">
        <v>89</v>
      </c>
      <c r="C84" s="9" t="s">
        <v>92</v>
      </c>
      <c r="D84" s="9" t="s">
        <v>46</v>
      </c>
      <c r="E84" s="9" t="s">
        <v>131</v>
      </c>
      <c r="F84" s="10" t="b">
        <v>1</v>
      </c>
      <c r="G84" s="10">
        <v>33.777375254392645</v>
      </c>
      <c r="H84" s="10">
        <v>30000</v>
      </c>
      <c r="I84" s="10" t="s">
        <v>12</v>
      </c>
      <c r="J84" s="12">
        <v>1</v>
      </c>
      <c r="K84" s="12">
        <f t="shared" si="2"/>
        <v>70256.9405291367</v>
      </c>
    </row>
    <row r="85" spans="2:11">
      <c r="B85" s="13" t="s">
        <v>85</v>
      </c>
      <c r="C85" s="9" t="s">
        <v>86</v>
      </c>
      <c r="D85" s="9" t="s">
        <v>58</v>
      </c>
      <c r="E85" s="9" t="s">
        <v>126</v>
      </c>
      <c r="F85" s="10" t="b">
        <v>1</v>
      </c>
      <c r="G85" s="10">
        <v>34.211955184890101</v>
      </c>
      <c r="H85" s="10">
        <v>30000</v>
      </c>
      <c r="I85" s="10" t="s">
        <v>12</v>
      </c>
      <c r="J85" s="12">
        <v>1</v>
      </c>
      <c r="K85" s="12">
        <f t="shared" si="2"/>
        <v>71160.866784571408</v>
      </c>
    </row>
    <row r="86" spans="2:11">
      <c r="B86" s="13" t="s">
        <v>16</v>
      </c>
      <c r="C86" s="9" t="s">
        <v>59</v>
      </c>
      <c r="D86" s="9" t="s">
        <v>58</v>
      </c>
      <c r="E86" s="9" t="s">
        <v>126</v>
      </c>
      <c r="F86" s="10" t="b">
        <v>1</v>
      </c>
      <c r="G86" s="10">
        <v>34.424482924292647</v>
      </c>
      <c r="H86" s="10">
        <v>30000</v>
      </c>
      <c r="I86" s="10" t="s">
        <v>12</v>
      </c>
      <c r="J86" s="12">
        <v>1</v>
      </c>
      <c r="K86" s="12">
        <f t="shared" si="2"/>
        <v>71602.924482528702</v>
      </c>
    </row>
    <row r="87" spans="2:11">
      <c r="B87" s="13" t="s">
        <v>20</v>
      </c>
      <c r="C87" s="9" t="s">
        <v>79</v>
      </c>
      <c r="D87" s="9" t="s">
        <v>49</v>
      </c>
      <c r="E87" s="9" t="s">
        <v>133</v>
      </c>
      <c r="F87" s="10" t="b">
        <v>1</v>
      </c>
      <c r="G87" s="10">
        <v>35.176909308324767</v>
      </c>
      <c r="H87" s="10">
        <v>25000</v>
      </c>
      <c r="I87" s="10" t="s">
        <v>12</v>
      </c>
      <c r="J87" s="12">
        <v>1</v>
      </c>
      <c r="K87" s="12">
        <f t="shared" si="2"/>
        <v>73167.971361315518</v>
      </c>
    </row>
    <row r="88" spans="2:11">
      <c r="B88" s="13" t="s">
        <v>22</v>
      </c>
      <c r="C88" s="9" t="s">
        <v>109</v>
      </c>
      <c r="D88" s="9" t="s">
        <v>46</v>
      </c>
      <c r="E88" s="9" t="s">
        <v>131</v>
      </c>
      <c r="F88" s="10" t="b">
        <v>1</v>
      </c>
      <c r="G88" s="10">
        <v>35.245498391898863</v>
      </c>
      <c r="H88" s="10">
        <v>30000</v>
      </c>
      <c r="I88" s="10" t="s">
        <v>12</v>
      </c>
      <c r="J88" s="12">
        <v>1</v>
      </c>
      <c r="K88" s="12">
        <f t="shared" si="2"/>
        <v>73310.636655149632</v>
      </c>
    </row>
    <row r="89" spans="2:11">
      <c r="B89" s="13" t="s">
        <v>39</v>
      </c>
      <c r="C89" s="9" t="s">
        <v>40</v>
      </c>
      <c r="D89" s="9" t="s">
        <v>58</v>
      </c>
      <c r="E89" s="9" t="s">
        <v>126</v>
      </c>
      <c r="F89" s="10" t="b">
        <v>1</v>
      </c>
      <c r="G89" s="10">
        <v>37.607403806679848</v>
      </c>
      <c r="H89" s="10">
        <v>30000</v>
      </c>
      <c r="I89" s="10" t="s">
        <v>12</v>
      </c>
      <c r="J89" s="12">
        <v>1</v>
      </c>
      <c r="K89" s="12">
        <f t="shared" si="2"/>
        <v>78223.399917894087</v>
      </c>
    </row>
    <row r="90" spans="2:11">
      <c r="B90" s="13" t="s">
        <v>39</v>
      </c>
      <c r="C90" s="9" t="s">
        <v>42</v>
      </c>
      <c r="D90" s="9" t="s">
        <v>43</v>
      </c>
      <c r="E90" s="9" t="s">
        <v>129</v>
      </c>
      <c r="F90" s="10" t="b">
        <v>1</v>
      </c>
      <c r="G90" s="10">
        <v>38.46153846153846</v>
      </c>
      <c r="H90" s="10">
        <v>0</v>
      </c>
      <c r="I90" s="10" t="s">
        <v>12</v>
      </c>
      <c r="J90" s="12">
        <v>1</v>
      </c>
      <c r="K90" s="12">
        <f t="shared" si="2"/>
        <v>80000</v>
      </c>
    </row>
    <row r="91" spans="2:11">
      <c r="B91" s="13" t="s">
        <v>18</v>
      </c>
      <c r="C91" s="9" t="s">
        <v>67</v>
      </c>
      <c r="D91" s="9" t="s">
        <v>58</v>
      </c>
      <c r="E91" s="9" t="s">
        <v>126</v>
      </c>
      <c r="F91" s="10" t="b">
        <v>1</v>
      </c>
      <c r="G91" s="10">
        <v>38.660932508598684</v>
      </c>
      <c r="H91" s="10">
        <v>30000</v>
      </c>
      <c r="I91" s="10" t="s">
        <v>12</v>
      </c>
      <c r="J91" s="12">
        <v>1</v>
      </c>
      <c r="K91" s="12">
        <f t="shared" si="2"/>
        <v>80414.739617885265</v>
      </c>
    </row>
    <row r="92" spans="2:11">
      <c r="B92" s="13" t="s">
        <v>89</v>
      </c>
      <c r="C92" s="9" t="s">
        <v>90</v>
      </c>
      <c r="D92" s="9" t="s">
        <v>58</v>
      </c>
      <c r="E92" s="9" t="s">
        <v>126</v>
      </c>
      <c r="F92" s="10" t="b">
        <v>1</v>
      </c>
      <c r="G92" s="10">
        <v>39.926060045112536</v>
      </c>
      <c r="H92" s="10">
        <v>30000</v>
      </c>
      <c r="I92" s="10" t="s">
        <v>12</v>
      </c>
      <c r="J92" s="12">
        <v>1</v>
      </c>
      <c r="K92" s="12">
        <f t="shared" si="2"/>
        <v>83046.204893834074</v>
      </c>
    </row>
    <row r="93" spans="2:11">
      <c r="B93" s="13" t="s">
        <v>98</v>
      </c>
      <c r="C93" s="9" t="s">
        <v>99</v>
      </c>
      <c r="D93" s="9" t="s">
        <v>56</v>
      </c>
      <c r="E93" s="9" t="s">
        <v>130</v>
      </c>
      <c r="F93" s="10" t="b">
        <v>1</v>
      </c>
      <c r="G93" s="10">
        <v>19.9926077275978</v>
      </c>
      <c r="H93" s="10">
        <v>20000</v>
      </c>
      <c r="I93" s="10" t="s">
        <v>12</v>
      </c>
      <c r="J93" s="12">
        <v>2</v>
      </c>
      <c r="K93" s="12">
        <f t="shared" si="2"/>
        <v>83169.248146806844</v>
      </c>
    </row>
    <row r="94" spans="2:11">
      <c r="B94" s="13" t="s">
        <v>80</v>
      </c>
      <c r="C94" s="9" t="s">
        <v>83</v>
      </c>
      <c r="D94" s="9" t="s">
        <v>46</v>
      </c>
      <c r="E94" s="9" t="s">
        <v>131</v>
      </c>
      <c r="F94" s="10" t="b">
        <v>1</v>
      </c>
      <c r="G94" s="10">
        <v>40.668067546730413</v>
      </c>
      <c r="H94" s="10">
        <v>30000</v>
      </c>
      <c r="I94" s="10" t="s">
        <v>12</v>
      </c>
      <c r="J94" s="12">
        <v>1</v>
      </c>
      <c r="K94" s="12">
        <f t="shared" si="2"/>
        <v>84589.580497199262</v>
      </c>
    </row>
    <row r="95" spans="2:11">
      <c r="B95" s="13" t="s">
        <v>71</v>
      </c>
      <c r="C95" s="9" t="s">
        <v>72</v>
      </c>
      <c r="D95" s="9" t="s">
        <v>58</v>
      </c>
      <c r="E95" s="9" t="s">
        <v>126</v>
      </c>
      <c r="F95" s="10" t="b">
        <v>1</v>
      </c>
      <c r="G95" s="10">
        <v>40.834552469231575</v>
      </c>
      <c r="H95" s="10">
        <v>30000</v>
      </c>
      <c r="I95" s="10" t="s">
        <v>12</v>
      </c>
      <c r="J95" s="12">
        <v>1</v>
      </c>
      <c r="K95" s="12">
        <f t="shared" si="2"/>
        <v>84935.869136001682</v>
      </c>
    </row>
    <row r="96" spans="2:11">
      <c r="B96" s="13" t="s">
        <v>94</v>
      </c>
      <c r="C96" s="9" t="s">
        <v>95</v>
      </c>
      <c r="D96" s="9" t="s">
        <v>58</v>
      </c>
      <c r="E96" s="9" t="s">
        <v>126</v>
      </c>
      <c r="F96" s="10" t="b">
        <v>1</v>
      </c>
      <c r="G96" s="10">
        <v>41.500510828535134</v>
      </c>
      <c r="H96" s="10">
        <v>30000</v>
      </c>
      <c r="I96" s="10" t="s">
        <v>12</v>
      </c>
      <c r="J96" s="12">
        <v>1</v>
      </c>
      <c r="K96" s="12">
        <f t="shared" si="2"/>
        <v>86321.062523353074</v>
      </c>
    </row>
    <row r="97" spans="2:11">
      <c r="B97" s="13" t="s">
        <v>20</v>
      </c>
      <c r="C97" s="9" t="s">
        <v>78</v>
      </c>
      <c r="D97" s="9" t="s">
        <v>46</v>
      </c>
      <c r="E97" s="9" t="s">
        <v>131</v>
      </c>
      <c r="F97" s="10" t="b">
        <v>1</v>
      </c>
      <c r="G97" s="10">
        <v>41.840421286714047</v>
      </c>
      <c r="H97" s="10">
        <v>30000</v>
      </c>
      <c r="I97" s="10" t="s">
        <v>12</v>
      </c>
      <c r="J97" s="12">
        <v>1</v>
      </c>
      <c r="K97" s="12">
        <f t="shared" si="2"/>
        <v>87028.076276365216</v>
      </c>
    </row>
    <row r="98" spans="2:11">
      <c r="B98" s="13" t="s">
        <v>16</v>
      </c>
      <c r="C98" s="9" t="s">
        <v>61</v>
      </c>
      <c r="D98" s="9" t="s">
        <v>46</v>
      </c>
      <c r="E98" s="9" t="s">
        <v>131</v>
      </c>
      <c r="F98" s="10" t="b">
        <v>1</v>
      </c>
      <c r="G98" s="10">
        <v>41.873873227288307</v>
      </c>
      <c r="H98" s="10">
        <v>30000</v>
      </c>
      <c r="I98" s="10" t="s">
        <v>12</v>
      </c>
      <c r="J98" s="12">
        <v>1</v>
      </c>
      <c r="K98" s="12">
        <f t="shared" si="2"/>
        <v>87097.656312759675</v>
      </c>
    </row>
    <row r="99" spans="2:11">
      <c r="B99" s="13" t="s">
        <v>98</v>
      </c>
      <c r="C99" s="9" t="s">
        <v>99</v>
      </c>
      <c r="D99" s="9" t="s">
        <v>58</v>
      </c>
      <c r="E99" s="9" t="s">
        <v>126</v>
      </c>
      <c r="F99" s="10" t="b">
        <v>1</v>
      </c>
      <c r="G99" s="10">
        <v>41.93719302631466</v>
      </c>
      <c r="H99" s="10">
        <v>30000</v>
      </c>
      <c r="I99" s="10" t="s">
        <v>12</v>
      </c>
      <c r="J99" s="12">
        <v>1</v>
      </c>
      <c r="K99" s="12">
        <f t="shared" si="2"/>
        <v>87229.36149473449</v>
      </c>
    </row>
    <row r="100" spans="2:11">
      <c r="B100" s="13" t="s">
        <v>71</v>
      </c>
      <c r="C100" s="9" t="s">
        <v>74</v>
      </c>
      <c r="D100" s="9" t="s">
        <v>46</v>
      </c>
      <c r="E100" s="9" t="s">
        <v>131</v>
      </c>
      <c r="F100" s="10" t="b">
        <v>1</v>
      </c>
      <c r="G100" s="10">
        <v>42.268214007250776</v>
      </c>
      <c r="H100" s="10">
        <v>30000</v>
      </c>
      <c r="I100" s="10" t="s">
        <v>12</v>
      </c>
      <c r="J100" s="12">
        <v>1</v>
      </c>
      <c r="K100" s="12">
        <f t="shared" si="2"/>
        <v>87917.885135081611</v>
      </c>
    </row>
    <row r="101" spans="2:11">
      <c r="B101" s="13" t="s">
        <v>20</v>
      </c>
      <c r="C101" s="9" t="s">
        <v>76</v>
      </c>
      <c r="D101" s="9" t="s">
        <v>58</v>
      </c>
      <c r="E101" s="9" t="s">
        <v>126</v>
      </c>
      <c r="F101" s="10" t="b">
        <v>1</v>
      </c>
      <c r="G101" s="10">
        <v>42.410903382315965</v>
      </c>
      <c r="H101" s="10">
        <v>30000</v>
      </c>
      <c r="I101" s="10" t="s">
        <v>12</v>
      </c>
      <c r="J101" s="12">
        <v>1</v>
      </c>
      <c r="K101" s="12">
        <f t="shared" si="2"/>
        <v>88214.67903521721</v>
      </c>
    </row>
    <row r="102" spans="2:11">
      <c r="B102" s="13" t="s">
        <v>22</v>
      </c>
      <c r="C102" s="9" t="s">
        <v>107</v>
      </c>
      <c r="D102" s="9" t="s">
        <v>58</v>
      </c>
      <c r="E102" s="9" t="s">
        <v>126</v>
      </c>
      <c r="F102" s="10" t="b">
        <v>1</v>
      </c>
      <c r="G102" s="10">
        <v>42.457218928448583</v>
      </c>
      <c r="H102" s="10">
        <v>30000</v>
      </c>
      <c r="I102" s="10" t="s">
        <v>12</v>
      </c>
      <c r="J102" s="12">
        <v>1</v>
      </c>
      <c r="K102" s="12">
        <f t="shared" si="2"/>
        <v>88311.015371173053</v>
      </c>
    </row>
    <row r="103" spans="2:11">
      <c r="B103" s="13" t="s">
        <v>20</v>
      </c>
      <c r="C103" s="9" t="s">
        <v>76</v>
      </c>
      <c r="D103" s="9" t="s">
        <v>56</v>
      </c>
      <c r="E103" s="9" t="s">
        <v>130</v>
      </c>
      <c r="F103" s="10" t="b">
        <v>1</v>
      </c>
      <c r="G103" s="10">
        <v>21.498358505023344</v>
      </c>
      <c r="H103" s="10">
        <v>20000</v>
      </c>
      <c r="I103" s="10" t="s">
        <v>12</v>
      </c>
      <c r="J103" s="12">
        <v>2</v>
      </c>
      <c r="K103" s="12">
        <f t="shared" si="2"/>
        <v>89433.171380897111</v>
      </c>
    </row>
    <row r="104" spans="2:11">
      <c r="B104" s="13" t="s">
        <v>16</v>
      </c>
      <c r="C104" s="9" t="s">
        <v>59</v>
      </c>
      <c r="D104" s="9" t="s">
        <v>56</v>
      </c>
      <c r="E104" s="9" t="s">
        <v>130</v>
      </c>
      <c r="F104" s="10" t="b">
        <v>1</v>
      </c>
      <c r="G104" s="10">
        <v>21.551349690148115</v>
      </c>
      <c r="H104" s="10">
        <v>20000</v>
      </c>
      <c r="I104" s="10" t="s">
        <v>12</v>
      </c>
      <c r="J104" s="12">
        <v>2</v>
      </c>
      <c r="K104" s="12">
        <f t="shared" si="2"/>
        <v>89653.614711016155</v>
      </c>
    </row>
    <row r="105" spans="2:11">
      <c r="B105" s="13" t="s">
        <v>20</v>
      </c>
      <c r="C105" s="9" t="s">
        <v>76</v>
      </c>
      <c r="D105" s="9" t="s">
        <v>57</v>
      </c>
      <c r="E105" s="9" t="s">
        <v>124</v>
      </c>
      <c r="F105" s="10" t="b">
        <v>1</v>
      </c>
      <c r="G105" s="10">
        <v>22.242989113918213</v>
      </c>
      <c r="H105" s="10">
        <v>20000</v>
      </c>
      <c r="I105" s="10" t="s">
        <v>12</v>
      </c>
      <c r="J105" s="12">
        <v>2</v>
      </c>
      <c r="K105" s="12">
        <f t="shared" ref="K105:K136" si="3">J105*G105*2080</f>
        <v>92530.834713899763</v>
      </c>
    </row>
    <row r="106" spans="2:11">
      <c r="B106" s="13" t="s">
        <v>16</v>
      </c>
      <c r="C106" s="9" t="s">
        <v>59</v>
      </c>
      <c r="D106" s="9" t="s">
        <v>57</v>
      </c>
      <c r="E106" s="9" t="s">
        <v>124</v>
      </c>
      <c r="F106" s="10" t="b">
        <v>1</v>
      </c>
      <c r="G106" s="10">
        <v>22.679010705476593</v>
      </c>
      <c r="H106" s="10">
        <v>20000</v>
      </c>
      <c r="I106" s="10" t="s">
        <v>12</v>
      </c>
      <c r="J106" s="12">
        <v>2</v>
      </c>
      <c r="K106" s="12">
        <f t="shared" si="3"/>
        <v>94344.684534782631</v>
      </c>
    </row>
    <row r="107" spans="2:11">
      <c r="B107" s="13" t="s">
        <v>71</v>
      </c>
      <c r="C107" s="9" t="s">
        <v>75</v>
      </c>
      <c r="D107" s="9" t="s">
        <v>52</v>
      </c>
      <c r="E107" s="9" t="s">
        <v>133</v>
      </c>
      <c r="F107" s="10" t="b">
        <v>1</v>
      </c>
      <c r="G107" s="10">
        <v>11.515821296970051</v>
      </c>
      <c r="H107" s="10">
        <v>10000</v>
      </c>
      <c r="I107" s="10" t="s">
        <v>51</v>
      </c>
      <c r="J107" s="12">
        <v>4</v>
      </c>
      <c r="K107" s="12">
        <f t="shared" si="3"/>
        <v>95811.633190790832</v>
      </c>
    </row>
    <row r="108" spans="2:11">
      <c r="B108" s="13" t="s">
        <v>98</v>
      </c>
      <c r="C108" s="9" t="s">
        <v>99</v>
      </c>
      <c r="D108" s="9" t="s">
        <v>57</v>
      </c>
      <c r="E108" s="9" t="s">
        <v>124</v>
      </c>
      <c r="F108" s="10" t="b">
        <v>1</v>
      </c>
      <c r="G108" s="10">
        <v>23.166032608391621</v>
      </c>
      <c r="H108" s="10">
        <v>20000</v>
      </c>
      <c r="I108" s="10" t="s">
        <v>12</v>
      </c>
      <c r="J108" s="12">
        <v>2</v>
      </c>
      <c r="K108" s="12">
        <f t="shared" si="3"/>
        <v>96370.69565090914</v>
      </c>
    </row>
    <row r="109" spans="2:11">
      <c r="B109" s="13" t="s">
        <v>39</v>
      </c>
      <c r="C109" s="9" t="s">
        <v>48</v>
      </c>
      <c r="D109" s="9" t="s">
        <v>52</v>
      </c>
      <c r="E109" s="9" t="s">
        <v>133</v>
      </c>
      <c r="F109" s="10" t="b">
        <v>1</v>
      </c>
      <c r="G109" s="10">
        <v>11.623176899591545</v>
      </c>
      <c r="H109" s="10">
        <v>10000</v>
      </c>
      <c r="I109" s="10" t="s">
        <v>51</v>
      </c>
      <c r="J109" s="12">
        <v>4</v>
      </c>
      <c r="K109" s="12">
        <f t="shared" si="3"/>
        <v>96704.83180460165</v>
      </c>
    </row>
    <row r="110" spans="2:11">
      <c r="B110" s="13" t="s">
        <v>71</v>
      </c>
      <c r="C110" s="9" t="s">
        <v>72</v>
      </c>
      <c r="D110" s="9" t="s">
        <v>57</v>
      </c>
      <c r="E110" s="9" t="s">
        <v>124</v>
      </c>
      <c r="F110" s="10" t="b">
        <v>1</v>
      </c>
      <c r="G110" s="10">
        <v>23.477731242839273</v>
      </c>
      <c r="H110" s="10">
        <v>20000</v>
      </c>
      <c r="I110" s="10" t="s">
        <v>12</v>
      </c>
      <c r="J110" s="12">
        <v>2</v>
      </c>
      <c r="K110" s="12">
        <f t="shared" si="3"/>
        <v>97667.361970211379</v>
      </c>
    </row>
    <row r="111" spans="2:11">
      <c r="B111" s="13" t="s">
        <v>20</v>
      </c>
      <c r="C111" s="9" t="s">
        <v>21</v>
      </c>
      <c r="D111" s="9" t="s">
        <v>37</v>
      </c>
      <c r="E111" s="9" t="s">
        <v>127</v>
      </c>
      <c r="F111" s="10" t="b">
        <v>1</v>
      </c>
      <c r="G111" s="10">
        <v>47.009004054369157</v>
      </c>
      <c r="H111" s="10">
        <v>40000</v>
      </c>
      <c r="I111" s="10" t="s">
        <v>12</v>
      </c>
      <c r="J111" s="12">
        <v>1</v>
      </c>
      <c r="K111" s="12">
        <f t="shared" si="3"/>
        <v>97778.728433087846</v>
      </c>
    </row>
    <row r="112" spans="2:11">
      <c r="B112" s="13" t="s">
        <v>18</v>
      </c>
      <c r="C112" s="9" t="s">
        <v>67</v>
      </c>
      <c r="D112" s="9" t="s">
        <v>57</v>
      </c>
      <c r="E112" s="9" t="s">
        <v>124</v>
      </c>
      <c r="F112" s="10" t="b">
        <v>1</v>
      </c>
      <c r="G112" s="10">
        <v>23.572805736248966</v>
      </c>
      <c r="H112" s="10">
        <v>20000</v>
      </c>
      <c r="I112" s="10" t="s">
        <v>12</v>
      </c>
      <c r="J112" s="12">
        <v>2</v>
      </c>
      <c r="K112" s="12">
        <f t="shared" si="3"/>
        <v>98062.871862795699</v>
      </c>
    </row>
    <row r="113" spans="2:11">
      <c r="B113" s="13" t="s">
        <v>71</v>
      </c>
      <c r="C113" s="9" t="s">
        <v>72</v>
      </c>
      <c r="D113" s="9" t="s">
        <v>56</v>
      </c>
      <c r="E113" s="9" t="s">
        <v>130</v>
      </c>
      <c r="F113" s="10" t="b">
        <v>1</v>
      </c>
      <c r="G113" s="10">
        <v>23.741862887827754</v>
      </c>
      <c r="H113" s="10">
        <v>20000</v>
      </c>
      <c r="I113" s="10" t="s">
        <v>12</v>
      </c>
      <c r="J113" s="12">
        <v>2</v>
      </c>
      <c r="K113" s="12">
        <f t="shared" si="3"/>
        <v>98766.14961336345</v>
      </c>
    </row>
    <row r="114" spans="2:11">
      <c r="B114" s="13" t="s">
        <v>18</v>
      </c>
      <c r="C114" s="9" t="s">
        <v>67</v>
      </c>
      <c r="D114" s="9" t="s">
        <v>56</v>
      </c>
      <c r="E114" s="9" t="s">
        <v>130</v>
      </c>
      <c r="F114" s="10" t="b">
        <v>1</v>
      </c>
      <c r="G114" s="10">
        <v>24.27260143793908</v>
      </c>
      <c r="H114" s="10">
        <v>20000</v>
      </c>
      <c r="I114" s="10" t="s">
        <v>12</v>
      </c>
      <c r="J114" s="12">
        <v>2</v>
      </c>
      <c r="K114" s="12">
        <f t="shared" si="3"/>
        <v>100974.02198182658</v>
      </c>
    </row>
    <row r="115" spans="2:11">
      <c r="B115" s="13" t="s">
        <v>94</v>
      </c>
      <c r="C115" s="9" t="s">
        <v>97</v>
      </c>
      <c r="D115" s="9" t="s">
        <v>47</v>
      </c>
      <c r="E115" s="9" t="s">
        <v>131</v>
      </c>
      <c r="F115" s="10" t="b">
        <v>1</v>
      </c>
      <c r="G115" s="10">
        <v>24.724326885313769</v>
      </c>
      <c r="H115" s="10">
        <v>20000</v>
      </c>
      <c r="I115" s="10" t="s">
        <v>12</v>
      </c>
      <c r="J115" s="12">
        <v>2</v>
      </c>
      <c r="K115" s="12">
        <f t="shared" si="3"/>
        <v>102853.19984290528</v>
      </c>
    </row>
    <row r="116" spans="2:11">
      <c r="B116" s="13" t="s">
        <v>39</v>
      </c>
      <c r="C116" s="9" t="s">
        <v>48</v>
      </c>
      <c r="D116" s="9" t="s">
        <v>52</v>
      </c>
      <c r="E116" s="9" t="s">
        <v>133</v>
      </c>
      <c r="F116" s="10" t="b">
        <v>1</v>
      </c>
      <c r="G116" s="10">
        <v>12.374545152436013</v>
      </c>
      <c r="H116" s="10">
        <v>10000</v>
      </c>
      <c r="I116" s="10" t="s">
        <v>53</v>
      </c>
      <c r="J116" s="12">
        <v>4</v>
      </c>
      <c r="K116" s="12">
        <f t="shared" si="3"/>
        <v>102956.21566826763</v>
      </c>
    </row>
    <row r="117" spans="2:11">
      <c r="B117" s="13" t="s">
        <v>80</v>
      </c>
      <c r="C117" s="9" t="s">
        <v>81</v>
      </c>
      <c r="D117" s="9" t="s">
        <v>56</v>
      </c>
      <c r="E117" s="9" t="s">
        <v>130</v>
      </c>
      <c r="F117" s="10" t="b">
        <v>1</v>
      </c>
      <c r="G117" s="10">
        <v>24.846329788179084</v>
      </c>
      <c r="H117" s="10">
        <v>20000</v>
      </c>
      <c r="I117" s="10" t="s">
        <v>12</v>
      </c>
      <c r="J117" s="12">
        <v>2</v>
      </c>
      <c r="K117" s="12">
        <f t="shared" si="3"/>
        <v>103360.73191882498</v>
      </c>
    </row>
    <row r="118" spans="2:11">
      <c r="B118" s="13" t="s">
        <v>18</v>
      </c>
      <c r="C118" s="9" t="s">
        <v>67</v>
      </c>
      <c r="D118" s="9" t="s">
        <v>41</v>
      </c>
      <c r="E118" s="9" t="s">
        <v>113</v>
      </c>
      <c r="F118" s="10" t="b">
        <v>1</v>
      </c>
      <c r="G118" s="10">
        <v>51.338388539628752</v>
      </c>
      <c r="H118" s="10">
        <v>50000</v>
      </c>
      <c r="I118" s="10" t="s">
        <v>12</v>
      </c>
      <c r="J118" s="12">
        <v>1</v>
      </c>
      <c r="K118" s="12">
        <f t="shared" si="3"/>
        <v>106783.84816242781</v>
      </c>
    </row>
    <row r="119" spans="2:11">
      <c r="B119" s="13" t="s">
        <v>98</v>
      </c>
      <c r="C119" s="9" t="s">
        <v>99</v>
      </c>
      <c r="D119" s="9" t="s">
        <v>41</v>
      </c>
      <c r="E119" s="9" t="s">
        <v>113</v>
      </c>
      <c r="F119" s="10" t="b">
        <v>1</v>
      </c>
      <c r="G119" s="10">
        <v>51.458821610648108</v>
      </c>
      <c r="H119" s="10">
        <v>50000</v>
      </c>
      <c r="I119" s="10" t="s">
        <v>12</v>
      </c>
      <c r="J119" s="12">
        <v>1</v>
      </c>
      <c r="K119" s="12">
        <f t="shared" si="3"/>
        <v>107034.34895014807</v>
      </c>
    </row>
    <row r="120" spans="2:11">
      <c r="B120" s="13" t="s">
        <v>22</v>
      </c>
      <c r="C120" s="9" t="s">
        <v>107</v>
      </c>
      <c r="D120" s="9" t="s">
        <v>57</v>
      </c>
      <c r="E120" s="9" t="s">
        <v>124</v>
      </c>
      <c r="F120" s="10" t="b">
        <v>1</v>
      </c>
      <c r="G120" s="10">
        <v>25.881437597763515</v>
      </c>
      <c r="H120" s="10">
        <v>20000</v>
      </c>
      <c r="I120" s="10" t="s">
        <v>12</v>
      </c>
      <c r="J120" s="12">
        <v>2</v>
      </c>
      <c r="K120" s="12">
        <f t="shared" si="3"/>
        <v>107666.78040669623</v>
      </c>
    </row>
    <row r="121" spans="2:11">
      <c r="B121" s="13" t="s">
        <v>16</v>
      </c>
      <c r="C121" s="9" t="s">
        <v>59</v>
      </c>
      <c r="D121" s="9" t="s">
        <v>41</v>
      </c>
      <c r="E121" s="9" t="s">
        <v>113</v>
      </c>
      <c r="F121" s="10" t="b">
        <v>1</v>
      </c>
      <c r="G121" s="10">
        <v>51.876054540910509</v>
      </c>
      <c r="H121" s="10">
        <v>50000</v>
      </c>
      <c r="I121" s="10" t="s">
        <v>12</v>
      </c>
      <c r="J121" s="12">
        <v>1</v>
      </c>
      <c r="K121" s="12">
        <f t="shared" si="3"/>
        <v>107902.19344509386</v>
      </c>
    </row>
    <row r="122" spans="2:11">
      <c r="B122" s="13" t="s">
        <v>39</v>
      </c>
      <c r="C122" s="9" t="s">
        <v>40</v>
      </c>
      <c r="D122" s="9" t="s">
        <v>41</v>
      </c>
      <c r="E122" s="9" t="s">
        <v>113</v>
      </c>
      <c r="F122" s="10" t="b">
        <v>1</v>
      </c>
      <c r="G122" s="10">
        <v>53.355933680911697</v>
      </c>
      <c r="H122" s="10">
        <v>50000</v>
      </c>
      <c r="I122" s="10" t="s">
        <v>12</v>
      </c>
      <c r="J122" s="12">
        <v>1</v>
      </c>
      <c r="K122" s="12">
        <f t="shared" si="3"/>
        <v>110980.34205629633</v>
      </c>
    </row>
    <row r="123" spans="2:11">
      <c r="B123" s="13" t="s">
        <v>16</v>
      </c>
      <c r="C123" s="9" t="s">
        <v>17</v>
      </c>
      <c r="D123" s="9" t="s">
        <v>37</v>
      </c>
      <c r="E123" s="9" t="s">
        <v>127</v>
      </c>
      <c r="F123" s="10" t="b">
        <v>1</v>
      </c>
      <c r="G123" s="10">
        <v>53.897169875064677</v>
      </c>
      <c r="H123" s="10">
        <v>40000</v>
      </c>
      <c r="I123" s="10" t="s">
        <v>12</v>
      </c>
      <c r="J123" s="12">
        <v>1</v>
      </c>
      <c r="K123" s="12">
        <f t="shared" si="3"/>
        <v>112106.11334013453</v>
      </c>
    </row>
    <row r="124" spans="2:11">
      <c r="B124" s="13" t="s">
        <v>22</v>
      </c>
      <c r="C124" s="9" t="s">
        <v>23</v>
      </c>
      <c r="D124" s="9" t="s">
        <v>37</v>
      </c>
      <c r="E124" s="9" t="s">
        <v>127</v>
      </c>
      <c r="F124" s="10" t="b">
        <v>1</v>
      </c>
      <c r="G124" s="10">
        <v>54.056292740714561</v>
      </c>
      <c r="H124" s="10">
        <v>40000</v>
      </c>
      <c r="I124" s="10" t="s">
        <v>12</v>
      </c>
      <c r="J124" s="12">
        <v>1</v>
      </c>
      <c r="K124" s="12">
        <f t="shared" si="3"/>
        <v>112437.08890068629</v>
      </c>
    </row>
    <row r="125" spans="2:11">
      <c r="B125" s="13" t="s">
        <v>85</v>
      </c>
      <c r="C125" s="9" t="s">
        <v>86</v>
      </c>
      <c r="D125" s="9" t="s">
        <v>41</v>
      </c>
      <c r="E125" s="9" t="s">
        <v>113</v>
      </c>
      <c r="F125" s="10" t="b">
        <v>1</v>
      </c>
      <c r="G125" s="10">
        <v>54.911005267058023</v>
      </c>
      <c r="H125" s="10">
        <v>50000</v>
      </c>
      <c r="I125" s="10" t="s">
        <v>12</v>
      </c>
      <c r="J125" s="12">
        <v>1</v>
      </c>
      <c r="K125" s="12">
        <f t="shared" si="3"/>
        <v>114214.89095548069</v>
      </c>
    </row>
    <row r="126" spans="2:11">
      <c r="B126" s="13" t="s">
        <v>89</v>
      </c>
      <c r="C126" s="9" t="s">
        <v>92</v>
      </c>
      <c r="D126" s="9" t="s">
        <v>47</v>
      </c>
      <c r="E126" s="9" t="s">
        <v>131</v>
      </c>
      <c r="F126" s="10" t="b">
        <v>1</v>
      </c>
      <c r="G126" s="10">
        <v>27.51384844847399</v>
      </c>
      <c r="H126" s="10">
        <v>20000</v>
      </c>
      <c r="I126" s="10" t="s">
        <v>12</v>
      </c>
      <c r="J126" s="12">
        <v>2</v>
      </c>
      <c r="K126" s="12">
        <f t="shared" si="3"/>
        <v>114457.60954565179</v>
      </c>
    </row>
    <row r="127" spans="2:11">
      <c r="B127" s="13" t="s">
        <v>22</v>
      </c>
      <c r="C127" s="9" t="s">
        <v>107</v>
      </c>
      <c r="D127" s="9" t="s">
        <v>56</v>
      </c>
      <c r="E127" s="9" t="s">
        <v>130</v>
      </c>
      <c r="F127" s="10" t="b">
        <v>1</v>
      </c>
      <c r="G127" s="10">
        <v>27.644018311016723</v>
      </c>
      <c r="H127" s="10">
        <v>20000</v>
      </c>
      <c r="I127" s="10" t="s">
        <v>12</v>
      </c>
      <c r="J127" s="12">
        <v>2</v>
      </c>
      <c r="K127" s="12">
        <f t="shared" si="3"/>
        <v>114999.11617382956</v>
      </c>
    </row>
    <row r="128" spans="2:11">
      <c r="B128" s="13" t="s">
        <v>18</v>
      </c>
      <c r="C128" s="9" t="s">
        <v>19</v>
      </c>
      <c r="D128" s="9" t="s">
        <v>37</v>
      </c>
      <c r="E128" s="9" t="s">
        <v>127</v>
      </c>
      <c r="F128" s="10" t="b">
        <v>1</v>
      </c>
      <c r="G128" s="10">
        <v>56.028604137351067</v>
      </c>
      <c r="H128" s="10">
        <v>40000</v>
      </c>
      <c r="I128" s="10" t="s">
        <v>12</v>
      </c>
      <c r="J128" s="12">
        <v>1</v>
      </c>
      <c r="K128" s="12">
        <f t="shared" si="3"/>
        <v>116539.49660569022</v>
      </c>
    </row>
    <row r="129" spans="2:11">
      <c r="B129" s="13" t="s">
        <v>94</v>
      </c>
      <c r="C129" s="9" t="s">
        <v>95</v>
      </c>
      <c r="D129" s="9" t="s">
        <v>41</v>
      </c>
      <c r="E129" s="9" t="s">
        <v>113</v>
      </c>
      <c r="F129" s="10" t="b">
        <v>1</v>
      </c>
      <c r="G129" s="10">
        <v>56.278361229043902</v>
      </c>
      <c r="H129" s="10">
        <v>50000</v>
      </c>
      <c r="I129" s="10" t="s">
        <v>12</v>
      </c>
      <c r="J129" s="12">
        <v>1</v>
      </c>
      <c r="K129" s="12">
        <f t="shared" si="3"/>
        <v>117058.99135641132</v>
      </c>
    </row>
    <row r="130" spans="2:11">
      <c r="B130" s="13" t="s">
        <v>80</v>
      </c>
      <c r="C130" s="9" t="s">
        <v>81</v>
      </c>
      <c r="D130" s="9" t="s">
        <v>57</v>
      </c>
      <c r="E130" s="9" t="s">
        <v>124</v>
      </c>
      <c r="F130" s="10" t="b">
        <v>1</v>
      </c>
      <c r="G130" s="10">
        <v>28.407281430885973</v>
      </c>
      <c r="H130" s="10">
        <v>20000</v>
      </c>
      <c r="I130" s="10" t="s">
        <v>12</v>
      </c>
      <c r="J130" s="12">
        <v>2</v>
      </c>
      <c r="K130" s="12">
        <f t="shared" si="3"/>
        <v>118174.29075248566</v>
      </c>
    </row>
    <row r="131" spans="2:11">
      <c r="B131" s="13" t="s">
        <v>22</v>
      </c>
      <c r="C131" s="9" t="s">
        <v>110</v>
      </c>
      <c r="D131" s="9" t="s">
        <v>52</v>
      </c>
      <c r="E131" s="9" t="s">
        <v>133</v>
      </c>
      <c r="F131" s="10" t="b">
        <v>1</v>
      </c>
      <c r="G131" s="10">
        <v>11.420087530258577</v>
      </c>
      <c r="H131" s="10">
        <v>10000</v>
      </c>
      <c r="I131" s="10" t="s">
        <v>51</v>
      </c>
      <c r="J131" s="12">
        <v>5</v>
      </c>
      <c r="K131" s="12">
        <f t="shared" si="3"/>
        <v>118768.9103146892</v>
      </c>
    </row>
    <row r="132" spans="2:11">
      <c r="B132" s="13" t="s">
        <v>63</v>
      </c>
      <c r="C132" s="9" t="s">
        <v>64</v>
      </c>
      <c r="D132" s="9" t="s">
        <v>41</v>
      </c>
      <c r="E132" s="9" t="s">
        <v>113</v>
      </c>
      <c r="F132" s="10" t="b">
        <v>1</v>
      </c>
      <c r="G132" s="10">
        <v>57.687557002136082</v>
      </c>
      <c r="H132" s="10">
        <v>50000</v>
      </c>
      <c r="I132" s="10" t="s">
        <v>12</v>
      </c>
      <c r="J132" s="12">
        <v>1</v>
      </c>
      <c r="K132" s="12">
        <f t="shared" si="3"/>
        <v>119990.11856444305</v>
      </c>
    </row>
    <row r="133" spans="2:11">
      <c r="B133" s="13" t="s">
        <v>9</v>
      </c>
      <c r="C133" s="9" t="s">
        <v>10</v>
      </c>
      <c r="D133" s="9" t="s">
        <v>31</v>
      </c>
      <c r="E133" s="9" t="s">
        <v>114</v>
      </c>
      <c r="F133" s="10" t="b">
        <v>1</v>
      </c>
      <c r="G133" s="10">
        <v>19.232642493764423</v>
      </c>
      <c r="H133" s="10">
        <v>15000</v>
      </c>
      <c r="I133" s="10" t="s">
        <v>12</v>
      </c>
      <c r="J133" s="12">
        <v>3</v>
      </c>
      <c r="K133" s="12">
        <f t="shared" si="3"/>
        <v>120011.68916109001</v>
      </c>
    </row>
    <row r="134" spans="2:11">
      <c r="B134" s="13" t="s">
        <v>22</v>
      </c>
      <c r="C134" s="9" t="s">
        <v>107</v>
      </c>
      <c r="D134" s="9" t="s">
        <v>41</v>
      </c>
      <c r="E134" s="9" t="s">
        <v>113</v>
      </c>
      <c r="F134" s="10" t="b">
        <v>1</v>
      </c>
      <c r="G134" s="10">
        <v>58.078854401946593</v>
      </c>
      <c r="H134" s="10">
        <v>50000</v>
      </c>
      <c r="I134" s="10" t="s">
        <v>12</v>
      </c>
      <c r="J134" s="12">
        <v>1</v>
      </c>
      <c r="K134" s="12">
        <f t="shared" si="3"/>
        <v>120804.01715604891</v>
      </c>
    </row>
    <row r="135" spans="2:11">
      <c r="B135" s="13" t="s">
        <v>103</v>
      </c>
      <c r="C135" s="9" t="s">
        <v>104</v>
      </c>
      <c r="D135" s="9" t="s">
        <v>41</v>
      </c>
      <c r="E135" s="9" t="s">
        <v>113</v>
      </c>
      <c r="F135" s="10" t="b">
        <v>1</v>
      </c>
      <c r="G135" s="10">
        <v>58.417508111389438</v>
      </c>
      <c r="H135" s="10">
        <v>50000</v>
      </c>
      <c r="I135" s="10" t="s">
        <v>12</v>
      </c>
      <c r="J135" s="12">
        <v>1</v>
      </c>
      <c r="K135" s="12">
        <f t="shared" si="3"/>
        <v>121508.41687169003</v>
      </c>
    </row>
    <row r="136" spans="2:11">
      <c r="B136" s="13" t="s">
        <v>98</v>
      </c>
      <c r="C136" s="9" t="s">
        <v>102</v>
      </c>
      <c r="D136" s="9" t="s">
        <v>52</v>
      </c>
      <c r="E136" s="9" t="s">
        <v>133</v>
      </c>
      <c r="F136" s="10" t="b">
        <v>1</v>
      </c>
      <c r="G136" s="10">
        <v>11.78208057531425</v>
      </c>
      <c r="H136" s="10">
        <v>10000</v>
      </c>
      <c r="I136" s="10" t="s">
        <v>51</v>
      </c>
      <c r="J136" s="12">
        <v>5</v>
      </c>
      <c r="K136" s="12">
        <f t="shared" si="3"/>
        <v>122533.63798326821</v>
      </c>
    </row>
    <row r="137" spans="2:11">
      <c r="B137" s="13" t="s">
        <v>71</v>
      </c>
      <c r="C137" s="9" t="s">
        <v>75</v>
      </c>
      <c r="D137" s="9" t="s">
        <v>52</v>
      </c>
      <c r="E137" s="9" t="s">
        <v>133</v>
      </c>
      <c r="F137" s="10" t="b">
        <v>1</v>
      </c>
      <c r="G137" s="10">
        <v>11.783492222854116</v>
      </c>
      <c r="H137" s="10">
        <v>10000</v>
      </c>
      <c r="I137" s="10" t="s">
        <v>53</v>
      </c>
      <c r="J137" s="12">
        <v>5</v>
      </c>
      <c r="K137" s="12">
        <f t="shared" ref="K137:K168" si="4">J137*G137*2080</f>
        <v>122548.31911768281</v>
      </c>
    </row>
    <row r="138" spans="2:11">
      <c r="B138" s="13" t="s">
        <v>20</v>
      </c>
      <c r="C138" s="9" t="s">
        <v>76</v>
      </c>
      <c r="D138" s="9" t="s">
        <v>41</v>
      </c>
      <c r="E138" s="9" t="s">
        <v>113</v>
      </c>
      <c r="F138" s="10" t="b">
        <v>1</v>
      </c>
      <c r="G138" s="10">
        <v>60.342391365015288</v>
      </c>
      <c r="H138" s="10">
        <v>50000</v>
      </c>
      <c r="I138" s="10" t="s">
        <v>12</v>
      </c>
      <c r="J138" s="12">
        <v>1</v>
      </c>
      <c r="K138" s="12">
        <f t="shared" si="4"/>
        <v>125512.1740392318</v>
      </c>
    </row>
    <row r="139" spans="2:11">
      <c r="B139" s="13" t="s">
        <v>9</v>
      </c>
      <c r="C139" s="9" t="s">
        <v>25</v>
      </c>
      <c r="D139" s="9" t="s">
        <v>35</v>
      </c>
      <c r="E139" s="9" t="s">
        <v>125</v>
      </c>
      <c r="F139" s="10" t="b">
        <v>1</v>
      </c>
      <c r="G139" s="10">
        <v>30.395391965038883</v>
      </c>
      <c r="H139" s="10">
        <v>30000</v>
      </c>
      <c r="I139" s="10" t="s">
        <v>12</v>
      </c>
      <c r="J139" s="12">
        <v>2</v>
      </c>
      <c r="K139" s="12">
        <f t="shared" si="4"/>
        <v>126444.83057456175</v>
      </c>
    </row>
    <row r="140" spans="2:11">
      <c r="B140" s="13" t="s">
        <v>89</v>
      </c>
      <c r="C140" s="9" t="s">
        <v>90</v>
      </c>
      <c r="D140" s="9" t="s">
        <v>41</v>
      </c>
      <c r="E140" s="9" t="s">
        <v>113</v>
      </c>
      <c r="F140" s="10" t="b">
        <v>1</v>
      </c>
      <c r="G140" s="10">
        <v>66.232676901423986</v>
      </c>
      <c r="H140" s="10">
        <v>50000</v>
      </c>
      <c r="I140" s="10" t="s">
        <v>12</v>
      </c>
      <c r="J140" s="12">
        <v>1</v>
      </c>
      <c r="K140" s="12">
        <f t="shared" si="4"/>
        <v>137763.9679549619</v>
      </c>
    </row>
    <row r="141" spans="2:11">
      <c r="B141" s="13" t="s">
        <v>20</v>
      </c>
      <c r="C141" s="9" t="s">
        <v>78</v>
      </c>
      <c r="D141" s="9" t="s">
        <v>47</v>
      </c>
      <c r="E141" s="9" t="s">
        <v>131</v>
      </c>
      <c r="F141" s="10" t="b">
        <v>1</v>
      </c>
      <c r="G141" s="10">
        <v>23.102968920807704</v>
      </c>
      <c r="H141" s="10">
        <v>20000</v>
      </c>
      <c r="I141" s="10" t="s">
        <v>12</v>
      </c>
      <c r="J141" s="12">
        <v>3</v>
      </c>
      <c r="K141" s="12">
        <f t="shared" si="4"/>
        <v>144162.52606584007</v>
      </c>
    </row>
    <row r="142" spans="2:11">
      <c r="B142" s="13" t="s">
        <v>71</v>
      </c>
      <c r="C142" s="9" t="s">
        <v>72</v>
      </c>
      <c r="D142" s="9" t="s">
        <v>41</v>
      </c>
      <c r="E142" s="9" t="s">
        <v>113</v>
      </c>
      <c r="F142" s="10" t="b">
        <v>1</v>
      </c>
      <c r="G142" s="10">
        <v>70.587474434473165</v>
      </c>
      <c r="H142" s="10">
        <v>50000</v>
      </c>
      <c r="I142" s="10" t="s">
        <v>12</v>
      </c>
      <c r="J142" s="12">
        <v>1</v>
      </c>
      <c r="K142" s="12">
        <f t="shared" si="4"/>
        <v>146821.94682370417</v>
      </c>
    </row>
    <row r="143" spans="2:11">
      <c r="B143" s="13" t="s">
        <v>80</v>
      </c>
      <c r="C143" s="9" t="s">
        <v>81</v>
      </c>
      <c r="D143" s="9" t="s">
        <v>41</v>
      </c>
      <c r="E143" s="9" t="s">
        <v>113</v>
      </c>
      <c r="F143" s="10" t="b">
        <v>1</v>
      </c>
      <c r="G143" s="10">
        <v>71.208639117099807</v>
      </c>
      <c r="H143" s="10">
        <v>50000</v>
      </c>
      <c r="I143" s="10" t="s">
        <v>12</v>
      </c>
      <c r="J143" s="12">
        <v>1</v>
      </c>
      <c r="K143" s="12">
        <f t="shared" si="4"/>
        <v>148113.96936356759</v>
      </c>
    </row>
    <row r="144" spans="2:11">
      <c r="B144" s="13" t="s">
        <v>9</v>
      </c>
      <c r="C144" s="9" t="s">
        <v>29</v>
      </c>
      <c r="D144" s="9" t="s">
        <v>32</v>
      </c>
      <c r="E144" s="9" t="s">
        <v>124</v>
      </c>
      <c r="F144" s="10" t="b">
        <v>1</v>
      </c>
      <c r="G144" s="10">
        <v>35.915182677716075</v>
      </c>
      <c r="H144" s="10">
        <v>30000</v>
      </c>
      <c r="I144" s="10" t="s">
        <v>12</v>
      </c>
      <c r="J144" s="12">
        <v>2</v>
      </c>
      <c r="K144" s="12">
        <f t="shared" si="4"/>
        <v>149407.15993929887</v>
      </c>
    </row>
    <row r="145" spans="2:11">
      <c r="B145" s="13" t="s">
        <v>22</v>
      </c>
      <c r="C145" s="9" t="s">
        <v>110</v>
      </c>
      <c r="D145" s="9" t="s">
        <v>52</v>
      </c>
      <c r="E145" s="9" t="s">
        <v>133</v>
      </c>
      <c r="F145" s="10" t="b">
        <v>1</v>
      </c>
      <c r="G145" s="10">
        <v>12.057627174891161</v>
      </c>
      <c r="H145" s="10">
        <v>10000</v>
      </c>
      <c r="I145" s="10" t="s">
        <v>53</v>
      </c>
      <c r="J145" s="12">
        <v>6</v>
      </c>
      <c r="K145" s="12">
        <f t="shared" si="4"/>
        <v>150479.18714264169</v>
      </c>
    </row>
    <row r="146" spans="2:11">
      <c r="B146" s="13" t="s">
        <v>9</v>
      </c>
      <c r="C146" s="9" t="s">
        <v>27</v>
      </c>
      <c r="D146" s="9" t="s">
        <v>34</v>
      </c>
      <c r="E146" s="9" t="s">
        <v>128</v>
      </c>
      <c r="F146" s="10" t="b">
        <v>1</v>
      </c>
      <c r="G146" s="10">
        <v>36.227751342518914</v>
      </c>
      <c r="H146" s="10">
        <v>30000</v>
      </c>
      <c r="I146" s="10" t="s">
        <v>12</v>
      </c>
      <c r="J146" s="12">
        <v>2</v>
      </c>
      <c r="K146" s="12">
        <f t="shared" si="4"/>
        <v>150707.44558487867</v>
      </c>
    </row>
    <row r="147" spans="2:11">
      <c r="B147" s="13" t="s">
        <v>9</v>
      </c>
      <c r="C147" s="9" t="s">
        <v>24</v>
      </c>
      <c r="D147" s="9" t="s">
        <v>15</v>
      </c>
      <c r="E147" s="9" t="s">
        <v>132</v>
      </c>
      <c r="F147" s="10" t="b">
        <v>1</v>
      </c>
      <c r="G147" s="10">
        <v>74.13152414926715</v>
      </c>
      <c r="H147" s="10">
        <v>100000</v>
      </c>
      <c r="I147" s="10" t="s">
        <v>12</v>
      </c>
      <c r="J147" s="12">
        <v>1</v>
      </c>
      <c r="K147" s="12">
        <f t="shared" si="4"/>
        <v>154193.57023047569</v>
      </c>
    </row>
    <row r="148" spans="2:11">
      <c r="B148" s="13" t="s">
        <v>9</v>
      </c>
      <c r="C148" s="9" t="s">
        <v>27</v>
      </c>
      <c r="D148" s="9" t="s">
        <v>15</v>
      </c>
      <c r="E148" s="9" t="s">
        <v>132</v>
      </c>
      <c r="F148" s="10" t="b">
        <v>1</v>
      </c>
      <c r="G148" s="10">
        <v>74.470190184390773</v>
      </c>
      <c r="H148" s="10">
        <v>100000</v>
      </c>
      <c r="I148" s="10" t="s">
        <v>12</v>
      </c>
      <c r="J148" s="12">
        <v>1</v>
      </c>
      <c r="K148" s="12">
        <f t="shared" si="4"/>
        <v>154897.99558353281</v>
      </c>
    </row>
    <row r="149" spans="2:11">
      <c r="B149" s="13" t="s">
        <v>80</v>
      </c>
      <c r="C149" s="9" t="s">
        <v>84</v>
      </c>
      <c r="D149" s="9" t="s">
        <v>52</v>
      </c>
      <c r="E149" s="9" t="s">
        <v>133</v>
      </c>
      <c r="F149" s="10" t="b">
        <v>1</v>
      </c>
      <c r="G149" s="10">
        <v>12.58812700413927</v>
      </c>
      <c r="H149" s="10">
        <v>10000</v>
      </c>
      <c r="I149" s="10" t="s">
        <v>51</v>
      </c>
      <c r="J149" s="12">
        <v>6</v>
      </c>
      <c r="K149" s="12">
        <f t="shared" si="4"/>
        <v>157099.8250116581</v>
      </c>
    </row>
    <row r="150" spans="2:11">
      <c r="B150" s="13" t="s">
        <v>18</v>
      </c>
      <c r="C150" s="9" t="s">
        <v>69</v>
      </c>
      <c r="D150" s="9" t="s">
        <v>46</v>
      </c>
      <c r="E150" s="9" t="s">
        <v>131</v>
      </c>
      <c r="F150" s="10" t="b">
        <v>1</v>
      </c>
      <c r="G150" s="10">
        <v>38.117214743184533</v>
      </c>
      <c r="H150" s="10">
        <v>30000</v>
      </c>
      <c r="I150" s="10" t="s">
        <v>12</v>
      </c>
      <c r="J150" s="12">
        <v>2</v>
      </c>
      <c r="K150" s="12">
        <f t="shared" si="4"/>
        <v>158567.61333164765</v>
      </c>
    </row>
    <row r="151" spans="2:11">
      <c r="B151" s="13" t="s">
        <v>16</v>
      </c>
      <c r="C151" s="9" t="s">
        <v>62</v>
      </c>
      <c r="D151" s="9" t="s">
        <v>52</v>
      </c>
      <c r="E151" s="9" t="s">
        <v>133</v>
      </c>
      <c r="F151" s="10" t="b">
        <v>1</v>
      </c>
      <c r="G151" s="10">
        <v>12.724059699787498</v>
      </c>
      <c r="H151" s="10">
        <v>10000</v>
      </c>
      <c r="I151" s="10" t="s">
        <v>51</v>
      </c>
      <c r="J151" s="12">
        <v>6</v>
      </c>
      <c r="K151" s="12">
        <f t="shared" si="4"/>
        <v>158796.26505334798</v>
      </c>
    </row>
    <row r="152" spans="2:11">
      <c r="B152" s="13" t="s">
        <v>103</v>
      </c>
      <c r="C152" s="9" t="s">
        <v>105</v>
      </c>
      <c r="D152" s="9" t="s">
        <v>44</v>
      </c>
      <c r="E152" s="9" t="s">
        <v>129</v>
      </c>
      <c r="F152" s="10" t="b">
        <v>1</v>
      </c>
      <c r="G152" s="10">
        <v>38.305598207815031</v>
      </c>
      <c r="H152" s="10">
        <v>30000</v>
      </c>
      <c r="I152" s="10" t="s">
        <v>12</v>
      </c>
      <c r="J152" s="12">
        <v>2</v>
      </c>
      <c r="K152" s="12">
        <f t="shared" si="4"/>
        <v>159351.28854451052</v>
      </c>
    </row>
    <row r="153" spans="2:11">
      <c r="B153" s="13" t="s">
        <v>98</v>
      </c>
      <c r="C153" s="9" t="s">
        <v>102</v>
      </c>
      <c r="D153" s="9" t="s">
        <v>52</v>
      </c>
      <c r="E153" s="9" t="s">
        <v>133</v>
      </c>
      <c r="F153" s="10" t="b">
        <v>1</v>
      </c>
      <c r="G153" s="10">
        <v>13.00232536884921</v>
      </c>
      <c r="H153" s="10">
        <v>10000</v>
      </c>
      <c r="I153" s="10" t="s">
        <v>53</v>
      </c>
      <c r="J153" s="12">
        <v>6</v>
      </c>
      <c r="K153" s="12">
        <f t="shared" si="4"/>
        <v>162269.02060323811</v>
      </c>
    </row>
    <row r="154" spans="2:11">
      <c r="B154" s="13" t="s">
        <v>9</v>
      </c>
      <c r="C154" s="9" t="s">
        <v>29</v>
      </c>
      <c r="D154" s="9" t="s">
        <v>15</v>
      </c>
      <c r="E154" s="9" t="s">
        <v>132</v>
      </c>
      <c r="F154" s="10" t="b">
        <v>1</v>
      </c>
      <c r="G154" s="10">
        <v>78.904146728235176</v>
      </c>
      <c r="H154" s="10">
        <v>100000</v>
      </c>
      <c r="I154" s="10" t="s">
        <v>12</v>
      </c>
      <c r="J154" s="12">
        <v>1</v>
      </c>
      <c r="K154" s="12">
        <f t="shared" si="4"/>
        <v>164120.62519472916</v>
      </c>
    </row>
    <row r="155" spans="2:11">
      <c r="B155" s="13" t="s">
        <v>16</v>
      </c>
      <c r="C155" s="9" t="s">
        <v>62</v>
      </c>
      <c r="D155" s="9" t="s">
        <v>52</v>
      </c>
      <c r="E155" s="9" t="s">
        <v>133</v>
      </c>
      <c r="F155" s="10" t="b">
        <v>1</v>
      </c>
      <c r="G155" s="10">
        <v>11.332632305443681</v>
      </c>
      <c r="H155" s="10">
        <v>10000</v>
      </c>
      <c r="I155" s="10" t="s">
        <v>53</v>
      </c>
      <c r="J155" s="12">
        <v>7</v>
      </c>
      <c r="K155" s="12">
        <f t="shared" si="4"/>
        <v>165003.12636726</v>
      </c>
    </row>
    <row r="156" spans="2:11">
      <c r="B156" s="13" t="s">
        <v>16</v>
      </c>
      <c r="C156" s="9" t="s">
        <v>17</v>
      </c>
      <c r="D156" s="9" t="s">
        <v>15</v>
      </c>
      <c r="E156" s="9" t="s">
        <v>132</v>
      </c>
      <c r="F156" s="10" t="b">
        <v>1</v>
      </c>
      <c r="G156" s="10">
        <v>80.978050285990776</v>
      </c>
      <c r="H156" s="10">
        <v>100000</v>
      </c>
      <c r="I156" s="10" t="s">
        <v>12</v>
      </c>
      <c r="J156" s="12">
        <v>1</v>
      </c>
      <c r="K156" s="12">
        <f t="shared" si="4"/>
        <v>168434.3445948608</v>
      </c>
    </row>
    <row r="157" spans="2:11">
      <c r="B157" s="13" t="s">
        <v>39</v>
      </c>
      <c r="C157" s="9" t="s">
        <v>45</v>
      </c>
      <c r="D157" s="9" t="s">
        <v>47</v>
      </c>
      <c r="E157" s="9" t="s">
        <v>131</v>
      </c>
      <c r="F157" s="10" t="b">
        <v>1</v>
      </c>
      <c r="G157" s="10">
        <v>27.072020579534744</v>
      </c>
      <c r="H157" s="10">
        <v>20000</v>
      </c>
      <c r="I157" s="10" t="s">
        <v>12</v>
      </c>
      <c r="J157" s="12">
        <v>3</v>
      </c>
      <c r="K157" s="12">
        <f t="shared" si="4"/>
        <v>168929.40841629679</v>
      </c>
    </row>
    <row r="158" spans="2:11">
      <c r="B158" s="13" t="s">
        <v>80</v>
      </c>
      <c r="C158" s="9" t="s">
        <v>84</v>
      </c>
      <c r="D158" s="9" t="s">
        <v>52</v>
      </c>
      <c r="E158" s="9" t="s">
        <v>133</v>
      </c>
      <c r="F158" s="10" t="b">
        <v>1</v>
      </c>
      <c r="G158" s="10">
        <v>11.758211452307116</v>
      </c>
      <c r="H158" s="10">
        <v>10000</v>
      </c>
      <c r="I158" s="10" t="s">
        <v>53</v>
      </c>
      <c r="J158" s="12">
        <v>7</v>
      </c>
      <c r="K158" s="12">
        <f t="shared" si="4"/>
        <v>171199.55874559161</v>
      </c>
    </row>
    <row r="159" spans="2:11">
      <c r="B159" s="13" t="s">
        <v>80</v>
      </c>
      <c r="C159" s="9" t="s">
        <v>83</v>
      </c>
      <c r="D159" s="9" t="s">
        <v>47</v>
      </c>
      <c r="E159" s="9" t="s">
        <v>131</v>
      </c>
      <c r="F159" s="10" t="b">
        <v>1</v>
      </c>
      <c r="G159" s="10">
        <v>27.622262356804686</v>
      </c>
      <c r="H159" s="10">
        <v>20000</v>
      </c>
      <c r="I159" s="10" t="s">
        <v>12</v>
      </c>
      <c r="J159" s="12">
        <v>3</v>
      </c>
      <c r="K159" s="12">
        <f t="shared" si="4"/>
        <v>172362.91710646125</v>
      </c>
    </row>
    <row r="160" spans="2:11">
      <c r="B160" s="13" t="s">
        <v>22</v>
      </c>
      <c r="C160" s="9" t="s">
        <v>23</v>
      </c>
      <c r="D160" s="9" t="s">
        <v>15</v>
      </c>
      <c r="E160" s="9" t="s">
        <v>132</v>
      </c>
      <c r="F160" s="10" t="b">
        <v>1</v>
      </c>
      <c r="G160" s="10">
        <v>83.022026975773741</v>
      </c>
      <c r="H160" s="10">
        <v>100000</v>
      </c>
      <c r="I160" s="10" t="s">
        <v>12</v>
      </c>
      <c r="J160" s="12">
        <v>1</v>
      </c>
      <c r="K160" s="12">
        <f t="shared" si="4"/>
        <v>172685.81610960938</v>
      </c>
    </row>
    <row r="161" spans="2:11">
      <c r="B161" s="13" t="s">
        <v>9</v>
      </c>
      <c r="C161" s="9" t="s">
        <v>26</v>
      </c>
      <c r="D161" s="9" t="s">
        <v>36</v>
      </c>
      <c r="E161" s="9" t="s">
        <v>126</v>
      </c>
      <c r="F161" s="10" t="b">
        <v>1</v>
      </c>
      <c r="G161" s="10">
        <v>42.658164640145635</v>
      </c>
      <c r="H161" s="10">
        <v>40000</v>
      </c>
      <c r="I161" s="10" t="s">
        <v>12</v>
      </c>
      <c r="J161" s="12">
        <v>2</v>
      </c>
      <c r="K161" s="12">
        <f t="shared" si="4"/>
        <v>177457.96490300584</v>
      </c>
    </row>
    <row r="162" spans="2:11">
      <c r="B162" s="13" t="s">
        <v>22</v>
      </c>
      <c r="C162" s="9" t="s">
        <v>23</v>
      </c>
      <c r="D162" s="9" t="s">
        <v>30</v>
      </c>
      <c r="E162" s="9" t="s">
        <v>129</v>
      </c>
      <c r="F162" s="10" t="b">
        <v>1</v>
      </c>
      <c r="G162" s="10">
        <v>43.678485345278531</v>
      </c>
      <c r="H162" s="10">
        <v>40000</v>
      </c>
      <c r="I162" s="10" t="s">
        <v>12</v>
      </c>
      <c r="J162" s="12">
        <v>2</v>
      </c>
      <c r="K162" s="12">
        <f t="shared" si="4"/>
        <v>181702.4990363587</v>
      </c>
    </row>
    <row r="163" spans="2:11">
      <c r="B163" s="13" t="s">
        <v>9</v>
      </c>
      <c r="C163" s="9" t="s">
        <v>25</v>
      </c>
      <c r="D163" s="9" t="s">
        <v>15</v>
      </c>
      <c r="E163" s="9" t="s">
        <v>132</v>
      </c>
      <c r="F163" s="10" t="b">
        <v>1</v>
      </c>
      <c r="G163" s="10">
        <v>87.918587204674537</v>
      </c>
      <c r="H163" s="10">
        <v>100000</v>
      </c>
      <c r="I163" s="10" t="s">
        <v>12</v>
      </c>
      <c r="J163" s="12">
        <v>1</v>
      </c>
      <c r="K163" s="12">
        <f t="shared" si="4"/>
        <v>182870.66138572304</v>
      </c>
    </row>
    <row r="164" spans="2:11">
      <c r="B164" s="13" t="s">
        <v>9</v>
      </c>
      <c r="C164" s="9" t="s">
        <v>28</v>
      </c>
      <c r="D164" s="9" t="s">
        <v>15</v>
      </c>
      <c r="E164" s="9" t="s">
        <v>132</v>
      </c>
      <c r="F164" s="10" t="b">
        <v>1</v>
      </c>
      <c r="G164" s="10">
        <v>88.47526588916017</v>
      </c>
      <c r="H164" s="10">
        <v>100000</v>
      </c>
      <c r="I164" s="10" t="s">
        <v>12</v>
      </c>
      <c r="J164" s="12">
        <v>1</v>
      </c>
      <c r="K164" s="12">
        <f t="shared" si="4"/>
        <v>184028.55304945316</v>
      </c>
    </row>
    <row r="165" spans="2:11">
      <c r="B165" s="13" t="s">
        <v>71</v>
      </c>
      <c r="C165" s="9" t="s">
        <v>74</v>
      </c>
      <c r="D165" s="9" t="s">
        <v>47</v>
      </c>
      <c r="E165" s="9" t="s">
        <v>131</v>
      </c>
      <c r="F165" s="10" t="b">
        <v>1</v>
      </c>
      <c r="G165" s="10">
        <v>23.25157659577544</v>
      </c>
      <c r="H165" s="10">
        <v>20000</v>
      </c>
      <c r="I165" s="10" t="s">
        <v>12</v>
      </c>
      <c r="J165" s="12">
        <v>4</v>
      </c>
      <c r="K165" s="12">
        <f t="shared" si="4"/>
        <v>193453.11727685167</v>
      </c>
    </row>
    <row r="166" spans="2:11">
      <c r="B166" s="13" t="s">
        <v>18</v>
      </c>
      <c r="C166" s="9" t="s">
        <v>19</v>
      </c>
      <c r="D166" s="9" t="s">
        <v>15</v>
      </c>
      <c r="E166" s="9" t="s">
        <v>132</v>
      </c>
      <c r="F166" s="10" t="b">
        <v>1</v>
      </c>
      <c r="G166" s="10">
        <v>95.428889207880502</v>
      </c>
      <c r="H166" s="10">
        <v>100000</v>
      </c>
      <c r="I166" s="10" t="s">
        <v>12</v>
      </c>
      <c r="J166" s="12">
        <v>1</v>
      </c>
      <c r="K166" s="12">
        <f t="shared" si="4"/>
        <v>198492.08955239144</v>
      </c>
    </row>
    <row r="167" spans="2:11">
      <c r="B167" s="13" t="s">
        <v>20</v>
      </c>
      <c r="C167" s="9" t="s">
        <v>21</v>
      </c>
      <c r="D167" s="9" t="s">
        <v>15</v>
      </c>
      <c r="E167" s="9" t="s">
        <v>132</v>
      </c>
      <c r="F167" s="10" t="b">
        <v>1</v>
      </c>
      <c r="G167" s="10">
        <v>97.097954373123102</v>
      </c>
      <c r="H167" s="10">
        <v>100000</v>
      </c>
      <c r="I167" s="10" t="s">
        <v>12</v>
      </c>
      <c r="J167" s="12">
        <v>1</v>
      </c>
      <c r="K167" s="12">
        <f t="shared" si="4"/>
        <v>201963.74509609604</v>
      </c>
    </row>
    <row r="168" spans="2:11">
      <c r="B168" s="13" t="s">
        <v>20</v>
      </c>
      <c r="C168" s="9" t="s">
        <v>21</v>
      </c>
      <c r="D168" s="9" t="s">
        <v>30</v>
      </c>
      <c r="E168" s="9" t="s">
        <v>129</v>
      </c>
      <c r="F168" s="10" t="b">
        <v>1</v>
      </c>
      <c r="G168" s="10">
        <v>49.08763083888693</v>
      </c>
      <c r="H168" s="10">
        <v>40000</v>
      </c>
      <c r="I168" s="10" t="s">
        <v>12</v>
      </c>
      <c r="J168" s="12">
        <v>2</v>
      </c>
      <c r="K168" s="12">
        <f t="shared" si="4"/>
        <v>204204.54428976963</v>
      </c>
    </row>
    <row r="169" spans="2:11">
      <c r="B169" s="13" t="s">
        <v>9</v>
      </c>
      <c r="C169" s="9" t="s">
        <v>26</v>
      </c>
      <c r="D169" s="9" t="s">
        <v>15</v>
      </c>
      <c r="E169" s="9" t="s">
        <v>132</v>
      </c>
      <c r="F169" s="10" t="b">
        <v>1</v>
      </c>
      <c r="G169" s="10">
        <v>98.554210872596414</v>
      </c>
      <c r="H169" s="10">
        <v>100000</v>
      </c>
      <c r="I169" s="10" t="s">
        <v>12</v>
      </c>
      <c r="J169" s="12">
        <v>1</v>
      </c>
      <c r="K169" s="12">
        <f t="shared" ref="K169:K196" si="5">J169*G169*2080</f>
        <v>204992.75861500055</v>
      </c>
    </row>
    <row r="170" spans="2:11">
      <c r="B170" s="13" t="s">
        <v>20</v>
      </c>
      <c r="C170" s="9" t="s">
        <v>79</v>
      </c>
      <c r="D170" s="9" t="s">
        <v>52</v>
      </c>
      <c r="E170" s="9" t="s">
        <v>133</v>
      </c>
      <c r="F170" s="10" t="b">
        <v>1</v>
      </c>
      <c r="G170" s="10">
        <v>12.40413632355672</v>
      </c>
      <c r="H170" s="10">
        <v>10000</v>
      </c>
      <c r="I170" s="10" t="s">
        <v>53</v>
      </c>
      <c r="J170" s="12">
        <v>8</v>
      </c>
      <c r="K170" s="12">
        <f t="shared" si="5"/>
        <v>206404.82842398382</v>
      </c>
    </row>
    <row r="171" spans="2:11">
      <c r="B171" s="13" t="s">
        <v>63</v>
      </c>
      <c r="C171" s="9" t="s">
        <v>65</v>
      </c>
      <c r="D171" s="9" t="s">
        <v>44</v>
      </c>
      <c r="E171" s="9" t="s">
        <v>129</v>
      </c>
      <c r="F171" s="10" t="b">
        <v>1</v>
      </c>
      <c r="G171" s="10">
        <v>35.10584905570434</v>
      </c>
      <c r="H171" s="10">
        <v>30000</v>
      </c>
      <c r="I171" s="10" t="s">
        <v>12</v>
      </c>
      <c r="J171" s="12">
        <v>3</v>
      </c>
      <c r="K171" s="12">
        <f t="shared" si="5"/>
        <v>219060.49810759508</v>
      </c>
    </row>
    <row r="172" spans="2:11">
      <c r="B172" s="13" t="s">
        <v>16</v>
      </c>
      <c r="C172" s="9" t="s">
        <v>61</v>
      </c>
      <c r="D172" s="9" t="s">
        <v>47</v>
      </c>
      <c r="E172" s="9" t="s">
        <v>131</v>
      </c>
      <c r="F172" s="10" t="b">
        <v>1</v>
      </c>
      <c r="G172" s="10">
        <v>26.335128024330174</v>
      </c>
      <c r="H172" s="10">
        <v>20000</v>
      </c>
      <c r="I172" s="10" t="s">
        <v>12</v>
      </c>
      <c r="J172" s="12">
        <v>4</v>
      </c>
      <c r="K172" s="12">
        <f t="shared" si="5"/>
        <v>219108.26516242704</v>
      </c>
    </row>
    <row r="173" spans="2:11">
      <c r="B173" s="13" t="s">
        <v>22</v>
      </c>
      <c r="C173" s="9" t="s">
        <v>108</v>
      </c>
      <c r="D173" s="9" t="s">
        <v>44</v>
      </c>
      <c r="E173" s="9" t="s">
        <v>129</v>
      </c>
      <c r="F173" s="10" t="b">
        <v>1</v>
      </c>
      <c r="G173" s="10">
        <v>35.166062268370716</v>
      </c>
      <c r="H173" s="10">
        <v>30000</v>
      </c>
      <c r="I173" s="10" t="s">
        <v>12</v>
      </c>
      <c r="J173" s="12">
        <v>3</v>
      </c>
      <c r="K173" s="12">
        <f t="shared" si="5"/>
        <v>219436.22855463324</v>
      </c>
    </row>
    <row r="174" spans="2:11">
      <c r="B174" s="13" t="s">
        <v>85</v>
      </c>
      <c r="C174" s="9" t="s">
        <v>87</v>
      </c>
      <c r="D174" s="9" t="s">
        <v>44</v>
      </c>
      <c r="E174" s="9" t="s">
        <v>129</v>
      </c>
      <c r="F174" s="10" t="b">
        <v>1</v>
      </c>
      <c r="G174" s="10">
        <v>35.434470132574198</v>
      </c>
      <c r="H174" s="10">
        <v>30000</v>
      </c>
      <c r="I174" s="10" t="s">
        <v>12</v>
      </c>
      <c r="J174" s="12">
        <v>3</v>
      </c>
      <c r="K174" s="12">
        <f t="shared" si="5"/>
        <v>221111.09362726298</v>
      </c>
    </row>
    <row r="175" spans="2:11">
      <c r="B175" s="13" t="s">
        <v>18</v>
      </c>
      <c r="C175" s="9" t="s">
        <v>19</v>
      </c>
      <c r="D175" s="9" t="s">
        <v>30</v>
      </c>
      <c r="E175" s="9" t="s">
        <v>129</v>
      </c>
      <c r="F175" s="10" t="b">
        <v>1</v>
      </c>
      <c r="G175" s="10">
        <v>53.80294480977836</v>
      </c>
      <c r="H175" s="10">
        <v>40000</v>
      </c>
      <c r="I175" s="10" t="s">
        <v>12</v>
      </c>
      <c r="J175" s="12">
        <v>2</v>
      </c>
      <c r="K175" s="12">
        <f t="shared" si="5"/>
        <v>223820.25040867797</v>
      </c>
    </row>
    <row r="176" spans="2:11">
      <c r="B176" s="13" t="s">
        <v>20</v>
      </c>
      <c r="C176" s="9" t="s">
        <v>79</v>
      </c>
      <c r="D176" s="9" t="s">
        <v>52</v>
      </c>
      <c r="E176" s="9" t="s">
        <v>133</v>
      </c>
      <c r="F176" s="10" t="b">
        <v>1</v>
      </c>
      <c r="G176" s="10">
        <v>12.057204077756941</v>
      </c>
      <c r="H176" s="10">
        <v>10000</v>
      </c>
      <c r="I176" s="10" t="s">
        <v>51</v>
      </c>
      <c r="J176" s="12">
        <v>9</v>
      </c>
      <c r="K176" s="12">
        <f t="shared" si="5"/>
        <v>225710.86033560993</v>
      </c>
    </row>
    <row r="177" spans="2:11">
      <c r="B177" s="13" t="s">
        <v>18</v>
      </c>
      <c r="C177" s="9" t="s">
        <v>70</v>
      </c>
      <c r="D177" s="9" t="s">
        <v>52</v>
      </c>
      <c r="E177" s="9" t="s">
        <v>133</v>
      </c>
      <c r="F177" s="10" t="b">
        <v>1</v>
      </c>
      <c r="G177" s="10">
        <v>11.05755630081379</v>
      </c>
      <c r="H177" s="10">
        <v>10000</v>
      </c>
      <c r="I177" s="10" t="s">
        <v>51</v>
      </c>
      <c r="J177" s="12">
        <v>10</v>
      </c>
      <c r="K177" s="12">
        <f t="shared" si="5"/>
        <v>229997.1710569268</v>
      </c>
    </row>
    <row r="178" spans="2:11">
      <c r="B178" s="13" t="s">
        <v>98</v>
      </c>
      <c r="C178" s="9" t="s">
        <v>100</v>
      </c>
      <c r="D178" s="9" t="s">
        <v>44</v>
      </c>
      <c r="E178" s="9" t="s">
        <v>129</v>
      </c>
      <c r="F178" s="10" t="b">
        <v>1</v>
      </c>
      <c r="G178" s="10">
        <v>37.419293084576339</v>
      </c>
      <c r="H178" s="10">
        <v>30000</v>
      </c>
      <c r="I178" s="10" t="s">
        <v>12</v>
      </c>
      <c r="J178" s="12">
        <v>3</v>
      </c>
      <c r="K178" s="12">
        <f t="shared" si="5"/>
        <v>233496.38884775635</v>
      </c>
    </row>
    <row r="179" spans="2:11">
      <c r="B179" s="13" t="s">
        <v>18</v>
      </c>
      <c r="C179" s="9" t="s">
        <v>70</v>
      </c>
      <c r="D179" s="9" t="s">
        <v>52</v>
      </c>
      <c r="E179" s="9" t="s">
        <v>133</v>
      </c>
      <c r="F179" s="10" t="b">
        <v>1</v>
      </c>
      <c r="G179" s="10">
        <v>12.667779911110411</v>
      </c>
      <c r="H179" s="10">
        <v>10000</v>
      </c>
      <c r="I179" s="10" t="s">
        <v>53</v>
      </c>
      <c r="J179" s="12">
        <v>9</v>
      </c>
      <c r="K179" s="12">
        <f t="shared" si="5"/>
        <v>237140.83993598691</v>
      </c>
    </row>
    <row r="180" spans="2:11">
      <c r="B180" s="13" t="s">
        <v>9</v>
      </c>
      <c r="C180" s="9" t="s">
        <v>26</v>
      </c>
      <c r="D180" s="9" t="s">
        <v>37</v>
      </c>
      <c r="E180" s="9" t="s">
        <v>127</v>
      </c>
      <c r="F180" s="10" t="b">
        <v>1</v>
      </c>
      <c r="G180" s="10">
        <v>42.910687114350402</v>
      </c>
      <c r="H180" s="10">
        <v>40000</v>
      </c>
      <c r="I180" s="10" t="s">
        <v>12</v>
      </c>
      <c r="J180" s="12">
        <v>3</v>
      </c>
      <c r="K180" s="12">
        <f t="shared" si="5"/>
        <v>267762.68759354652</v>
      </c>
    </row>
    <row r="181" spans="2:11">
      <c r="B181" s="13" t="s">
        <v>9</v>
      </c>
      <c r="C181" s="9" t="s">
        <v>27</v>
      </c>
      <c r="D181" s="9" t="s">
        <v>33</v>
      </c>
      <c r="E181" s="9" t="s">
        <v>130</v>
      </c>
      <c r="F181" s="10" t="b">
        <v>1</v>
      </c>
      <c r="G181" s="10">
        <v>32.718112651195625</v>
      </c>
      <c r="H181" s="10">
        <v>30000</v>
      </c>
      <c r="I181" s="10" t="s">
        <v>12</v>
      </c>
      <c r="J181" s="12">
        <v>4</v>
      </c>
      <c r="K181" s="12">
        <f t="shared" si="5"/>
        <v>272214.69725794758</v>
      </c>
    </row>
    <row r="182" spans="2:11">
      <c r="B182" s="13" t="s">
        <v>18</v>
      </c>
      <c r="C182" s="9" t="s">
        <v>69</v>
      </c>
      <c r="D182" s="9" t="s">
        <v>47</v>
      </c>
      <c r="E182" s="9" t="s">
        <v>131</v>
      </c>
      <c r="F182" s="10" t="b">
        <v>1</v>
      </c>
      <c r="G182" s="10">
        <v>22.07005509274083</v>
      </c>
      <c r="H182" s="10">
        <v>20000</v>
      </c>
      <c r="I182" s="10" t="s">
        <v>12</v>
      </c>
      <c r="J182" s="12">
        <v>6</v>
      </c>
      <c r="K182" s="12">
        <f t="shared" si="5"/>
        <v>275434.28755740554</v>
      </c>
    </row>
    <row r="183" spans="2:11">
      <c r="B183" s="13" t="s">
        <v>89</v>
      </c>
      <c r="C183" s="9" t="s">
        <v>91</v>
      </c>
      <c r="D183" s="9" t="s">
        <v>44</v>
      </c>
      <c r="E183" s="9" t="s">
        <v>129</v>
      </c>
      <c r="F183" s="10" t="b">
        <v>1</v>
      </c>
      <c r="G183" s="10">
        <v>33.881058840309393</v>
      </c>
      <c r="H183" s="10">
        <v>30000</v>
      </c>
      <c r="I183" s="10" t="s">
        <v>12</v>
      </c>
      <c r="J183" s="12">
        <v>4</v>
      </c>
      <c r="K183" s="12">
        <f t="shared" si="5"/>
        <v>281890.40955137415</v>
      </c>
    </row>
    <row r="184" spans="2:11">
      <c r="B184" s="13" t="s">
        <v>16</v>
      </c>
      <c r="C184" s="9" t="s">
        <v>17</v>
      </c>
      <c r="D184" s="9" t="s">
        <v>30</v>
      </c>
      <c r="E184" s="9" t="s">
        <v>129</v>
      </c>
      <c r="F184" s="10" t="b">
        <v>1</v>
      </c>
      <c r="G184" s="10">
        <v>50.869774449547684</v>
      </c>
      <c r="H184" s="10">
        <v>40000</v>
      </c>
      <c r="I184" s="10" t="s">
        <v>12</v>
      </c>
      <c r="J184" s="12">
        <v>3</v>
      </c>
      <c r="K184" s="12">
        <f t="shared" si="5"/>
        <v>317427.39256517752</v>
      </c>
    </row>
    <row r="185" spans="2:11">
      <c r="B185" s="13" t="s">
        <v>9</v>
      </c>
      <c r="C185" s="9" t="s">
        <v>28</v>
      </c>
      <c r="D185" s="9" t="s">
        <v>36</v>
      </c>
      <c r="E185" s="9" t="s">
        <v>126</v>
      </c>
      <c r="F185" s="10" t="b">
        <v>1</v>
      </c>
      <c r="G185" s="10">
        <v>51.961855813797456</v>
      </c>
      <c r="H185" s="10">
        <v>40000</v>
      </c>
      <c r="I185" s="10" t="s">
        <v>12</v>
      </c>
      <c r="J185" s="12">
        <v>3</v>
      </c>
      <c r="K185" s="12">
        <f t="shared" si="5"/>
        <v>324241.9802780961</v>
      </c>
    </row>
    <row r="186" spans="2:11">
      <c r="B186" s="13" t="s">
        <v>39</v>
      </c>
      <c r="C186" s="9" t="s">
        <v>42</v>
      </c>
      <c r="D186" s="9" t="s">
        <v>44</v>
      </c>
      <c r="E186" s="9" t="s">
        <v>129</v>
      </c>
      <c r="F186" s="10" t="b">
        <v>1</v>
      </c>
      <c r="G186" s="10">
        <v>39.64434505428035</v>
      </c>
      <c r="H186" s="10">
        <v>30000</v>
      </c>
      <c r="I186" s="10" t="s">
        <v>12</v>
      </c>
      <c r="J186" s="12">
        <v>4</v>
      </c>
      <c r="K186" s="12">
        <f t="shared" si="5"/>
        <v>329840.95085161249</v>
      </c>
    </row>
    <row r="187" spans="2:11">
      <c r="B187" s="13" t="s">
        <v>9</v>
      </c>
      <c r="C187" s="9" t="s">
        <v>14</v>
      </c>
      <c r="D187" s="9" t="s">
        <v>15</v>
      </c>
      <c r="E187" s="9" t="s">
        <v>131</v>
      </c>
      <c r="F187" s="10" t="b">
        <v>1</v>
      </c>
      <c r="G187" s="10">
        <v>84.327563274930469</v>
      </c>
      <c r="H187" s="10">
        <v>100000</v>
      </c>
      <c r="I187" s="10" t="s">
        <v>12</v>
      </c>
      <c r="J187" s="12">
        <v>2</v>
      </c>
      <c r="K187" s="12">
        <f t="shared" si="5"/>
        <v>350802.66322371073</v>
      </c>
    </row>
    <row r="188" spans="2:11">
      <c r="B188" s="13" t="s">
        <v>94</v>
      </c>
      <c r="C188" s="9" t="s">
        <v>96</v>
      </c>
      <c r="D188" s="9" t="s">
        <v>44</v>
      </c>
      <c r="E188" s="9" t="s">
        <v>129</v>
      </c>
      <c r="F188" s="10" t="b">
        <v>1</v>
      </c>
      <c r="G188" s="10">
        <v>35.396797636657567</v>
      </c>
      <c r="H188" s="10">
        <v>30000</v>
      </c>
      <c r="I188" s="10" t="s">
        <v>12</v>
      </c>
      <c r="J188" s="12">
        <v>5</v>
      </c>
      <c r="K188" s="12">
        <f t="shared" si="5"/>
        <v>368126.69542123872</v>
      </c>
    </row>
    <row r="189" spans="2:11">
      <c r="B189" s="13" t="s">
        <v>20</v>
      </c>
      <c r="C189" s="9" t="s">
        <v>77</v>
      </c>
      <c r="D189" s="9" t="s">
        <v>44</v>
      </c>
      <c r="E189" s="9" t="s">
        <v>129</v>
      </c>
      <c r="F189" s="10" t="b">
        <v>1</v>
      </c>
      <c r="G189" s="10">
        <v>36.016917546104736</v>
      </c>
      <c r="H189" s="10">
        <v>30000</v>
      </c>
      <c r="I189" s="10" t="s">
        <v>12</v>
      </c>
      <c r="J189" s="12">
        <v>5</v>
      </c>
      <c r="K189" s="12">
        <f t="shared" si="5"/>
        <v>374575.94247948925</v>
      </c>
    </row>
    <row r="190" spans="2:11">
      <c r="B190" s="13" t="s">
        <v>80</v>
      </c>
      <c r="C190" s="9" t="s">
        <v>82</v>
      </c>
      <c r="D190" s="9" t="s">
        <v>44</v>
      </c>
      <c r="E190" s="9" t="s">
        <v>129</v>
      </c>
      <c r="F190" s="10" t="b">
        <v>1</v>
      </c>
      <c r="G190" s="10">
        <v>39.283037161779248</v>
      </c>
      <c r="H190" s="10">
        <v>30000</v>
      </c>
      <c r="I190" s="10" t="s">
        <v>12</v>
      </c>
      <c r="J190" s="12">
        <v>5</v>
      </c>
      <c r="K190" s="12">
        <f t="shared" si="5"/>
        <v>408543.58648250415</v>
      </c>
    </row>
    <row r="191" spans="2:11">
      <c r="B191" s="13" t="s">
        <v>9</v>
      </c>
      <c r="C191" s="9" t="s">
        <v>14</v>
      </c>
      <c r="D191" s="9" t="s">
        <v>38</v>
      </c>
      <c r="E191" s="9" t="s">
        <v>131</v>
      </c>
      <c r="F191" s="10" t="b">
        <v>1</v>
      </c>
      <c r="G191" s="10">
        <v>49.571795375649401</v>
      </c>
      <c r="H191" s="10">
        <v>40000</v>
      </c>
      <c r="I191" s="10" t="s">
        <v>12</v>
      </c>
      <c r="J191" s="12">
        <v>4</v>
      </c>
      <c r="K191" s="12">
        <f t="shared" si="5"/>
        <v>412437.33752540301</v>
      </c>
    </row>
    <row r="192" spans="2:11">
      <c r="B192" s="13" t="s">
        <v>71</v>
      </c>
      <c r="C192" s="9" t="s">
        <v>73</v>
      </c>
      <c r="D192" s="9" t="s">
        <v>44</v>
      </c>
      <c r="E192" s="9" t="s">
        <v>129</v>
      </c>
      <c r="F192" s="10" t="b">
        <v>1</v>
      </c>
      <c r="G192" s="10">
        <v>37.485658569441462</v>
      </c>
      <c r="H192" s="10">
        <v>30000</v>
      </c>
      <c r="I192" s="10" t="s">
        <v>12</v>
      </c>
      <c r="J192" s="12">
        <v>6</v>
      </c>
      <c r="K192" s="12">
        <f t="shared" si="5"/>
        <v>467821.01894662948</v>
      </c>
    </row>
    <row r="193" spans="2:11">
      <c r="B193" s="13" t="s">
        <v>16</v>
      </c>
      <c r="C193" s="9" t="s">
        <v>60</v>
      </c>
      <c r="D193" s="9" t="s">
        <v>44</v>
      </c>
      <c r="E193" s="9" t="s">
        <v>129</v>
      </c>
      <c r="F193" s="10" t="b">
        <v>1</v>
      </c>
      <c r="G193" s="10">
        <v>33.935790384740116</v>
      </c>
      <c r="H193" s="10">
        <v>30000</v>
      </c>
      <c r="I193" s="10" t="s">
        <v>12</v>
      </c>
      <c r="J193" s="12">
        <v>7</v>
      </c>
      <c r="K193" s="12">
        <f t="shared" si="5"/>
        <v>494105.10800181609</v>
      </c>
    </row>
    <row r="194" spans="2:11">
      <c r="B194" s="13" t="s">
        <v>9</v>
      </c>
      <c r="C194" s="9" t="s">
        <v>10</v>
      </c>
      <c r="D194" s="9" t="s">
        <v>11</v>
      </c>
      <c r="E194" s="9" t="s">
        <v>112</v>
      </c>
      <c r="F194" s="10" t="b">
        <v>1</v>
      </c>
      <c r="G194" s="10">
        <v>240.38461538461539</v>
      </c>
      <c r="H194" s="10">
        <v>0</v>
      </c>
      <c r="I194" s="10" t="s">
        <v>12</v>
      </c>
      <c r="J194" s="12">
        <v>1</v>
      </c>
      <c r="K194" s="12">
        <f t="shared" si="5"/>
        <v>500000</v>
      </c>
    </row>
    <row r="195" spans="2:11">
      <c r="B195" s="13" t="s">
        <v>18</v>
      </c>
      <c r="C195" s="9" t="s">
        <v>68</v>
      </c>
      <c r="D195" s="9" t="s">
        <v>44</v>
      </c>
      <c r="E195" s="9" t="s">
        <v>129</v>
      </c>
      <c r="F195" s="10" t="b">
        <v>1</v>
      </c>
      <c r="G195" s="10">
        <v>35.793342463072136</v>
      </c>
      <c r="H195" s="10">
        <v>30000</v>
      </c>
      <c r="I195" s="10" t="s">
        <v>12</v>
      </c>
      <c r="J195" s="12">
        <v>7</v>
      </c>
      <c r="K195" s="12">
        <f t="shared" si="5"/>
        <v>521151.06626233034</v>
      </c>
    </row>
    <row r="196" spans="2:11">
      <c r="B196" s="13" t="s">
        <v>9</v>
      </c>
      <c r="C196" s="9" t="s">
        <v>10</v>
      </c>
      <c r="D196" s="9" t="s">
        <v>13</v>
      </c>
      <c r="E196" s="9" t="s">
        <v>112</v>
      </c>
      <c r="F196" s="10" t="b">
        <v>1</v>
      </c>
      <c r="G196" s="10">
        <v>170.91459599616792</v>
      </c>
      <c r="H196" s="10">
        <v>150000</v>
      </c>
      <c r="I196" s="10" t="s">
        <v>12</v>
      </c>
      <c r="J196" s="12">
        <v>4</v>
      </c>
      <c r="K196" s="12">
        <f t="shared" si="5"/>
        <v>1422009.4386881171</v>
      </c>
    </row>
  </sheetData>
  <autoFilter ref="B8:K196">
    <sortState ref="B9:K196">
      <sortCondition ref="K8:K196"/>
    </sortState>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287"/>
  <sheetViews>
    <sheetView showGridLines="0" workbookViewId="0">
      <selection activeCell="E288" sqref="E288"/>
    </sheetView>
  </sheetViews>
  <sheetFormatPr defaultColWidth="9" defaultRowHeight="11.5" outlineLevelRow="1"/>
  <cols>
    <col min="1" max="1" width="9" style="5"/>
    <col min="2" max="2" width="42.296875" style="5" customWidth="1"/>
    <col min="3" max="3" width="18.3984375" style="5" customWidth="1"/>
    <col min="4" max="4" width="11" style="5" customWidth="1"/>
    <col min="5" max="5" width="15" style="5" customWidth="1"/>
    <col min="6" max="7" width="23.3984375" style="5" customWidth="1"/>
    <col min="8" max="8" width="28.3984375" style="5" customWidth="1"/>
    <col min="9" max="9" width="23.3984375" style="5" customWidth="1"/>
    <col min="10" max="10" width="28.3984375" style="5" customWidth="1"/>
    <col min="11" max="11" width="18.3984375" style="5" customWidth="1"/>
    <col min="12" max="12" width="23.3984375" style="5" customWidth="1"/>
    <col min="13" max="13" width="18.3984375" style="5" customWidth="1"/>
    <col min="14" max="14" width="23.3984375" style="5" customWidth="1"/>
    <col min="15" max="15" width="18.3984375" style="5" customWidth="1"/>
    <col min="16" max="16" width="23.3984375" style="5" customWidth="1"/>
    <col min="17" max="17" width="18.3984375" style="5" customWidth="1"/>
    <col min="18" max="18" width="23.3984375" style="5" customWidth="1"/>
    <col min="19" max="19" width="18.3984375" style="5" customWidth="1"/>
    <col min="20" max="20" width="23.3984375" style="5" customWidth="1"/>
    <col min="21" max="21" width="18.3984375" style="5" customWidth="1"/>
    <col min="22" max="22" width="23.3984375" style="5" customWidth="1"/>
    <col min="23" max="23" width="18.3984375" style="5" customWidth="1"/>
    <col min="24" max="24" width="23.3984375" style="5" customWidth="1"/>
    <col min="25" max="25" width="18.3984375" style="5" customWidth="1"/>
    <col min="26" max="26" width="23.3984375" style="5" customWidth="1"/>
    <col min="27" max="27" width="18.3984375" style="5" customWidth="1"/>
    <col min="28" max="28" width="23.3984375" style="5" customWidth="1"/>
    <col min="29" max="29" width="18.3984375" style="5" customWidth="1"/>
    <col min="30" max="30" width="23.3984375" style="5" customWidth="1"/>
    <col min="31" max="31" width="18.3984375" style="5" customWidth="1"/>
    <col min="32" max="33" width="23.3984375" style="5" customWidth="1"/>
    <col min="34" max="34" width="28.3984375" style="5" customWidth="1"/>
    <col min="35" max="35" width="23" style="5" customWidth="1"/>
    <col min="36" max="36" width="18.3984375" style="5" customWidth="1"/>
    <col min="37" max="37" width="28.3984375" style="5" customWidth="1"/>
    <col min="38" max="38" width="23" style="5" customWidth="1"/>
    <col min="39" max="39" width="18.3984375" style="5" customWidth="1"/>
    <col min="40" max="40" width="28.3984375" style="5" customWidth="1"/>
    <col min="41" max="41" width="23" style="5" customWidth="1"/>
    <col min="42" max="42" width="18.3984375" style="5" customWidth="1"/>
    <col min="43" max="43" width="28.3984375" style="5" customWidth="1"/>
    <col min="44" max="44" width="23" style="5" customWidth="1"/>
    <col min="45" max="45" width="18.3984375" style="5" customWidth="1"/>
    <col min="46" max="46" width="28.3984375" style="5" customWidth="1"/>
    <col min="47" max="47" width="23" style="5" customWidth="1"/>
    <col min="48" max="48" width="23.3984375" style="5" bestFit="1" customWidth="1"/>
    <col min="49" max="49" width="33.59765625" style="5" customWidth="1"/>
    <col min="50" max="50" width="28.09765625" style="5" customWidth="1"/>
    <col min="51" max="51" width="4.09765625" style="5" customWidth="1"/>
    <col min="52" max="52" width="28.8984375" style="5" bestFit="1" customWidth="1"/>
    <col min="53" max="53" width="21.69921875" style="5" bestFit="1" customWidth="1"/>
    <col min="54" max="54" width="3.69921875" style="5" customWidth="1"/>
    <col min="55" max="55" width="25.09765625" style="5" bestFit="1" customWidth="1"/>
    <col min="56" max="56" width="24" style="5" bestFit="1" customWidth="1"/>
    <col min="57" max="57" width="27.3984375" style="5" bestFit="1" customWidth="1"/>
    <col min="58" max="58" width="12" style="5" bestFit="1" customWidth="1"/>
    <col min="59" max="16384" width="9" style="5"/>
  </cols>
  <sheetData>
    <row r="1" spans="1:8" ht="13">
      <c r="A1" s="4" t="str">
        <f>'Cover Page'!A1</f>
        <v>Problem Solving With Excel</v>
      </c>
    </row>
    <row r="2" spans="1:8" ht="13">
      <c r="A2" s="4" t="str">
        <f>'Cover Page'!A2</f>
        <v>Week 3 project</v>
      </c>
    </row>
    <row r="3" spans="1:8" ht="13">
      <c r="A3" s="4" t="s">
        <v>1</v>
      </c>
    </row>
    <row r="7" spans="1:8" ht="18.5">
      <c r="B7" s="1" t="s">
        <v>111</v>
      </c>
    </row>
    <row r="8" spans="1:8" ht="49.15" customHeight="1">
      <c r="B8" s="38" t="s">
        <v>174</v>
      </c>
      <c r="C8" s="38"/>
      <c r="D8" s="38"/>
      <c r="E8" s="38"/>
      <c r="F8" s="38"/>
      <c r="G8" s="38"/>
      <c r="H8" s="38"/>
    </row>
    <row r="9" spans="1:8" ht="7.9" customHeight="1"/>
    <row r="10" spans="1:8" ht="22.15" customHeight="1">
      <c r="B10" s="1" t="s">
        <v>186</v>
      </c>
    </row>
    <row r="11" spans="1:8" ht="27" hidden="1" customHeight="1" outlineLevel="1">
      <c r="B11" s="38" t="s">
        <v>171</v>
      </c>
      <c r="C11" s="38"/>
      <c r="D11" s="38"/>
      <c r="E11" s="38"/>
      <c r="F11" s="38"/>
      <c r="G11" s="38"/>
      <c r="H11" s="38"/>
    </row>
    <row r="12" spans="1:8" hidden="1" outlineLevel="1"/>
    <row r="13" spans="1:8" ht="14" hidden="1" outlineLevel="1">
      <c r="G13" s="18" t="s">
        <v>123</v>
      </c>
    </row>
    <row r="14" spans="1:8" customFormat="1" hidden="1" outlineLevel="1">
      <c r="A14" s="5"/>
      <c r="B14" s="5"/>
      <c r="C14" s="5"/>
      <c r="D14" s="5"/>
      <c r="E14" s="5"/>
      <c r="F14" s="5"/>
    </row>
    <row r="15" spans="1:8" customFormat="1" ht="14" hidden="1" outlineLevel="1">
      <c r="A15" s="5"/>
      <c r="B15" s="18" t="s">
        <v>1</v>
      </c>
      <c r="C15" s="18" t="s">
        <v>121</v>
      </c>
      <c r="D15" s="18"/>
      <c r="E15" s="18" t="s">
        <v>122</v>
      </c>
      <c r="F15" s="5"/>
    </row>
    <row r="16" spans="1:8" customFormat="1" hidden="1" outlineLevel="1">
      <c r="A16" s="5"/>
      <c r="B16" s="19" t="s">
        <v>180</v>
      </c>
      <c r="C16" s="20"/>
      <c r="D16" s="20"/>
      <c r="E16" s="20"/>
      <c r="F16" s="5"/>
    </row>
    <row r="17" spans="1:6" customFormat="1" hidden="1" outlineLevel="1">
      <c r="A17" s="5"/>
      <c r="B17" s="19" t="s">
        <v>181</v>
      </c>
      <c r="C17" s="20"/>
      <c r="D17" s="20"/>
      <c r="E17" s="20"/>
      <c r="F17" s="5"/>
    </row>
    <row r="18" spans="1:6" customFormat="1" hidden="1" outlineLevel="1">
      <c r="A18" s="5"/>
      <c r="B18" s="19" t="s">
        <v>177</v>
      </c>
      <c r="C18" s="20"/>
      <c r="D18" s="20"/>
      <c r="E18" s="20"/>
      <c r="F18" s="5"/>
    </row>
    <row r="19" spans="1:6" customFormat="1" hidden="1" outlineLevel="1">
      <c r="A19" s="5"/>
      <c r="B19" s="19" t="s">
        <v>178</v>
      </c>
      <c r="C19" s="20"/>
      <c r="D19" s="20"/>
      <c r="E19" s="20"/>
      <c r="F19" s="5"/>
    </row>
    <row r="20" spans="1:6" customFormat="1" hidden="1" outlineLevel="1">
      <c r="A20" s="5"/>
      <c r="B20" s="19" t="s">
        <v>179</v>
      </c>
      <c r="C20" s="20"/>
      <c r="D20" s="20"/>
      <c r="E20" s="20"/>
      <c r="F20" s="5"/>
    </row>
    <row r="21" spans="1:6" customFormat="1" hidden="1" outlineLevel="1">
      <c r="A21" s="5"/>
      <c r="B21" s="5"/>
      <c r="C21" s="5"/>
      <c r="D21" s="5"/>
      <c r="E21" s="5"/>
      <c r="F21" s="5"/>
    </row>
    <row r="22" spans="1:6" customFormat="1" hidden="1" outlineLevel="1">
      <c r="A22" s="5"/>
      <c r="B22" s="5"/>
      <c r="C22" s="5"/>
      <c r="D22" s="5"/>
      <c r="E22" s="5"/>
      <c r="F22" s="5"/>
    </row>
    <row r="23" spans="1:6" customFormat="1" hidden="1" outlineLevel="1">
      <c r="A23" s="5"/>
      <c r="B23" s="5"/>
      <c r="C23" s="5"/>
      <c r="D23" s="5"/>
      <c r="E23" s="5"/>
      <c r="F23" s="5"/>
    </row>
    <row r="24" spans="1:6" customFormat="1" hidden="1" outlineLevel="1">
      <c r="A24" s="5"/>
      <c r="B24" s="5"/>
      <c r="C24" s="5"/>
      <c r="D24" s="5"/>
      <c r="E24" s="5"/>
      <c r="F24" s="5"/>
    </row>
    <row r="25" spans="1:6" customFormat="1" hidden="1" outlineLevel="1">
      <c r="A25" s="5"/>
      <c r="B25" s="5"/>
      <c r="C25" s="5"/>
      <c r="D25" s="5"/>
      <c r="E25" s="5"/>
      <c r="F25" s="5"/>
    </row>
    <row r="26" spans="1:6" customFormat="1" hidden="1" outlineLevel="1">
      <c r="A26" s="5"/>
      <c r="B26" s="5"/>
      <c r="C26" s="5"/>
      <c r="D26" s="5"/>
      <c r="E26" s="5"/>
      <c r="F26" s="5"/>
    </row>
    <row r="27" spans="1:6" customFormat="1" hidden="1" outlineLevel="1">
      <c r="A27" s="5"/>
      <c r="B27" s="5"/>
      <c r="C27" s="5"/>
      <c r="D27" s="5"/>
      <c r="E27" s="5"/>
      <c r="F27" s="5"/>
    </row>
    <row r="28" spans="1:6" customFormat="1" hidden="1" outlineLevel="1">
      <c r="A28" s="5"/>
      <c r="B28" s="5"/>
      <c r="C28" s="5"/>
      <c r="D28" s="5"/>
      <c r="E28" s="5"/>
      <c r="F28" s="5"/>
    </row>
    <row r="29" spans="1:6" customFormat="1" hidden="1" outlineLevel="1">
      <c r="A29" s="5"/>
      <c r="B29" s="5"/>
      <c r="C29" s="5"/>
      <c r="D29" s="5"/>
      <c r="E29" s="5"/>
      <c r="F29" s="5"/>
    </row>
    <row r="30" spans="1:6" customFormat="1" hidden="1" outlineLevel="1">
      <c r="A30" s="5"/>
      <c r="B30" s="5"/>
      <c r="C30" s="5"/>
      <c r="D30" s="5"/>
      <c r="E30" s="5"/>
      <c r="F30" s="5"/>
    </row>
    <row r="31" spans="1:6" customFormat="1" hidden="1" outlineLevel="1">
      <c r="A31" s="5"/>
      <c r="B31" s="5"/>
      <c r="C31" s="5"/>
      <c r="D31" s="5"/>
      <c r="E31" s="5"/>
      <c r="F31" s="5"/>
    </row>
    <row r="32" spans="1:6" customFormat="1" hidden="1" outlineLevel="1">
      <c r="A32" s="5"/>
      <c r="B32" s="5"/>
      <c r="C32" s="5"/>
      <c r="D32" s="5"/>
      <c r="E32" s="5"/>
      <c r="F32" s="5"/>
    </row>
    <row r="33" spans="1:6" customFormat="1" hidden="1" outlineLevel="1">
      <c r="A33" s="5"/>
      <c r="B33" s="5"/>
      <c r="C33" s="5"/>
      <c r="D33" s="5"/>
      <c r="E33" s="5"/>
      <c r="F33" s="5"/>
    </row>
    <row r="34" spans="1:6" customFormat="1" hidden="1" outlineLevel="1">
      <c r="A34" s="5"/>
      <c r="B34" s="5"/>
      <c r="C34" s="5"/>
      <c r="D34" s="5"/>
      <c r="E34" s="5"/>
      <c r="F34" s="5"/>
    </row>
    <row r="35" spans="1:6" customFormat="1" hidden="1" outlineLevel="1">
      <c r="A35" s="5"/>
      <c r="B35" s="5"/>
      <c r="C35" s="5"/>
      <c r="D35" s="5"/>
      <c r="E35" s="5"/>
      <c r="F35" s="5"/>
    </row>
    <row r="36" spans="1:6" customFormat="1" hidden="1" outlineLevel="1">
      <c r="A36" s="5"/>
      <c r="B36" s="5"/>
      <c r="C36" s="5"/>
      <c r="D36" s="5"/>
      <c r="E36" s="5"/>
      <c r="F36" s="5"/>
    </row>
    <row r="37" spans="1:6" customFormat="1" hidden="1" outlineLevel="1">
      <c r="A37" s="5"/>
      <c r="B37" s="5"/>
      <c r="C37" s="5"/>
      <c r="D37" s="5"/>
      <c r="E37" s="5"/>
      <c r="F37" s="5"/>
    </row>
    <row r="38" spans="1:6" customFormat="1" hidden="1" outlineLevel="1">
      <c r="A38" s="5"/>
      <c r="B38" s="5"/>
      <c r="C38" s="5"/>
      <c r="D38" s="5"/>
      <c r="E38" s="5"/>
      <c r="F38" s="5"/>
    </row>
    <row r="39" spans="1:6" customFormat="1" hidden="1" outlineLevel="1">
      <c r="A39" s="5"/>
      <c r="B39" s="5"/>
      <c r="C39" s="5"/>
      <c r="D39" s="5"/>
      <c r="E39" s="5"/>
      <c r="F39" s="5"/>
    </row>
    <row r="40" spans="1:6" customFormat="1" hidden="1" outlineLevel="1">
      <c r="A40" s="5"/>
      <c r="B40" s="5"/>
      <c r="C40" s="5"/>
      <c r="D40" s="5"/>
      <c r="E40" s="5"/>
      <c r="F40" s="5"/>
    </row>
    <row r="41" spans="1:6" customFormat="1" hidden="1" outlineLevel="1">
      <c r="A41" s="5"/>
      <c r="B41" s="5"/>
      <c r="C41" s="5"/>
      <c r="D41" s="5"/>
      <c r="E41" s="5"/>
      <c r="F41" s="5"/>
    </row>
    <row r="42" spans="1:6" customFormat="1" hidden="1" outlineLevel="1">
      <c r="A42" s="5"/>
      <c r="B42" s="5"/>
      <c r="C42" s="5"/>
      <c r="D42" s="5"/>
      <c r="E42" s="5"/>
      <c r="F42" s="5"/>
    </row>
    <row r="43" spans="1:6" customFormat="1" hidden="1" outlineLevel="1">
      <c r="A43" s="5"/>
      <c r="B43" s="5"/>
      <c r="C43" s="5"/>
      <c r="D43" s="5"/>
      <c r="E43" s="5"/>
      <c r="F43" s="5"/>
    </row>
    <row r="44" spans="1:6" customFormat="1" hidden="1" outlineLevel="1">
      <c r="A44" s="5"/>
      <c r="B44" s="5"/>
      <c r="C44" s="5"/>
      <c r="D44" s="5"/>
      <c r="E44" s="5"/>
      <c r="F44" s="5"/>
    </row>
    <row r="45" spans="1:6" customFormat="1" hidden="1" outlineLevel="1">
      <c r="A45" s="5"/>
      <c r="B45" s="5"/>
      <c r="C45" s="5"/>
      <c r="D45" s="5"/>
      <c r="E45" s="5"/>
      <c r="F45" s="5"/>
    </row>
    <row r="46" spans="1:6" customFormat="1" hidden="1" outlineLevel="1">
      <c r="A46" s="5"/>
      <c r="B46" s="5"/>
      <c r="C46" s="5"/>
      <c r="D46" s="5"/>
      <c r="E46" s="5"/>
      <c r="F46" s="5"/>
    </row>
    <row r="47" spans="1:6" customFormat="1" hidden="1" outlineLevel="1">
      <c r="A47" s="5"/>
      <c r="B47" s="5"/>
      <c r="C47" s="5"/>
      <c r="D47" s="5"/>
      <c r="E47" s="5"/>
      <c r="F47" s="5"/>
    </row>
    <row r="48" spans="1:6" customFormat="1" hidden="1" outlineLevel="1">
      <c r="A48" s="5"/>
      <c r="B48" s="5"/>
      <c r="C48" s="5"/>
      <c r="D48" s="5"/>
      <c r="E48" s="5"/>
      <c r="F48" s="5"/>
    </row>
    <row r="49" spans="1:6" customFormat="1" hidden="1" outlineLevel="1">
      <c r="A49" s="5"/>
      <c r="B49" s="5"/>
      <c r="C49" s="5"/>
      <c r="D49" s="5"/>
      <c r="E49" s="5"/>
      <c r="F49" s="5"/>
    </row>
    <row r="50" spans="1:6" customFormat="1" hidden="1" outlineLevel="1">
      <c r="A50" s="5"/>
      <c r="B50" s="5"/>
      <c r="C50" s="5"/>
      <c r="D50" s="5"/>
      <c r="E50" s="5"/>
      <c r="F50" s="5"/>
    </row>
    <row r="51" spans="1:6" customFormat="1" hidden="1" outlineLevel="1">
      <c r="A51" s="5"/>
      <c r="B51" s="5"/>
      <c r="C51" s="5"/>
      <c r="D51" s="5"/>
      <c r="E51" s="5"/>
      <c r="F51" s="5"/>
    </row>
    <row r="52" spans="1:6" customFormat="1" hidden="1" outlineLevel="1">
      <c r="A52" s="5"/>
      <c r="B52" s="5"/>
      <c r="C52" s="5"/>
      <c r="D52" s="5"/>
      <c r="E52" s="5"/>
      <c r="F52" s="5"/>
    </row>
    <row r="53" spans="1:6" customFormat="1" hidden="1" outlineLevel="1">
      <c r="A53" s="5"/>
      <c r="B53" s="5"/>
      <c r="C53" s="5"/>
      <c r="D53" s="5"/>
      <c r="E53" s="5"/>
      <c r="F53" s="5"/>
    </row>
    <row r="54" spans="1:6" customFormat="1" hidden="1" outlineLevel="1">
      <c r="A54" s="5"/>
      <c r="B54" s="5"/>
      <c r="C54" s="5"/>
      <c r="D54" s="5"/>
      <c r="E54" s="5"/>
      <c r="F54" s="5"/>
    </row>
    <row r="55" spans="1:6" customFormat="1" hidden="1" outlineLevel="1">
      <c r="A55" s="5"/>
      <c r="B55" s="5"/>
      <c r="C55" s="5"/>
      <c r="D55" s="5"/>
      <c r="E55" s="5"/>
      <c r="F55" s="5"/>
    </row>
    <row r="56" spans="1:6" customFormat="1" hidden="1" outlineLevel="1">
      <c r="A56" s="5"/>
      <c r="B56" s="5"/>
      <c r="C56" s="5"/>
      <c r="D56" s="5"/>
      <c r="E56" s="5"/>
      <c r="F56" s="5"/>
    </row>
    <row r="57" spans="1:6" customFormat="1" hidden="1" outlineLevel="1">
      <c r="A57" s="5"/>
      <c r="B57" s="5"/>
      <c r="C57" s="5"/>
      <c r="D57" s="5"/>
      <c r="E57" s="5"/>
      <c r="F57" s="5"/>
    </row>
    <row r="58" spans="1:6" customFormat="1" hidden="1" outlineLevel="1">
      <c r="A58" s="5"/>
      <c r="B58" s="5"/>
      <c r="C58" s="5"/>
      <c r="D58" s="5"/>
      <c r="E58" s="5"/>
      <c r="F58" s="5"/>
    </row>
    <row r="59" spans="1:6" customFormat="1" hidden="1" outlineLevel="1">
      <c r="A59" s="5"/>
      <c r="B59" s="5"/>
      <c r="C59" s="5"/>
      <c r="D59" s="5"/>
      <c r="E59" s="5"/>
      <c r="F59" s="5"/>
    </row>
    <row r="60" spans="1:6" customFormat="1" hidden="1" outlineLevel="1">
      <c r="A60" s="5"/>
      <c r="B60" s="5"/>
      <c r="C60" s="5"/>
      <c r="D60" s="5"/>
      <c r="E60" s="5"/>
      <c r="F60" s="5"/>
    </row>
    <row r="61" spans="1:6" customFormat="1" hidden="1" outlineLevel="1">
      <c r="A61" s="5"/>
      <c r="B61" s="5"/>
      <c r="C61" s="5"/>
      <c r="D61" s="5"/>
      <c r="E61" s="5"/>
      <c r="F61" s="5"/>
    </row>
    <row r="62" spans="1:6" customFormat="1" hidden="1" outlineLevel="1">
      <c r="A62" s="5"/>
      <c r="B62" s="5"/>
      <c r="C62" s="5"/>
      <c r="D62" s="5"/>
      <c r="E62" s="5"/>
      <c r="F62" s="5"/>
    </row>
    <row r="63" spans="1:6" customFormat="1" hidden="1" outlineLevel="1">
      <c r="A63" s="5"/>
      <c r="B63" s="5"/>
      <c r="C63" s="5"/>
      <c r="D63" s="5"/>
      <c r="E63" s="5"/>
      <c r="F63" s="5"/>
    </row>
    <row r="64" spans="1:6" customFormat="1" hidden="1" outlineLevel="1">
      <c r="A64" s="5"/>
      <c r="B64" s="5"/>
      <c r="C64" s="5"/>
      <c r="D64" s="5"/>
      <c r="E64" s="5"/>
      <c r="F64" s="5"/>
    </row>
    <row r="65" spans="1:6" customFormat="1" hidden="1" outlineLevel="1">
      <c r="A65" s="5"/>
      <c r="B65" s="5"/>
      <c r="C65" s="5"/>
      <c r="D65" s="5"/>
      <c r="E65" s="5"/>
      <c r="F65" s="5"/>
    </row>
    <row r="66" spans="1:6" customFormat="1" hidden="1" outlineLevel="1">
      <c r="A66" s="5"/>
      <c r="B66" s="5"/>
      <c r="C66" s="5"/>
      <c r="D66" s="5"/>
      <c r="E66" s="5"/>
      <c r="F66" s="5"/>
    </row>
    <row r="67" spans="1:6" customFormat="1" hidden="1" outlineLevel="1">
      <c r="A67" s="5"/>
      <c r="B67" s="5"/>
      <c r="C67" s="5"/>
      <c r="D67" s="5"/>
      <c r="E67" s="5"/>
      <c r="F67" s="5"/>
    </row>
    <row r="68" spans="1:6" customFormat="1" hidden="1" outlineLevel="1">
      <c r="A68" s="5"/>
      <c r="B68" s="5"/>
      <c r="C68" s="5"/>
      <c r="D68" s="5"/>
      <c r="E68" s="5"/>
      <c r="F68" s="5"/>
    </row>
    <row r="69" spans="1:6" customFormat="1" hidden="1" outlineLevel="1">
      <c r="A69" s="5"/>
      <c r="B69" s="5"/>
      <c r="C69" s="5"/>
      <c r="D69" s="5"/>
      <c r="E69" s="5"/>
      <c r="F69" s="5"/>
    </row>
    <row r="70" spans="1:6" customFormat="1" hidden="1" outlineLevel="1">
      <c r="A70" s="5"/>
      <c r="B70" s="5"/>
      <c r="C70" s="5"/>
      <c r="D70" s="5"/>
      <c r="E70" s="5"/>
      <c r="F70" s="5"/>
    </row>
    <row r="71" spans="1:6" customFormat="1" hidden="1" outlineLevel="1">
      <c r="A71" s="5"/>
      <c r="B71" s="5"/>
      <c r="C71" s="5"/>
      <c r="D71" s="5"/>
      <c r="E71" s="5"/>
      <c r="F71" s="5"/>
    </row>
    <row r="72" spans="1:6" customFormat="1" hidden="1" outlineLevel="1">
      <c r="A72" s="5"/>
      <c r="B72" s="5"/>
      <c r="C72" s="5"/>
      <c r="D72" s="5"/>
      <c r="E72" s="5"/>
      <c r="F72" s="5"/>
    </row>
    <row r="73" spans="1:6" customFormat="1" hidden="1" outlineLevel="1">
      <c r="A73" s="5"/>
      <c r="B73" s="5"/>
      <c r="C73" s="5"/>
      <c r="D73" s="5"/>
      <c r="E73" s="5"/>
      <c r="F73" s="5"/>
    </row>
    <row r="74" spans="1:6" customFormat="1" hidden="1" outlineLevel="1">
      <c r="A74" s="5"/>
      <c r="B74" s="5"/>
      <c r="C74" s="5"/>
      <c r="D74" s="5"/>
      <c r="E74" s="5"/>
      <c r="F74" s="5"/>
    </row>
    <row r="75" spans="1:6" customFormat="1" hidden="1" outlineLevel="1">
      <c r="A75" s="5"/>
      <c r="B75" s="5"/>
      <c r="C75" s="5"/>
      <c r="D75" s="5"/>
      <c r="E75" s="5"/>
      <c r="F75" s="5"/>
    </row>
    <row r="76" spans="1:6" customFormat="1" hidden="1" outlineLevel="1">
      <c r="A76" s="5"/>
      <c r="B76" s="5"/>
      <c r="C76" s="5"/>
      <c r="D76" s="5"/>
      <c r="E76" s="5"/>
      <c r="F76" s="5"/>
    </row>
    <row r="77" spans="1:6" customFormat="1" hidden="1" outlineLevel="1">
      <c r="A77" s="5"/>
      <c r="B77" s="5"/>
      <c r="C77" s="5"/>
      <c r="D77" s="5"/>
      <c r="E77" s="5"/>
      <c r="F77" s="5"/>
    </row>
    <row r="78" spans="1:6" customFormat="1" hidden="1" outlineLevel="1">
      <c r="A78" s="5"/>
      <c r="B78" s="5"/>
      <c r="C78" s="5"/>
      <c r="D78" s="5"/>
      <c r="E78" s="5"/>
      <c r="F78" s="5"/>
    </row>
    <row r="79" spans="1:6" customFormat="1" hidden="1" outlineLevel="1">
      <c r="A79" s="5"/>
      <c r="B79" s="5"/>
      <c r="C79" s="5"/>
      <c r="D79" s="5"/>
      <c r="E79" s="5"/>
      <c r="F79" s="5"/>
    </row>
    <row r="80" spans="1:6" customFormat="1" hidden="1" outlineLevel="1">
      <c r="A80" s="5"/>
      <c r="B80" s="5"/>
      <c r="C80" s="5"/>
      <c r="D80" s="5"/>
      <c r="E80" s="5"/>
      <c r="F80" s="5"/>
    </row>
    <row r="81" spans="1:6" customFormat="1" hidden="1" outlineLevel="1">
      <c r="A81" s="5"/>
      <c r="B81" s="5"/>
      <c r="C81" s="5"/>
      <c r="D81" s="5"/>
      <c r="E81" s="5"/>
      <c r="F81" s="5"/>
    </row>
    <row r="82" spans="1:6" customFormat="1" hidden="1" outlineLevel="1">
      <c r="A82" s="5"/>
      <c r="B82" s="5"/>
      <c r="C82" s="5"/>
      <c r="D82" s="5"/>
      <c r="E82" s="5"/>
      <c r="F82" s="5"/>
    </row>
    <row r="83" spans="1:6" customFormat="1" hidden="1" outlineLevel="1">
      <c r="A83" s="5"/>
      <c r="B83" s="5"/>
      <c r="C83" s="5"/>
      <c r="D83" s="5"/>
      <c r="E83" s="5"/>
      <c r="F83" s="5"/>
    </row>
    <row r="84" spans="1:6" customFormat="1" hidden="1" outlineLevel="1">
      <c r="A84" s="5"/>
      <c r="B84" s="5"/>
      <c r="C84" s="5"/>
      <c r="D84" s="5"/>
      <c r="E84" s="5"/>
      <c r="F84" s="5"/>
    </row>
    <row r="85" spans="1:6" customFormat="1" hidden="1" outlineLevel="1">
      <c r="A85" s="5"/>
      <c r="B85" s="5"/>
      <c r="C85" s="5"/>
      <c r="D85" s="5"/>
      <c r="E85" s="5"/>
      <c r="F85" s="5"/>
    </row>
    <row r="86" spans="1:6" customFormat="1" hidden="1" outlineLevel="1">
      <c r="A86" s="5"/>
      <c r="B86" s="5"/>
      <c r="C86" s="5"/>
      <c r="D86" s="5"/>
      <c r="E86" s="5"/>
      <c r="F86" s="5"/>
    </row>
    <row r="87" spans="1:6" customFormat="1" hidden="1" outlineLevel="1">
      <c r="A87" s="5"/>
      <c r="B87" s="5"/>
      <c r="C87" s="5"/>
      <c r="D87" s="5"/>
      <c r="E87" s="5"/>
      <c r="F87" s="5"/>
    </row>
    <row r="88" spans="1:6" customFormat="1" hidden="1" outlineLevel="1">
      <c r="A88" s="5"/>
      <c r="B88" s="5"/>
      <c r="C88" s="5"/>
      <c r="D88" s="5"/>
      <c r="E88" s="5"/>
      <c r="F88" s="5"/>
    </row>
    <row r="89" spans="1:6" customFormat="1" hidden="1" outlineLevel="1">
      <c r="A89" s="5"/>
      <c r="B89" s="5"/>
      <c r="C89" s="5"/>
      <c r="D89" s="5"/>
      <c r="E89" s="5"/>
      <c r="F89" s="5"/>
    </row>
    <row r="90" spans="1:6" customFormat="1" hidden="1" outlineLevel="1">
      <c r="A90" s="5"/>
      <c r="B90" s="5"/>
      <c r="C90" s="5"/>
      <c r="D90" s="5"/>
      <c r="E90" s="5"/>
      <c r="F90" s="5"/>
    </row>
    <row r="91" spans="1:6" customFormat="1" hidden="1" outlineLevel="1">
      <c r="A91" s="5"/>
      <c r="B91" s="5"/>
      <c r="C91" s="5"/>
      <c r="D91" s="5"/>
      <c r="E91" s="5"/>
      <c r="F91" s="5"/>
    </row>
    <row r="92" spans="1:6" customFormat="1" hidden="1" outlineLevel="1">
      <c r="A92" s="5"/>
      <c r="B92" s="5"/>
      <c r="C92" s="5"/>
      <c r="D92" s="5"/>
      <c r="E92" s="5"/>
      <c r="F92" s="5"/>
    </row>
    <row r="93" spans="1:6" customFormat="1" hidden="1" outlineLevel="1">
      <c r="A93" s="5"/>
      <c r="B93" s="5"/>
      <c r="C93" s="5"/>
      <c r="D93" s="5"/>
      <c r="E93" s="5"/>
      <c r="F93" s="5"/>
    </row>
    <row r="94" spans="1:6" customFormat="1" hidden="1" outlineLevel="1">
      <c r="A94" s="5"/>
      <c r="B94" s="5"/>
      <c r="C94" s="5"/>
      <c r="D94" s="5"/>
      <c r="E94" s="5"/>
      <c r="F94" s="5"/>
    </row>
    <row r="95" spans="1:6" customFormat="1" hidden="1" outlineLevel="1">
      <c r="A95" s="5"/>
      <c r="B95" s="5"/>
      <c r="C95" s="5"/>
      <c r="D95" s="5"/>
      <c r="E95" s="5"/>
      <c r="F95" s="5"/>
    </row>
    <row r="96" spans="1:6" customFormat="1" hidden="1" outlineLevel="1">
      <c r="A96" s="5"/>
      <c r="B96" s="5"/>
      <c r="C96" s="5"/>
      <c r="D96" s="5"/>
      <c r="E96" s="5"/>
      <c r="F96" s="5"/>
    </row>
    <row r="97" spans="1:6" customFormat="1" hidden="1" outlineLevel="1">
      <c r="A97" s="5"/>
      <c r="B97" s="5"/>
      <c r="C97" s="5"/>
      <c r="D97" s="5"/>
      <c r="E97" s="5"/>
      <c r="F97" s="5"/>
    </row>
    <row r="98" spans="1:6" customFormat="1" hidden="1" outlineLevel="1">
      <c r="A98" s="5"/>
      <c r="B98" s="5"/>
      <c r="C98" s="5"/>
      <c r="D98" s="5"/>
      <c r="E98" s="5"/>
      <c r="F98" s="5"/>
    </row>
    <row r="99" spans="1:6" customFormat="1" hidden="1" outlineLevel="1">
      <c r="A99" s="5"/>
      <c r="B99" s="5"/>
      <c r="C99" s="5"/>
      <c r="D99" s="5"/>
      <c r="E99" s="5"/>
      <c r="F99" s="5"/>
    </row>
    <row r="100" spans="1:6" customFormat="1" hidden="1" outlineLevel="1">
      <c r="A100" s="5"/>
      <c r="B100" s="5"/>
      <c r="C100" s="5"/>
      <c r="D100" s="5"/>
      <c r="E100" s="5"/>
      <c r="F100" s="5"/>
    </row>
    <row r="101" spans="1:6" customFormat="1" hidden="1" outlineLevel="1">
      <c r="A101" s="5"/>
      <c r="B101" s="5"/>
      <c r="C101" s="5"/>
      <c r="D101" s="5"/>
      <c r="E101" s="5"/>
      <c r="F101" s="5"/>
    </row>
    <row r="102" spans="1:6" customFormat="1" hidden="1" outlineLevel="1">
      <c r="A102" s="5"/>
      <c r="B102" s="5"/>
      <c r="C102" s="5"/>
      <c r="D102" s="5"/>
      <c r="E102" s="5"/>
      <c r="F102" s="5"/>
    </row>
    <row r="103" spans="1:6" customFormat="1" hidden="1" outlineLevel="1">
      <c r="A103" s="5"/>
      <c r="B103" s="5"/>
      <c r="C103" s="5"/>
      <c r="D103" s="5"/>
      <c r="E103" s="5"/>
      <c r="F103" s="5"/>
    </row>
    <row r="104" spans="1:6" customFormat="1" hidden="1" outlineLevel="1">
      <c r="A104" s="5"/>
      <c r="B104" s="5"/>
      <c r="C104" s="5"/>
      <c r="D104" s="5"/>
      <c r="E104" s="5"/>
      <c r="F104" s="5"/>
    </row>
    <row r="105" spans="1:6" customFormat="1" hidden="1" outlineLevel="1">
      <c r="A105" s="5"/>
      <c r="B105" s="5"/>
      <c r="C105" s="5"/>
      <c r="D105" s="5"/>
      <c r="E105" s="5"/>
      <c r="F105" s="5"/>
    </row>
    <row r="106" spans="1:6" customFormat="1" hidden="1" outlineLevel="1">
      <c r="A106" s="5"/>
      <c r="B106" s="5"/>
      <c r="C106" s="5"/>
      <c r="D106" s="5"/>
      <c r="E106" s="5"/>
      <c r="F106" s="5"/>
    </row>
    <row r="107" spans="1:6" customFormat="1" hidden="1" outlineLevel="1">
      <c r="A107" s="5"/>
      <c r="B107" s="5"/>
      <c r="C107" s="5"/>
      <c r="D107" s="5"/>
      <c r="E107" s="5"/>
      <c r="F107" s="5"/>
    </row>
    <row r="108" spans="1:6" customFormat="1" hidden="1" outlineLevel="1">
      <c r="A108" s="5"/>
      <c r="B108" s="5"/>
      <c r="C108" s="5"/>
      <c r="D108" s="5"/>
      <c r="E108" s="5"/>
      <c r="F108" s="5"/>
    </row>
    <row r="109" spans="1:6" customFormat="1" hidden="1" outlineLevel="1">
      <c r="A109" s="5"/>
      <c r="B109" s="5"/>
      <c r="C109" s="5"/>
      <c r="D109" s="5"/>
      <c r="E109" s="5"/>
      <c r="F109" s="5"/>
    </row>
    <row r="110" spans="1:6" customFormat="1" hidden="1" outlineLevel="1">
      <c r="A110" s="5"/>
      <c r="B110" s="5"/>
      <c r="C110" s="5"/>
      <c r="D110" s="5"/>
      <c r="E110" s="5"/>
      <c r="F110" s="5"/>
    </row>
    <row r="111" spans="1:6" customFormat="1" hidden="1" outlineLevel="1">
      <c r="A111" s="5"/>
      <c r="B111" s="5"/>
      <c r="C111" s="5"/>
      <c r="D111" s="5"/>
      <c r="E111" s="5"/>
      <c r="F111" s="5"/>
    </row>
    <row r="112" spans="1:6" customFormat="1" hidden="1" outlineLevel="1">
      <c r="A112" s="5"/>
      <c r="B112" s="5"/>
      <c r="C112" s="5"/>
      <c r="D112" s="5"/>
      <c r="E112" s="5"/>
      <c r="F112" s="5"/>
    </row>
    <row r="113" spans="1:6" customFormat="1" hidden="1" outlineLevel="1">
      <c r="A113" s="5"/>
      <c r="B113" s="5"/>
      <c r="C113" s="5"/>
      <c r="D113" s="5"/>
      <c r="E113" s="5"/>
      <c r="F113" s="5"/>
    </row>
    <row r="114" spans="1:6" customFormat="1" hidden="1" outlineLevel="1">
      <c r="A114" s="5"/>
      <c r="B114" s="5"/>
      <c r="C114" s="5"/>
      <c r="D114" s="5"/>
      <c r="E114" s="5"/>
      <c r="F114" s="5"/>
    </row>
    <row r="115" spans="1:6" customFormat="1" hidden="1" outlineLevel="1">
      <c r="A115" s="5"/>
      <c r="B115" s="5"/>
      <c r="C115" s="5"/>
      <c r="D115" s="5"/>
      <c r="E115" s="5"/>
      <c r="F115" s="5"/>
    </row>
    <row r="116" spans="1:6" customFormat="1" hidden="1" outlineLevel="1">
      <c r="A116" s="5"/>
      <c r="B116" s="5"/>
      <c r="C116" s="5"/>
      <c r="D116" s="5"/>
      <c r="E116" s="5"/>
      <c r="F116" s="5"/>
    </row>
    <row r="117" spans="1:6" customFormat="1" hidden="1" outlineLevel="1">
      <c r="A117" s="5"/>
      <c r="B117" s="5"/>
      <c r="C117" s="5"/>
      <c r="D117" s="5"/>
      <c r="E117" s="5"/>
      <c r="F117" s="5"/>
    </row>
    <row r="118" spans="1:6" customFormat="1" hidden="1" outlineLevel="1">
      <c r="A118" s="5"/>
      <c r="B118" s="5"/>
      <c r="C118" s="5"/>
      <c r="D118" s="5"/>
      <c r="E118" s="5"/>
      <c r="F118" s="5"/>
    </row>
    <row r="119" spans="1:6" customFormat="1" hidden="1" outlineLevel="1">
      <c r="A119" s="5"/>
      <c r="B119" s="5"/>
      <c r="C119" s="5"/>
      <c r="D119" s="5"/>
      <c r="E119" s="5"/>
      <c r="F119" s="5"/>
    </row>
    <row r="120" spans="1:6" customFormat="1" hidden="1" outlineLevel="1">
      <c r="A120" s="5"/>
      <c r="B120" s="5"/>
      <c r="C120" s="5"/>
      <c r="D120" s="5"/>
      <c r="E120" s="5"/>
      <c r="F120" s="5"/>
    </row>
    <row r="121" spans="1:6" customFormat="1" hidden="1" outlineLevel="1">
      <c r="A121" s="5"/>
      <c r="B121" s="5"/>
      <c r="C121" s="5"/>
      <c r="D121" s="5"/>
      <c r="E121" s="5"/>
      <c r="F121" s="5"/>
    </row>
    <row r="122" spans="1:6" customFormat="1" hidden="1" outlineLevel="1">
      <c r="A122" s="5"/>
      <c r="B122" s="5"/>
      <c r="C122" s="5"/>
      <c r="D122" s="5"/>
      <c r="E122" s="5"/>
      <c r="F122" s="5"/>
    </row>
    <row r="123" spans="1:6" customFormat="1" hidden="1" outlineLevel="1">
      <c r="A123" s="5"/>
      <c r="B123" s="5"/>
      <c r="C123" s="5"/>
      <c r="D123" s="5"/>
      <c r="E123" s="5"/>
      <c r="F123" s="5"/>
    </row>
    <row r="124" spans="1:6" customFormat="1" hidden="1" outlineLevel="1">
      <c r="A124" s="5"/>
      <c r="B124" s="5"/>
      <c r="C124" s="5"/>
      <c r="D124" s="5"/>
      <c r="E124" s="5"/>
      <c r="F124" s="5"/>
    </row>
    <row r="125" spans="1:6" customFormat="1" hidden="1" outlineLevel="1">
      <c r="A125" s="5"/>
      <c r="B125" s="5"/>
      <c r="C125" s="5"/>
      <c r="D125" s="5"/>
      <c r="E125" s="5"/>
      <c r="F125" s="5"/>
    </row>
    <row r="126" spans="1:6" customFormat="1" hidden="1" outlineLevel="1">
      <c r="A126" s="5"/>
      <c r="B126" s="5"/>
      <c r="C126" s="5"/>
      <c r="D126" s="5"/>
      <c r="E126" s="5"/>
      <c r="F126" s="5"/>
    </row>
    <row r="127" spans="1:6" customFormat="1" hidden="1" outlineLevel="1">
      <c r="A127" s="5"/>
      <c r="B127" s="5"/>
      <c r="C127" s="5"/>
      <c r="D127" s="5"/>
      <c r="E127" s="5"/>
      <c r="F127" s="5"/>
    </row>
    <row r="128" spans="1:6" customFormat="1" hidden="1" outlineLevel="1">
      <c r="A128" s="5"/>
      <c r="B128" s="5"/>
      <c r="C128" s="5"/>
      <c r="D128" s="5"/>
      <c r="E128" s="5"/>
      <c r="F128" s="5"/>
    </row>
    <row r="129" spans="1:6" customFormat="1" hidden="1" outlineLevel="1">
      <c r="A129" s="5"/>
      <c r="B129" s="5"/>
      <c r="C129" s="5"/>
      <c r="D129" s="5"/>
      <c r="E129" s="5"/>
      <c r="F129" s="5"/>
    </row>
    <row r="130" spans="1:6" customFormat="1" hidden="1" outlineLevel="1">
      <c r="A130" s="5"/>
      <c r="B130" s="5"/>
      <c r="C130" s="5"/>
      <c r="D130" s="5"/>
      <c r="E130" s="5"/>
      <c r="F130" s="5"/>
    </row>
    <row r="131" spans="1:6" customFormat="1" hidden="1" outlineLevel="1">
      <c r="A131" s="5"/>
      <c r="B131" s="5"/>
      <c r="C131" s="5"/>
      <c r="D131" s="5"/>
      <c r="E131" s="5"/>
      <c r="F131" s="5"/>
    </row>
    <row r="132" spans="1:6" customFormat="1" hidden="1" outlineLevel="1">
      <c r="A132" s="5"/>
      <c r="B132" s="5"/>
      <c r="C132" s="5"/>
      <c r="D132" s="5"/>
      <c r="E132" s="5"/>
      <c r="F132" s="5"/>
    </row>
    <row r="133" spans="1:6" customFormat="1" hidden="1" outlineLevel="1">
      <c r="A133" s="5"/>
      <c r="B133" s="5"/>
      <c r="C133" s="5"/>
      <c r="D133" s="5"/>
      <c r="E133" s="5"/>
      <c r="F133" s="5"/>
    </row>
    <row r="134" spans="1:6" customFormat="1" hidden="1" outlineLevel="1">
      <c r="A134" s="5"/>
      <c r="B134" s="5"/>
      <c r="C134" s="5"/>
      <c r="D134" s="5"/>
      <c r="E134" s="5"/>
      <c r="F134" s="5"/>
    </row>
    <row r="135" spans="1:6" customFormat="1" hidden="1" outlineLevel="1">
      <c r="A135" s="5"/>
      <c r="B135" s="5"/>
      <c r="C135" s="5"/>
      <c r="D135" s="5"/>
      <c r="E135" s="5"/>
      <c r="F135" s="5"/>
    </row>
    <row r="136" spans="1:6" customFormat="1" hidden="1" outlineLevel="1">
      <c r="A136" s="5"/>
      <c r="B136" s="5"/>
      <c r="C136" s="5"/>
      <c r="D136" s="5"/>
      <c r="E136" s="5"/>
      <c r="F136" s="5"/>
    </row>
    <row r="137" spans="1:6" customFormat="1" hidden="1" outlineLevel="1">
      <c r="A137" s="5"/>
      <c r="B137" s="5"/>
      <c r="C137" s="5"/>
      <c r="D137" s="5"/>
      <c r="E137" s="5"/>
      <c r="F137" s="5"/>
    </row>
    <row r="138" spans="1:6" customFormat="1" hidden="1" outlineLevel="1">
      <c r="A138" s="5"/>
      <c r="B138" s="5"/>
      <c r="C138" s="5"/>
      <c r="D138" s="5"/>
      <c r="E138" s="5"/>
      <c r="F138" s="5"/>
    </row>
    <row r="139" spans="1:6" customFormat="1" hidden="1" outlineLevel="1">
      <c r="A139" s="5"/>
      <c r="B139" s="5"/>
      <c r="C139" s="5"/>
      <c r="D139" s="5"/>
      <c r="E139" s="5"/>
      <c r="F139" s="5"/>
    </row>
    <row r="140" spans="1:6" customFormat="1" hidden="1" outlineLevel="1">
      <c r="A140" s="5"/>
      <c r="B140" s="5"/>
      <c r="C140" s="5"/>
      <c r="D140" s="5"/>
      <c r="E140" s="5"/>
      <c r="F140" s="5"/>
    </row>
    <row r="141" spans="1:6" customFormat="1" hidden="1" outlineLevel="1">
      <c r="A141" s="5"/>
      <c r="B141" s="5"/>
      <c r="C141" s="5"/>
      <c r="D141" s="5"/>
      <c r="E141" s="5"/>
      <c r="F141" s="5"/>
    </row>
    <row r="142" spans="1:6" customFormat="1" hidden="1" outlineLevel="1">
      <c r="A142" s="5"/>
      <c r="B142" s="5"/>
      <c r="C142" s="5"/>
      <c r="D142" s="5"/>
      <c r="E142" s="5"/>
      <c r="F142" s="5"/>
    </row>
    <row r="143" spans="1:6" customFormat="1" hidden="1" outlineLevel="1">
      <c r="A143" s="5"/>
      <c r="B143" s="5"/>
      <c r="C143" s="5"/>
      <c r="D143" s="5"/>
      <c r="E143" s="5"/>
      <c r="F143" s="5"/>
    </row>
    <row r="144" spans="1:6" customFormat="1" hidden="1" outlineLevel="1">
      <c r="A144" s="5"/>
      <c r="B144" s="5"/>
      <c r="C144" s="5"/>
      <c r="D144" s="5"/>
      <c r="E144" s="5"/>
      <c r="F144" s="5"/>
    </row>
    <row r="145" spans="1:6" customFormat="1" hidden="1" outlineLevel="1">
      <c r="A145" s="5"/>
      <c r="B145" s="5"/>
      <c r="C145" s="5"/>
      <c r="D145" s="5"/>
      <c r="E145" s="5"/>
      <c r="F145" s="5"/>
    </row>
    <row r="146" spans="1:6" customFormat="1" hidden="1" outlineLevel="1">
      <c r="A146" s="5"/>
      <c r="B146" s="5"/>
      <c r="C146" s="5"/>
      <c r="D146" s="5"/>
      <c r="E146" s="5"/>
      <c r="F146" s="5"/>
    </row>
    <row r="147" spans="1:6" customFormat="1" hidden="1" outlineLevel="1">
      <c r="A147" s="5"/>
      <c r="B147" s="5"/>
      <c r="C147" s="5"/>
      <c r="D147" s="5"/>
      <c r="E147" s="5"/>
      <c r="F147" s="5"/>
    </row>
    <row r="148" spans="1:6" customFormat="1" hidden="1" outlineLevel="1">
      <c r="A148" s="5"/>
      <c r="B148" s="5"/>
      <c r="C148" s="5"/>
      <c r="D148" s="5"/>
      <c r="E148" s="5"/>
      <c r="F148" s="5"/>
    </row>
    <row r="149" spans="1:6" customFormat="1" hidden="1" outlineLevel="1">
      <c r="A149" s="5"/>
      <c r="B149" s="5"/>
      <c r="C149" s="5"/>
      <c r="D149" s="5"/>
      <c r="E149" s="5"/>
      <c r="F149" s="5"/>
    </row>
    <row r="150" spans="1:6" customFormat="1" hidden="1" outlineLevel="1">
      <c r="A150" s="5"/>
      <c r="B150" s="5"/>
      <c r="C150" s="5"/>
      <c r="D150" s="5"/>
      <c r="E150" s="5"/>
      <c r="F150" s="5"/>
    </row>
    <row r="151" spans="1:6" customFormat="1" hidden="1" outlineLevel="1">
      <c r="A151" s="5"/>
      <c r="B151" s="5"/>
      <c r="C151" s="5"/>
      <c r="D151" s="5"/>
      <c r="E151" s="5"/>
      <c r="F151" s="5"/>
    </row>
    <row r="152" spans="1:6" customFormat="1" hidden="1" outlineLevel="1">
      <c r="A152" s="5"/>
      <c r="B152" s="5"/>
      <c r="C152" s="5"/>
      <c r="D152" s="5"/>
      <c r="E152" s="5"/>
      <c r="F152" s="5"/>
    </row>
    <row r="153" spans="1:6" customFormat="1" hidden="1" outlineLevel="1">
      <c r="A153" s="5"/>
      <c r="B153" s="5"/>
      <c r="C153" s="5"/>
      <c r="D153" s="5"/>
      <c r="E153" s="5"/>
      <c r="F153" s="5"/>
    </row>
    <row r="154" spans="1:6" customFormat="1" hidden="1" outlineLevel="1">
      <c r="A154" s="5"/>
      <c r="B154" s="5"/>
      <c r="C154" s="5"/>
      <c r="D154" s="5"/>
      <c r="E154" s="5"/>
      <c r="F154" s="5"/>
    </row>
    <row r="155" spans="1:6" customFormat="1" hidden="1" outlineLevel="1">
      <c r="A155" s="5"/>
      <c r="B155" s="5"/>
      <c r="C155" s="5"/>
      <c r="D155" s="5"/>
      <c r="E155" s="5"/>
      <c r="F155" s="5"/>
    </row>
    <row r="156" spans="1:6" customFormat="1" hidden="1" outlineLevel="1">
      <c r="A156" s="5"/>
      <c r="B156" s="5"/>
      <c r="C156" s="5"/>
      <c r="D156" s="5"/>
      <c r="E156" s="5"/>
      <c r="F156" s="5"/>
    </row>
    <row r="157" spans="1:6" customFormat="1" hidden="1" outlineLevel="1">
      <c r="A157" s="5"/>
      <c r="B157" s="5"/>
      <c r="C157" s="5"/>
      <c r="D157" s="5"/>
      <c r="E157" s="5"/>
      <c r="F157" s="5"/>
    </row>
    <row r="158" spans="1:6" customFormat="1" hidden="1" outlineLevel="1">
      <c r="A158" s="5"/>
      <c r="B158" s="5"/>
      <c r="C158" s="5"/>
      <c r="D158" s="5"/>
      <c r="E158" s="5"/>
      <c r="F158" s="5"/>
    </row>
    <row r="159" spans="1:6" customFormat="1" hidden="1" outlineLevel="1">
      <c r="A159" s="5"/>
      <c r="B159" s="5"/>
      <c r="C159" s="5"/>
      <c r="D159" s="5"/>
      <c r="E159" s="5"/>
      <c r="F159" s="5"/>
    </row>
    <row r="160" spans="1:6" customFormat="1" hidden="1" outlineLevel="1">
      <c r="A160" s="5"/>
      <c r="B160" s="5"/>
      <c r="C160" s="5"/>
      <c r="D160" s="5"/>
      <c r="E160" s="5"/>
      <c r="F160" s="5"/>
    </row>
    <row r="161" spans="2:8" hidden="1" outlineLevel="1"/>
    <row r="162" spans="2:8" hidden="1" outlineLevel="1"/>
    <row r="163" spans="2:8" hidden="1" outlineLevel="1"/>
    <row r="164" spans="2:8" hidden="1" outlineLevel="1"/>
    <row r="165" spans="2:8" ht="18.5" collapsed="1">
      <c r="B165" s="1" t="s">
        <v>187</v>
      </c>
    </row>
    <row r="166" spans="2:8" hidden="1" outlineLevel="1">
      <c r="B166" s="38" t="s">
        <v>196</v>
      </c>
      <c r="C166" s="38"/>
      <c r="D166" s="38"/>
      <c r="E166" s="38"/>
      <c r="F166" s="38"/>
      <c r="G166" s="38"/>
      <c r="H166" s="38"/>
    </row>
    <row r="167" spans="2:8" ht="12" hidden="1" outlineLevel="1" thickBot="1"/>
    <row r="168" spans="2:8" ht="12" hidden="1" outlineLevel="1" thickBot="1">
      <c r="B168" s="21" t="s">
        <v>136</v>
      </c>
      <c r="C168" s="22" t="s">
        <v>133</v>
      </c>
    </row>
    <row r="169" spans="2:8" hidden="1" outlineLevel="1"/>
    <row r="170" spans="2:8" ht="14" hidden="1" outlineLevel="1">
      <c r="B170" s="18" t="s">
        <v>134</v>
      </c>
      <c r="C170" s="18" t="s">
        <v>121</v>
      </c>
    </row>
    <row r="171" spans="2:8" hidden="1" outlineLevel="1">
      <c r="B171" s="19" t="s">
        <v>80</v>
      </c>
      <c r="C171" s="20"/>
    </row>
    <row r="172" spans="2:8" hidden="1" outlineLevel="1">
      <c r="B172" s="19" t="s">
        <v>22</v>
      </c>
      <c r="C172" s="20"/>
    </row>
    <row r="173" spans="2:8" hidden="1" outlineLevel="1">
      <c r="B173" s="19" t="s">
        <v>18</v>
      </c>
      <c r="C173" s="20"/>
    </row>
    <row r="174" spans="2:8" hidden="1" outlineLevel="1">
      <c r="B174" s="19" t="s">
        <v>71</v>
      </c>
      <c r="C174" s="20"/>
    </row>
    <row r="175" spans="2:8" hidden="1" outlineLevel="1"/>
    <row r="176" spans="2:8" hidden="1" outlineLevel="1">
      <c r="B176" s="19" t="s">
        <v>137</v>
      </c>
      <c r="C176" s="23"/>
    </row>
    <row r="177" spans="2:15" hidden="1" outlineLevel="1"/>
    <row r="178" spans="2:15" hidden="1" outlineLevel="1"/>
    <row r="179" spans="2:15" hidden="1" outlineLevel="1"/>
    <row r="180" spans="2:15" ht="18.5" collapsed="1">
      <c r="B180" s="1" t="s">
        <v>188</v>
      </c>
    </row>
    <row r="181" spans="2:15" ht="11.5" hidden="1" customHeight="1" outlineLevel="1">
      <c r="B181" s="38" t="s">
        <v>182</v>
      </c>
      <c r="C181" s="38"/>
      <c r="D181" s="38"/>
      <c r="E181" s="38"/>
    </row>
    <row r="182" spans="2:15" hidden="1" outlineLevel="1">
      <c r="B182" s="38"/>
      <c r="C182" s="38"/>
      <c r="D182" s="38"/>
      <c r="E182" s="38"/>
    </row>
    <row r="183" spans="2:15" hidden="1" outlineLevel="1">
      <c r="B183" s="38"/>
      <c r="C183" s="38"/>
      <c r="D183" s="38"/>
      <c r="E183" s="38"/>
    </row>
    <row r="184" spans="2:15" ht="210" hidden="1" customHeight="1" outlineLevel="1">
      <c r="B184" s="38" t="s">
        <v>189</v>
      </c>
      <c r="C184" s="38"/>
      <c r="D184" s="38"/>
      <c r="E184" s="38"/>
      <c r="F184" s="29"/>
      <c r="H184" s="15"/>
      <c r="I184" s="15"/>
      <c r="J184" s="15"/>
      <c r="K184" s="15"/>
      <c r="L184" s="15"/>
      <c r="M184" s="15"/>
    </row>
    <row r="185" spans="2:15" ht="84" hidden="1" customHeight="1" outlineLevel="1">
      <c r="B185" s="37"/>
      <c r="C185" s="37"/>
      <c r="D185" s="37"/>
      <c r="E185" s="37"/>
      <c r="F185" s="29" t="s">
        <v>149</v>
      </c>
      <c r="H185" s="15">
        <v>24</v>
      </c>
      <c r="I185" s="15">
        <v>28</v>
      </c>
      <c r="J185" s="15">
        <v>31</v>
      </c>
      <c r="K185" s="15">
        <v>33</v>
      </c>
      <c r="L185" s="15">
        <v>37</v>
      </c>
      <c r="M185" s="15">
        <v>40</v>
      </c>
    </row>
    <row r="186" spans="2:15" ht="12" hidden="1" outlineLevel="1" thickBot="1">
      <c r="F186" s="5" t="s">
        <v>150</v>
      </c>
      <c r="G186" s="5">
        <v>23</v>
      </c>
      <c r="H186" s="15">
        <v>27</v>
      </c>
      <c r="I186" s="15">
        <v>30</v>
      </c>
      <c r="J186" s="15">
        <v>33</v>
      </c>
      <c r="K186" s="15">
        <v>36</v>
      </c>
      <c r="L186" s="15">
        <v>40</v>
      </c>
      <c r="M186" s="15"/>
    </row>
    <row r="187" spans="2:15" hidden="1" outlineLevel="1">
      <c r="G187" s="28" t="s">
        <v>153</v>
      </c>
      <c r="H187" s="26"/>
      <c r="I187" s="26"/>
      <c r="J187" s="26"/>
      <c r="K187" s="26"/>
      <c r="L187" s="26"/>
      <c r="M187" s="26"/>
      <c r="N187" s="26"/>
      <c r="O187" s="27"/>
    </row>
    <row r="188" spans="2:15" ht="14" hidden="1" outlineLevel="1">
      <c r="B188" s="18" t="s">
        <v>134</v>
      </c>
      <c r="C188" s="18" t="s">
        <v>138</v>
      </c>
      <c r="D188" s="18" t="s">
        <v>154</v>
      </c>
      <c r="E188" s="18" t="s">
        <v>141</v>
      </c>
      <c r="G188" s="18" t="s">
        <v>142</v>
      </c>
      <c r="H188" s="18" t="s">
        <v>143</v>
      </c>
      <c r="I188" s="18" t="s">
        <v>144</v>
      </c>
      <c r="J188" s="18" t="s">
        <v>145</v>
      </c>
      <c r="K188" s="18" t="s">
        <v>146</v>
      </c>
      <c r="L188" s="18" t="s">
        <v>148</v>
      </c>
      <c r="M188" s="18" t="s">
        <v>147</v>
      </c>
      <c r="N188" s="18" t="s">
        <v>151</v>
      </c>
      <c r="O188" s="18" t="s">
        <v>152</v>
      </c>
    </row>
    <row r="189" spans="2:15" hidden="1" outlineLevel="1">
      <c r="B189" s="24" t="s">
        <v>39</v>
      </c>
      <c r="C189" s="35" t="s">
        <v>139</v>
      </c>
      <c r="D189" s="35" t="s">
        <v>156</v>
      </c>
      <c r="E189" s="35">
        <v>1</v>
      </c>
      <c r="G189" s="35"/>
      <c r="H189" s="35"/>
      <c r="I189" s="35"/>
      <c r="J189" s="35"/>
      <c r="K189" s="35"/>
      <c r="L189" s="35"/>
      <c r="M189" s="35"/>
      <c r="N189" s="35"/>
      <c r="O189" s="35"/>
    </row>
    <row r="190" spans="2:15" hidden="1" outlineLevel="1">
      <c r="B190" s="24" t="s">
        <v>16</v>
      </c>
      <c r="C190" s="35" t="s">
        <v>139</v>
      </c>
      <c r="D190" s="35" t="s">
        <v>155</v>
      </c>
      <c r="E190" s="35">
        <v>2</v>
      </c>
      <c r="G190" s="35"/>
      <c r="H190" s="35"/>
      <c r="I190" s="35"/>
      <c r="J190" s="35"/>
      <c r="K190" s="35"/>
      <c r="L190" s="35"/>
      <c r="M190" s="35"/>
      <c r="N190" s="35"/>
      <c r="O190" s="35"/>
    </row>
    <row r="191" spans="2:15" hidden="1" outlineLevel="1">
      <c r="B191" s="24" t="s">
        <v>18</v>
      </c>
      <c r="C191" s="35" t="s">
        <v>140</v>
      </c>
      <c r="D191" s="35" t="s">
        <v>156</v>
      </c>
      <c r="E191" s="35">
        <v>0</v>
      </c>
      <c r="G191" s="35"/>
      <c r="H191" s="35"/>
      <c r="I191" s="35"/>
      <c r="J191" s="35"/>
      <c r="K191" s="35"/>
      <c r="L191" s="35"/>
      <c r="M191" s="35"/>
      <c r="N191" s="35"/>
      <c r="O191" s="35"/>
    </row>
    <row r="192" spans="2:15" hidden="1" outlineLevel="1">
      <c r="B192" s="24" t="s">
        <v>71</v>
      </c>
      <c r="C192" s="35" t="s">
        <v>139</v>
      </c>
      <c r="D192" s="35" t="s">
        <v>156</v>
      </c>
      <c r="E192" s="35">
        <v>3</v>
      </c>
      <c r="G192" s="35"/>
      <c r="H192" s="35"/>
      <c r="I192" s="35"/>
      <c r="J192" s="35"/>
      <c r="K192" s="35"/>
      <c r="L192" s="35"/>
      <c r="M192" s="35"/>
      <c r="N192" s="35"/>
      <c r="O192" s="35"/>
    </row>
    <row r="193" spans="2:15" hidden="1" outlineLevel="1">
      <c r="B193" s="24" t="s">
        <v>20</v>
      </c>
      <c r="C193" s="35" t="s">
        <v>140</v>
      </c>
      <c r="D193" s="35" t="s">
        <v>156</v>
      </c>
      <c r="E193" s="35">
        <v>0</v>
      </c>
      <c r="G193" s="35"/>
      <c r="H193" s="35"/>
      <c r="I193" s="35"/>
      <c r="J193" s="35"/>
      <c r="K193" s="35"/>
      <c r="L193" s="35"/>
      <c r="M193" s="35"/>
      <c r="N193" s="35"/>
      <c r="O193" s="35"/>
    </row>
    <row r="194" spans="2:15" hidden="1" outlineLevel="1">
      <c r="B194" s="24" t="s">
        <v>80</v>
      </c>
      <c r="C194" s="35" t="s">
        <v>140</v>
      </c>
      <c r="D194" s="35" t="s">
        <v>155</v>
      </c>
      <c r="E194" s="35">
        <v>0</v>
      </c>
      <c r="G194" s="35"/>
      <c r="H194" s="35"/>
      <c r="I194" s="35"/>
      <c r="J194" s="35"/>
      <c r="K194" s="35"/>
      <c r="L194" s="35"/>
      <c r="M194" s="35"/>
      <c r="N194" s="35"/>
      <c r="O194" s="35"/>
    </row>
    <row r="195" spans="2:15" hidden="1" outlineLevel="1">
      <c r="B195" s="24" t="s">
        <v>89</v>
      </c>
      <c r="C195" s="35" t="s">
        <v>139</v>
      </c>
      <c r="D195" s="35" t="s">
        <v>156</v>
      </c>
      <c r="E195" s="35">
        <v>0</v>
      </c>
      <c r="G195" s="35"/>
      <c r="H195" s="35"/>
      <c r="I195" s="35"/>
      <c r="J195" s="35"/>
      <c r="K195" s="35"/>
      <c r="L195" s="35"/>
      <c r="M195" s="35"/>
      <c r="N195" s="35"/>
      <c r="O195" s="35"/>
    </row>
    <row r="196" spans="2:15" hidden="1" outlineLevel="1">
      <c r="B196" s="24" t="s">
        <v>98</v>
      </c>
      <c r="C196" s="35" t="s">
        <v>140</v>
      </c>
      <c r="D196" s="35" t="s">
        <v>156</v>
      </c>
      <c r="E196" s="35">
        <v>0</v>
      </c>
      <c r="G196" s="35"/>
      <c r="H196" s="35"/>
      <c r="I196" s="35"/>
      <c r="J196" s="35"/>
      <c r="K196" s="35"/>
      <c r="L196" s="35"/>
      <c r="M196" s="35"/>
      <c r="N196" s="35"/>
      <c r="O196" s="35"/>
    </row>
    <row r="197" spans="2:15" hidden="1" outlineLevel="1">
      <c r="B197" s="24" t="s">
        <v>22</v>
      </c>
      <c r="C197" s="35" t="s">
        <v>139</v>
      </c>
      <c r="D197" s="35" t="s">
        <v>155</v>
      </c>
      <c r="E197" s="35">
        <v>1</v>
      </c>
      <c r="G197" s="35"/>
      <c r="H197" s="35"/>
      <c r="I197" s="35"/>
      <c r="J197" s="35"/>
      <c r="K197" s="35"/>
      <c r="L197" s="35"/>
      <c r="M197" s="35"/>
      <c r="N197" s="35"/>
      <c r="O197" s="35"/>
    </row>
    <row r="198" spans="2:15" hidden="1" outlineLevel="1">
      <c r="B198" s="24" t="s">
        <v>94</v>
      </c>
      <c r="C198" s="35" t="s">
        <v>139</v>
      </c>
      <c r="D198" s="35" t="s">
        <v>156</v>
      </c>
      <c r="E198" s="35">
        <v>0</v>
      </c>
      <c r="G198" s="35"/>
      <c r="H198" s="35"/>
      <c r="I198" s="35"/>
      <c r="J198" s="35"/>
      <c r="K198" s="35"/>
      <c r="L198" s="35"/>
      <c r="M198" s="35"/>
      <c r="N198" s="35"/>
      <c r="O198" s="35"/>
    </row>
    <row r="199" spans="2:15" hidden="1" outlineLevel="1">
      <c r="B199" s="24" t="s">
        <v>63</v>
      </c>
      <c r="C199" s="35" t="s">
        <v>140</v>
      </c>
      <c r="D199" s="35" t="s">
        <v>155</v>
      </c>
      <c r="E199" s="35">
        <v>0</v>
      </c>
      <c r="G199" s="35"/>
      <c r="H199" s="35"/>
      <c r="I199" s="35"/>
      <c r="J199" s="35"/>
      <c r="K199" s="35"/>
      <c r="L199" s="35"/>
      <c r="M199" s="35"/>
      <c r="N199" s="35"/>
      <c r="O199" s="35"/>
    </row>
    <row r="200" spans="2:15" hidden="1" outlineLevel="1">
      <c r="B200" s="24" t="s">
        <v>85</v>
      </c>
      <c r="C200" s="35" t="s">
        <v>140</v>
      </c>
      <c r="D200" s="35" t="s">
        <v>155</v>
      </c>
      <c r="E200" s="35">
        <v>0</v>
      </c>
      <c r="G200" s="35"/>
      <c r="H200" s="35"/>
      <c r="I200" s="35"/>
      <c r="J200" s="35"/>
      <c r="K200" s="35"/>
      <c r="L200" s="35"/>
      <c r="M200" s="35"/>
      <c r="N200" s="35"/>
      <c r="O200" s="35"/>
    </row>
    <row r="201" spans="2:15" hidden="1" outlineLevel="1"/>
    <row r="202" spans="2:15" hidden="1" outlineLevel="1"/>
    <row r="203" spans="2:15" hidden="1" outlineLevel="1"/>
    <row r="204" spans="2:15" hidden="1" outlineLevel="1"/>
    <row r="205" spans="2:15" hidden="1" outlineLevel="1"/>
    <row r="206" spans="2:15" ht="18.5" collapsed="1">
      <c r="B206" s="1" t="s">
        <v>190</v>
      </c>
    </row>
    <row r="207" spans="2:15" hidden="1" outlineLevel="1">
      <c r="B207" s="38" t="s">
        <v>172</v>
      </c>
      <c r="C207" s="38"/>
      <c r="D207" s="38"/>
      <c r="E207" s="38"/>
    </row>
    <row r="208" spans="2:15" hidden="1" outlineLevel="1">
      <c r="B208" s="38"/>
      <c r="C208" s="38"/>
      <c r="D208" s="38"/>
      <c r="E208" s="38"/>
    </row>
    <row r="209" spans="2:10" hidden="1" outlineLevel="1">
      <c r="B209" s="5" t="s">
        <v>159</v>
      </c>
    </row>
    <row r="210" spans="2:10" hidden="1" outlineLevel="1">
      <c r="B210" s="5" t="s">
        <v>191</v>
      </c>
    </row>
    <row r="211" spans="2:10" hidden="1" outlineLevel="1">
      <c r="B211" s="5" t="s">
        <v>160</v>
      </c>
    </row>
    <row r="212" spans="2:10" hidden="1" outlineLevel="1">
      <c r="B212" s="5" t="s">
        <v>165</v>
      </c>
    </row>
    <row r="213" spans="2:10" hidden="1" outlineLevel="1">
      <c r="B213" s="5" t="s">
        <v>161</v>
      </c>
    </row>
    <row r="214" spans="2:10" hidden="1" outlineLevel="1">
      <c r="B214" s="5" t="s">
        <v>169</v>
      </c>
    </row>
    <row r="215" spans="2:10" hidden="1" outlineLevel="1">
      <c r="B215" s="5" t="s">
        <v>166</v>
      </c>
    </row>
    <row r="216" spans="2:10" hidden="1" outlineLevel="1">
      <c r="B216" s="5" t="s">
        <v>192</v>
      </c>
    </row>
    <row r="217" spans="2:10" hidden="1" outlineLevel="1"/>
    <row r="218" spans="2:10" hidden="1" outlineLevel="1"/>
    <row r="219" spans="2:10" hidden="1" outlineLevel="1"/>
    <row r="220" spans="2:10" hidden="1" outlineLevel="1"/>
    <row r="221" spans="2:10" hidden="1" outlineLevel="1"/>
    <row r="222" spans="2:10" hidden="1" outlineLevel="1"/>
    <row r="223" spans="2:10" ht="14" hidden="1" outlineLevel="1">
      <c r="B223" s="18" t="s">
        <v>158</v>
      </c>
      <c r="D223" s="18" t="s">
        <v>123</v>
      </c>
    </row>
    <row r="224" spans="2:10" hidden="1" outlineLevel="1">
      <c r="D224"/>
      <c r="E224"/>
      <c r="F224"/>
      <c r="G224"/>
      <c r="H224"/>
      <c r="I224"/>
      <c r="J224"/>
    </row>
    <row r="225" spans="4:10" hidden="1" outlineLevel="1">
      <c r="D225"/>
      <c r="E225"/>
      <c r="F225"/>
      <c r="G225"/>
      <c r="H225"/>
      <c r="I225"/>
      <c r="J225"/>
    </row>
    <row r="226" spans="4:10" hidden="1" outlineLevel="1">
      <c r="D226"/>
      <c r="E226"/>
      <c r="F226"/>
      <c r="G226"/>
      <c r="H226"/>
      <c r="I226"/>
      <c r="J226"/>
    </row>
    <row r="227" spans="4:10" hidden="1" outlineLevel="1">
      <c r="D227"/>
      <c r="E227"/>
      <c r="F227"/>
      <c r="G227"/>
      <c r="H227"/>
      <c r="I227"/>
      <c r="J227"/>
    </row>
    <row r="228" spans="4:10" hidden="1" outlineLevel="1">
      <c r="D228"/>
      <c r="E228"/>
      <c r="F228"/>
      <c r="G228"/>
      <c r="H228"/>
      <c r="I228"/>
      <c r="J228"/>
    </row>
    <row r="229" spans="4:10" hidden="1" outlineLevel="1">
      <c r="D229"/>
      <c r="E229"/>
      <c r="F229"/>
      <c r="G229"/>
      <c r="H229"/>
    </row>
    <row r="230" spans="4:10" hidden="1" outlineLevel="1">
      <c r="D230"/>
      <c r="E230"/>
      <c r="F230"/>
      <c r="G230"/>
      <c r="H230"/>
    </row>
    <row r="231" spans="4:10" hidden="1" outlineLevel="1">
      <c r="D231"/>
      <c r="E231"/>
      <c r="F231"/>
      <c r="G231"/>
      <c r="H231"/>
    </row>
    <row r="232" spans="4:10" hidden="1" outlineLevel="1">
      <c r="D232"/>
      <c r="E232"/>
      <c r="F232"/>
      <c r="G232"/>
      <c r="H232"/>
    </row>
    <row r="233" spans="4:10" hidden="1" outlineLevel="1">
      <c r="D233"/>
      <c r="E233"/>
      <c r="F233"/>
      <c r="G233"/>
      <c r="H233"/>
    </row>
    <row r="234" spans="4:10" hidden="1" outlineLevel="1">
      <c r="D234"/>
      <c r="E234"/>
      <c r="F234"/>
      <c r="G234"/>
      <c r="H234"/>
    </row>
    <row r="235" spans="4:10" hidden="1" outlineLevel="1">
      <c r="D235"/>
      <c r="E235"/>
      <c r="F235"/>
      <c r="G235"/>
      <c r="H235"/>
    </row>
    <row r="236" spans="4:10" hidden="1" outlineLevel="1">
      <c r="D236"/>
      <c r="E236"/>
      <c r="F236"/>
      <c r="G236"/>
      <c r="H236"/>
    </row>
    <row r="237" spans="4:10" hidden="1" outlineLevel="1">
      <c r="D237"/>
      <c r="E237"/>
      <c r="F237"/>
      <c r="G237"/>
      <c r="H237"/>
    </row>
    <row r="238" spans="4:10" hidden="1" outlineLevel="1"/>
    <row r="239" spans="4:10" hidden="1" outlineLevel="1"/>
    <row r="240" spans="4:10"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hidden="1" outlineLevel="1"/>
    <row r="254" hidden="1" outlineLevel="1"/>
    <row r="255" hidden="1" outlineLevel="1"/>
    <row r="256" hidden="1" outlineLevel="1"/>
    <row r="257" spans="2:2" hidden="1" outlineLevel="1"/>
    <row r="258" spans="2:2" hidden="1" outlineLevel="1"/>
    <row r="259" spans="2:2" hidden="1" outlineLevel="1"/>
    <row r="260" spans="2:2" hidden="1" outlineLevel="1"/>
    <row r="261" spans="2:2" hidden="1" outlineLevel="1"/>
    <row r="262" spans="2:2" hidden="1" outlineLevel="1"/>
    <row r="263" spans="2:2" hidden="1" outlineLevel="1"/>
    <row r="264" spans="2:2" hidden="1" outlineLevel="1"/>
    <row r="265" spans="2:2" hidden="1" outlineLevel="1"/>
    <row r="266" spans="2:2" hidden="1" outlineLevel="1"/>
    <row r="267" spans="2:2" hidden="1" outlineLevel="1"/>
    <row r="268" spans="2:2" hidden="1" outlineLevel="1"/>
    <row r="269" spans="2:2" hidden="1" outlineLevel="1"/>
    <row r="270" spans="2:2" hidden="1" outlineLevel="1"/>
    <row r="271" spans="2:2" hidden="1" outlineLevel="1"/>
    <row r="272" spans="2:2" ht="18.5" collapsed="1">
      <c r="B272" s="1" t="s">
        <v>193</v>
      </c>
    </row>
    <row r="273" spans="2:4" hidden="1" outlineLevel="1">
      <c r="B273" s="5" t="s">
        <v>183</v>
      </c>
    </row>
    <row r="274" spans="2:4" hidden="1" outlineLevel="1">
      <c r="B274" s="5" t="s">
        <v>184</v>
      </c>
    </row>
    <row r="275" spans="2:4" hidden="1" outlineLevel="1"/>
    <row r="276" spans="2:4" hidden="1" outlineLevel="1">
      <c r="B276" s="5" t="s">
        <v>170</v>
      </c>
    </row>
    <row r="277" spans="2:4" hidden="1" outlineLevel="1"/>
    <row r="278" spans="2:4" ht="14" hidden="1" outlineLevel="1">
      <c r="B278" s="18" t="s">
        <v>115</v>
      </c>
      <c r="C278" s="18" t="s">
        <v>162</v>
      </c>
      <c r="D278" s="18" t="s">
        <v>164</v>
      </c>
    </row>
    <row r="279" spans="2:4" hidden="1" outlineLevel="1">
      <c r="B279" s="24" t="s">
        <v>124</v>
      </c>
      <c r="C279" s="35"/>
      <c r="D279" s="35"/>
    </row>
    <row r="280" spans="2:4" hidden="1" outlineLevel="1">
      <c r="B280" s="24" t="s">
        <v>131</v>
      </c>
      <c r="C280" s="36"/>
      <c r="D280" s="36"/>
    </row>
    <row r="281" spans="2:4" hidden="1" outlineLevel="1">
      <c r="B281" s="24" t="s">
        <v>125</v>
      </c>
      <c r="C281" s="36"/>
      <c r="D281" s="36"/>
    </row>
    <row r="282" spans="2:4" hidden="1" outlineLevel="1">
      <c r="B282" s="24" t="s">
        <v>126</v>
      </c>
      <c r="C282" s="36"/>
      <c r="D282" s="36"/>
    </row>
    <row r="283" spans="2:4" hidden="1" outlineLevel="1">
      <c r="B283" s="24" t="s">
        <v>130</v>
      </c>
      <c r="C283" s="35"/>
      <c r="D283" s="35"/>
    </row>
    <row r="284" spans="2:4" hidden="1" outlineLevel="1">
      <c r="B284" s="24" t="s">
        <v>133</v>
      </c>
      <c r="C284" s="35"/>
      <c r="D284" s="35"/>
    </row>
    <row r="285" spans="2:4" hidden="1" outlineLevel="1"/>
    <row r="286" spans="2:4" hidden="1" outlineLevel="1"/>
    <row r="287" spans="2:4" collapsed="1"/>
  </sheetData>
  <mergeCells count="6">
    <mergeCell ref="B207:E208"/>
    <mergeCell ref="B8:H8"/>
    <mergeCell ref="B11:H11"/>
    <mergeCell ref="B166:H166"/>
    <mergeCell ref="B181:E183"/>
    <mergeCell ref="B184:E18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5">
                <anchor moveWithCells="1" sizeWithCells="1">
                  <from>
                    <xdr:col>4</xdr:col>
                    <xdr:colOff>1174750</xdr:colOff>
                    <xdr:row>276</xdr:row>
                    <xdr:rowOff>50800</xdr:rowOff>
                  </from>
                  <to>
                    <xdr:col>6</xdr:col>
                    <xdr:colOff>209550</xdr:colOff>
                    <xdr:row>279</xdr:row>
                    <xdr:rowOff>127000</xdr:rowOff>
                  </to>
                </anchor>
              </controlPr>
            </control>
          </mc:Choice>
        </mc:AlternateContent>
        <mc:AlternateContent xmlns:mc="http://schemas.openxmlformats.org/markup-compatibility/2006">
          <mc:Choice Requires="x14">
            <control shapeId="4098" r:id="rId5" name="Button 2">
              <controlPr defaultSize="0" print="0" autoFill="0" autoPict="0" macro="[0]!ThisWorkbook.sent_to_answer_4">
                <anchor moveWithCells="1" sizeWithCells="1">
                  <from>
                    <xdr:col>3</xdr:col>
                    <xdr:colOff>1352550</xdr:colOff>
                    <xdr:row>209</xdr:row>
                    <xdr:rowOff>107950</xdr:rowOff>
                  </from>
                  <to>
                    <xdr:col>5</xdr:col>
                    <xdr:colOff>323850</xdr:colOff>
                    <xdr:row>213</xdr:row>
                    <xdr:rowOff>57150</xdr:rowOff>
                  </to>
                </anchor>
              </controlPr>
            </control>
          </mc:Choice>
        </mc:AlternateContent>
        <mc:AlternateContent xmlns:mc="http://schemas.openxmlformats.org/markup-compatibility/2006">
          <mc:Choice Requires="x14">
            <control shapeId="4099" r:id="rId6" name="Button 3">
              <controlPr defaultSize="0" print="0" autoFill="0" autoPict="0" macro="[0]!ThisWorkbook.sent_to_answer_3">
                <anchor moveWithCells="1" sizeWithCells="1">
                  <from>
                    <xdr:col>5</xdr:col>
                    <xdr:colOff>1174750</xdr:colOff>
                    <xdr:row>183</xdr:row>
                    <xdr:rowOff>50800</xdr:rowOff>
                  </from>
                  <to>
                    <xdr:col>6</xdr:col>
                    <xdr:colOff>1441450</xdr:colOff>
                    <xdr:row>183</xdr:row>
                    <xdr:rowOff>609600</xdr:rowOff>
                  </to>
                </anchor>
              </controlPr>
            </control>
          </mc:Choice>
        </mc:AlternateContent>
        <mc:AlternateContent xmlns:mc="http://schemas.openxmlformats.org/markup-compatibility/2006">
          <mc:Choice Requires="x14">
            <control shapeId="4100" r:id="rId7" name="Button 4">
              <controlPr defaultSize="0" print="0" autoFill="0" autoPict="0" macro="[0]!ThisWorkbook.sent_to_answer_2">
                <anchor moveWithCells="1" sizeWithCells="1">
                  <from>
                    <xdr:col>3</xdr:col>
                    <xdr:colOff>1352550</xdr:colOff>
                    <xdr:row>170</xdr:row>
                    <xdr:rowOff>57150</xdr:rowOff>
                  </from>
                  <to>
                    <xdr:col>5</xdr:col>
                    <xdr:colOff>323850</xdr:colOff>
                    <xdr:row>174</xdr:row>
                    <xdr:rowOff>12700</xdr:rowOff>
                  </to>
                </anchor>
              </controlPr>
            </control>
          </mc:Choice>
        </mc:AlternateContent>
        <mc:AlternateContent xmlns:mc="http://schemas.openxmlformats.org/markup-compatibility/2006">
          <mc:Choice Requires="x14">
            <control shapeId="4101" r:id="rId8" name="Button 5">
              <controlPr defaultSize="0" print="0" autoFill="0" autoPict="0" macro="[0]!ThisWorkbook.sent_to_answer_1">
                <anchor moveWithCells="1" sizeWithCells="1">
                  <from>
                    <xdr:col>8</xdr:col>
                    <xdr:colOff>107950</xdr:colOff>
                    <xdr:row>10</xdr:row>
                    <xdr:rowOff>76200</xdr:rowOff>
                  </from>
                  <to>
                    <xdr:col>9</xdr:col>
                    <xdr:colOff>374650</xdr:colOff>
                    <xdr:row>12</xdr:row>
                    <xdr:rowOff>146050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A1:O286"/>
  <sheetViews>
    <sheetView showGridLines="0" topLeftCell="A254" workbookViewId="0">
      <selection activeCell="F277" sqref="F277"/>
    </sheetView>
  </sheetViews>
  <sheetFormatPr defaultRowHeight="11.5" outlineLevelRow="1"/>
  <cols>
    <col min="2" max="2" width="47.09765625" customWidth="1"/>
    <col min="3" max="3" width="18.3984375" customWidth="1"/>
    <col min="4" max="4" width="31.3984375" style="5" customWidth="1"/>
    <col min="5" max="5" width="18.3984375" customWidth="1"/>
    <col min="6" max="6" width="27.09765625" customWidth="1"/>
    <col min="7" max="7" width="23.3984375" customWidth="1"/>
    <col min="8" max="8" width="28.3984375" customWidth="1"/>
    <col min="9" max="9" width="18.3984375" customWidth="1"/>
    <col min="10" max="10" width="23.3984375" customWidth="1"/>
    <col min="11" max="11" width="18.3984375" style="5" customWidth="1"/>
    <col min="12" max="12" width="23.3984375" customWidth="1"/>
    <col min="13" max="13" width="18.3984375" customWidth="1"/>
    <col min="14" max="14" width="23.3984375" customWidth="1"/>
    <col min="15" max="15" width="18.3984375" customWidth="1"/>
    <col min="16" max="16" width="23.3984375" customWidth="1"/>
    <col min="17" max="17" width="18.3984375" customWidth="1"/>
    <col min="18" max="18" width="23.3984375" customWidth="1"/>
    <col min="19" max="19" width="18.3984375" customWidth="1"/>
    <col min="20" max="20" width="23.3984375" customWidth="1"/>
    <col min="21" max="21" width="18.3984375" customWidth="1"/>
    <col min="22" max="22" width="23.3984375" customWidth="1"/>
    <col min="23" max="23" width="18.3984375" customWidth="1"/>
    <col min="24" max="24" width="23.3984375" customWidth="1"/>
    <col min="25" max="25" width="18.3984375" customWidth="1"/>
    <col min="26" max="26" width="23.3984375" customWidth="1"/>
    <col min="27" max="27" width="18.3984375" customWidth="1"/>
    <col min="28" max="28" width="23.3984375" customWidth="1"/>
    <col min="29" max="29" width="18.3984375" customWidth="1"/>
    <col min="30" max="30" width="23.3984375" customWidth="1"/>
    <col min="31" max="31" width="18.3984375" customWidth="1"/>
    <col min="32" max="33" width="23.3984375" customWidth="1"/>
    <col min="34" max="34" width="28.3984375" customWidth="1"/>
    <col min="35" max="35" width="23" customWidth="1"/>
    <col min="36" max="36" width="18.3984375" customWidth="1"/>
    <col min="37" max="37" width="28.3984375" customWidth="1"/>
    <col min="38" max="38" width="23" customWidth="1"/>
    <col min="39" max="39" width="18.3984375" customWidth="1"/>
    <col min="40" max="40" width="28.3984375" customWidth="1"/>
    <col min="41" max="41" width="23" customWidth="1"/>
    <col min="42" max="42" width="18.3984375" customWidth="1"/>
    <col min="43" max="43" width="28.3984375" customWidth="1"/>
    <col min="44" max="44" width="23" customWidth="1"/>
    <col min="45" max="45" width="18.3984375" customWidth="1"/>
    <col min="46" max="46" width="28.3984375" customWidth="1"/>
    <col min="47" max="47" width="23" customWidth="1"/>
    <col min="48" max="48" width="23.3984375" bestFit="1" customWidth="1"/>
    <col min="49" max="49" width="33.59765625" customWidth="1"/>
    <col min="50" max="50" width="28.09765625" customWidth="1"/>
    <col min="51" max="51" width="4.09765625" customWidth="1"/>
    <col min="52" max="52" width="28.8984375" bestFit="1" customWidth="1"/>
    <col min="53" max="53" width="21.69921875" bestFit="1" customWidth="1"/>
    <col min="54" max="54" width="3.69921875" customWidth="1"/>
    <col min="55" max="55" width="25.09765625" bestFit="1" customWidth="1"/>
    <col min="56" max="56" width="24" bestFit="1" customWidth="1"/>
    <col min="57" max="57" width="27.3984375" bestFit="1" customWidth="1"/>
    <col min="58" max="58" width="12" bestFit="1" customWidth="1"/>
  </cols>
  <sheetData>
    <row r="1" spans="1:11" ht="13">
      <c r="A1" s="4" t="str">
        <f>'Cover Page'!A1</f>
        <v>Problem Solving With Excel</v>
      </c>
    </row>
    <row r="2" spans="1:11" ht="13">
      <c r="A2" s="4" t="str">
        <f>'Cover Page'!A2</f>
        <v>Week 3 project</v>
      </c>
    </row>
    <row r="3" spans="1:11" ht="13">
      <c r="A3" s="4" t="s">
        <v>185</v>
      </c>
    </row>
    <row r="7" spans="1:11" ht="18.5">
      <c r="B7" s="1" t="s">
        <v>111</v>
      </c>
    </row>
    <row r="8" spans="1:11" ht="49.15" customHeight="1">
      <c r="B8" s="38" t="s">
        <v>174</v>
      </c>
      <c r="C8" s="38"/>
      <c r="D8" s="38"/>
      <c r="E8" s="38"/>
      <c r="F8" s="38"/>
      <c r="G8" s="38"/>
      <c r="H8" s="38"/>
      <c r="K8"/>
    </row>
    <row r="9" spans="1:11" ht="7.9" customHeight="1">
      <c r="K9"/>
    </row>
    <row r="10" spans="1:11" ht="22.15" customHeight="1">
      <c r="B10" s="1" t="s">
        <v>186</v>
      </c>
      <c r="K10"/>
    </row>
    <row r="11" spans="1:11" ht="27" customHeight="1" outlineLevel="1">
      <c r="B11" s="38" t="s">
        <v>171</v>
      </c>
      <c r="C11" s="38"/>
      <c r="D11" s="38"/>
      <c r="E11" s="38"/>
      <c r="F11" s="38"/>
      <c r="G11" s="38"/>
      <c r="H11" s="38"/>
      <c r="K11"/>
    </row>
    <row r="12" spans="1:11" outlineLevel="1">
      <c r="K12"/>
    </row>
    <row r="13" spans="1:11" ht="14" outlineLevel="1">
      <c r="G13" s="18" t="s">
        <v>123</v>
      </c>
      <c r="K13"/>
    </row>
    <row r="14" spans="1:11" outlineLevel="1">
      <c r="G14" s="14" t="s">
        <v>119</v>
      </c>
      <c r="H14" s="14" t="s">
        <v>120</v>
      </c>
      <c r="K14"/>
    </row>
    <row r="15" spans="1:11" ht="14" outlineLevel="1">
      <c r="B15" s="18" t="s">
        <v>1</v>
      </c>
      <c r="C15" s="18" t="s">
        <v>121</v>
      </c>
      <c r="D15" s="18"/>
      <c r="E15" s="18" t="s">
        <v>122</v>
      </c>
      <c r="G15" s="14" t="s">
        <v>117</v>
      </c>
      <c r="H15" s="5" t="s">
        <v>12</v>
      </c>
      <c r="I15" s="5" t="s">
        <v>51</v>
      </c>
      <c r="J15" s="5" t="s">
        <v>53</v>
      </c>
      <c r="K15" s="5" t="s">
        <v>118</v>
      </c>
    </row>
    <row r="16" spans="1:11" outlineLevel="1">
      <c r="B16" s="19" t="s">
        <v>175</v>
      </c>
      <c r="C16" s="20" t="s">
        <v>18</v>
      </c>
      <c r="D16" s="20"/>
      <c r="E16" s="20">
        <v>8</v>
      </c>
      <c r="G16" s="15" t="s">
        <v>80</v>
      </c>
      <c r="H16" s="17">
        <v>19</v>
      </c>
      <c r="I16" s="17">
        <v>7</v>
      </c>
      <c r="J16" s="17">
        <v>8</v>
      </c>
      <c r="K16" s="17">
        <v>34</v>
      </c>
    </row>
    <row r="17" spans="2:11" outlineLevel="1">
      <c r="B17" s="19" t="s">
        <v>176</v>
      </c>
      <c r="C17" s="20" t="s">
        <v>18</v>
      </c>
      <c r="D17" s="20"/>
      <c r="E17" s="20">
        <v>50</v>
      </c>
      <c r="G17" s="16" t="s">
        <v>124</v>
      </c>
      <c r="H17" s="17">
        <v>2</v>
      </c>
      <c r="I17" s="17"/>
      <c r="J17" s="17"/>
      <c r="K17" s="17">
        <v>2</v>
      </c>
    </row>
    <row r="18" spans="2:11" outlineLevel="1">
      <c r="B18" s="19" t="s">
        <v>177</v>
      </c>
      <c r="C18" s="20" t="s">
        <v>18</v>
      </c>
      <c r="D18" s="20"/>
      <c r="E18" s="20">
        <v>10</v>
      </c>
      <c r="G18" s="16" t="s">
        <v>131</v>
      </c>
      <c r="H18" s="17">
        <v>4</v>
      </c>
      <c r="I18" s="17"/>
      <c r="J18" s="17"/>
      <c r="K18" s="17">
        <v>4</v>
      </c>
    </row>
    <row r="19" spans="2:11" outlineLevel="1">
      <c r="B19" s="19" t="s">
        <v>178</v>
      </c>
      <c r="C19" s="20" t="s">
        <v>135</v>
      </c>
      <c r="D19" s="20"/>
      <c r="E19" s="20">
        <v>61</v>
      </c>
      <c r="G19" s="16" t="s">
        <v>125</v>
      </c>
      <c r="H19" s="17">
        <v>1</v>
      </c>
      <c r="I19" s="17"/>
      <c r="J19" s="17"/>
      <c r="K19" s="17">
        <v>1</v>
      </c>
    </row>
    <row r="20" spans="2:11" outlineLevel="1">
      <c r="B20" s="19" t="s">
        <v>179</v>
      </c>
      <c r="C20" s="20" t="s">
        <v>133</v>
      </c>
      <c r="D20" s="20"/>
      <c r="E20" s="20">
        <v>64</v>
      </c>
      <c r="G20" s="16" t="s">
        <v>126</v>
      </c>
      <c r="H20" s="17">
        <v>1</v>
      </c>
      <c r="I20" s="17"/>
      <c r="J20" s="17"/>
      <c r="K20" s="17">
        <v>1</v>
      </c>
    </row>
    <row r="21" spans="2:11" outlineLevel="1">
      <c r="G21" s="16" t="s">
        <v>128</v>
      </c>
      <c r="H21" s="17">
        <v>1</v>
      </c>
      <c r="I21" s="17"/>
      <c r="J21" s="17"/>
      <c r="K21" s="17">
        <v>1</v>
      </c>
    </row>
    <row r="22" spans="2:11" outlineLevel="1">
      <c r="G22" s="16" t="s">
        <v>114</v>
      </c>
      <c r="H22" s="17">
        <v>1</v>
      </c>
      <c r="I22" s="17"/>
      <c r="J22" s="17"/>
      <c r="K22" s="17">
        <v>1</v>
      </c>
    </row>
    <row r="23" spans="2:11" outlineLevel="1">
      <c r="G23" s="16" t="s">
        <v>113</v>
      </c>
      <c r="H23" s="17">
        <v>1</v>
      </c>
      <c r="I23" s="17"/>
      <c r="J23" s="17"/>
      <c r="K23" s="17">
        <v>1</v>
      </c>
    </row>
    <row r="24" spans="2:11" outlineLevel="1">
      <c r="G24" s="16" t="s">
        <v>129</v>
      </c>
      <c r="H24" s="17">
        <v>5</v>
      </c>
      <c r="I24" s="17"/>
      <c r="J24" s="17"/>
      <c r="K24" s="17">
        <v>5</v>
      </c>
    </row>
    <row r="25" spans="2:11" outlineLevel="1">
      <c r="G25" s="16" t="s">
        <v>130</v>
      </c>
      <c r="H25" s="17">
        <v>2</v>
      </c>
      <c r="I25" s="17"/>
      <c r="J25" s="17"/>
      <c r="K25" s="17">
        <v>2</v>
      </c>
    </row>
    <row r="26" spans="2:11" outlineLevel="1">
      <c r="G26" s="16" t="s">
        <v>133</v>
      </c>
      <c r="H26" s="17">
        <v>1</v>
      </c>
      <c r="I26" s="17">
        <v>7</v>
      </c>
      <c r="J26" s="17">
        <v>8</v>
      </c>
      <c r="K26" s="17">
        <v>16</v>
      </c>
    </row>
    <row r="27" spans="2:11" outlineLevel="1">
      <c r="G27" s="15" t="s">
        <v>20</v>
      </c>
      <c r="H27" s="17">
        <v>23</v>
      </c>
      <c r="I27" s="17">
        <v>10</v>
      </c>
      <c r="J27" s="17">
        <v>9</v>
      </c>
      <c r="K27" s="17">
        <v>42</v>
      </c>
    </row>
    <row r="28" spans="2:11" outlineLevel="1">
      <c r="G28" s="16" t="s">
        <v>124</v>
      </c>
      <c r="H28" s="17">
        <v>2</v>
      </c>
      <c r="I28" s="17"/>
      <c r="J28" s="17"/>
      <c r="K28" s="17">
        <v>2</v>
      </c>
    </row>
    <row r="29" spans="2:11" outlineLevel="1">
      <c r="G29" s="16" t="s">
        <v>131</v>
      </c>
      <c r="H29" s="17">
        <v>4</v>
      </c>
      <c r="I29" s="17"/>
      <c r="J29" s="17"/>
      <c r="K29" s="17">
        <v>4</v>
      </c>
    </row>
    <row r="30" spans="2:11" outlineLevel="1">
      <c r="G30" s="16" t="s">
        <v>125</v>
      </c>
      <c r="H30" s="17">
        <v>1</v>
      </c>
      <c r="I30" s="17"/>
      <c r="J30" s="17"/>
      <c r="K30" s="17">
        <v>1</v>
      </c>
    </row>
    <row r="31" spans="2:11" outlineLevel="1">
      <c r="G31" s="16" t="s">
        <v>126</v>
      </c>
      <c r="H31" s="17">
        <v>1</v>
      </c>
      <c r="I31" s="17"/>
      <c r="J31" s="17"/>
      <c r="K31" s="17">
        <v>1</v>
      </c>
    </row>
    <row r="32" spans="2:11" outlineLevel="1">
      <c r="G32" s="16" t="s">
        <v>127</v>
      </c>
      <c r="H32" s="17">
        <v>1</v>
      </c>
      <c r="I32" s="17"/>
      <c r="J32" s="17"/>
      <c r="K32" s="17">
        <v>1</v>
      </c>
    </row>
    <row r="33" spans="7:11" outlineLevel="1">
      <c r="G33" s="16" t="s">
        <v>128</v>
      </c>
      <c r="H33" s="17">
        <v>1</v>
      </c>
      <c r="I33" s="17"/>
      <c r="J33" s="17"/>
      <c r="K33" s="17">
        <v>1</v>
      </c>
    </row>
    <row r="34" spans="7:11" outlineLevel="1">
      <c r="G34" s="16" t="s">
        <v>114</v>
      </c>
      <c r="H34" s="17">
        <v>1</v>
      </c>
      <c r="I34" s="17"/>
      <c r="J34" s="17"/>
      <c r="K34" s="17">
        <v>1</v>
      </c>
    </row>
    <row r="35" spans="7:11" outlineLevel="1">
      <c r="G35" s="16" t="s">
        <v>113</v>
      </c>
      <c r="H35" s="17">
        <v>1</v>
      </c>
      <c r="I35" s="17"/>
      <c r="J35" s="17"/>
      <c r="K35" s="17">
        <v>1</v>
      </c>
    </row>
    <row r="36" spans="7:11" outlineLevel="1">
      <c r="G36" s="16" t="s">
        <v>132</v>
      </c>
      <c r="H36" s="17">
        <v>1</v>
      </c>
      <c r="I36" s="17"/>
      <c r="J36" s="17"/>
      <c r="K36" s="17">
        <v>1</v>
      </c>
    </row>
    <row r="37" spans="7:11" outlineLevel="1">
      <c r="G37" s="16" t="s">
        <v>129</v>
      </c>
      <c r="H37" s="17">
        <v>7</v>
      </c>
      <c r="I37" s="17"/>
      <c r="J37" s="17"/>
      <c r="K37" s="17">
        <v>7</v>
      </c>
    </row>
    <row r="38" spans="7:11" outlineLevel="1">
      <c r="G38" s="16" t="s">
        <v>130</v>
      </c>
      <c r="H38" s="17">
        <v>2</v>
      </c>
      <c r="I38" s="17"/>
      <c r="J38" s="17"/>
      <c r="K38" s="17">
        <v>2</v>
      </c>
    </row>
    <row r="39" spans="7:11" outlineLevel="1">
      <c r="G39" s="16" t="s">
        <v>133</v>
      </c>
      <c r="H39" s="17">
        <v>1</v>
      </c>
      <c r="I39" s="17">
        <v>10</v>
      </c>
      <c r="J39" s="17">
        <v>9</v>
      </c>
      <c r="K39" s="17">
        <v>20</v>
      </c>
    </row>
    <row r="40" spans="7:11" outlineLevel="1">
      <c r="G40" s="15" t="s">
        <v>22</v>
      </c>
      <c r="H40" s="17">
        <v>19</v>
      </c>
      <c r="I40" s="17">
        <v>6</v>
      </c>
      <c r="J40" s="17">
        <v>7</v>
      </c>
      <c r="K40" s="17">
        <v>32</v>
      </c>
    </row>
    <row r="41" spans="7:11" outlineLevel="1">
      <c r="G41" s="16" t="s">
        <v>124</v>
      </c>
      <c r="H41" s="17">
        <v>2</v>
      </c>
      <c r="I41" s="17"/>
      <c r="J41" s="17"/>
      <c r="K41" s="17">
        <v>2</v>
      </c>
    </row>
    <row r="42" spans="7:11" outlineLevel="1">
      <c r="G42" s="16" t="s">
        <v>131</v>
      </c>
      <c r="H42" s="17">
        <v>2</v>
      </c>
      <c r="I42" s="17"/>
      <c r="J42" s="17"/>
      <c r="K42" s="17">
        <v>2</v>
      </c>
    </row>
    <row r="43" spans="7:11" outlineLevel="1">
      <c r="G43" s="16" t="s">
        <v>125</v>
      </c>
      <c r="H43" s="17">
        <v>1</v>
      </c>
      <c r="I43" s="17"/>
      <c r="J43" s="17"/>
      <c r="K43" s="17">
        <v>1</v>
      </c>
    </row>
    <row r="44" spans="7:11" outlineLevel="1">
      <c r="G44" s="16" t="s">
        <v>126</v>
      </c>
      <c r="H44" s="17">
        <v>1</v>
      </c>
      <c r="I44" s="17"/>
      <c r="J44" s="17"/>
      <c r="K44" s="17">
        <v>1</v>
      </c>
    </row>
    <row r="45" spans="7:11" outlineLevel="1">
      <c r="G45" s="16" t="s">
        <v>127</v>
      </c>
      <c r="H45" s="17">
        <v>1</v>
      </c>
      <c r="I45" s="17"/>
      <c r="J45" s="17"/>
      <c r="K45" s="17">
        <v>1</v>
      </c>
    </row>
    <row r="46" spans="7:11" outlineLevel="1">
      <c r="G46" s="16" t="s">
        <v>128</v>
      </c>
      <c r="H46" s="17">
        <v>1</v>
      </c>
      <c r="I46" s="17"/>
      <c r="J46" s="17"/>
      <c r="K46" s="17">
        <v>1</v>
      </c>
    </row>
    <row r="47" spans="7:11" outlineLevel="1">
      <c r="G47" s="16" t="s">
        <v>114</v>
      </c>
      <c r="H47" s="17">
        <v>1</v>
      </c>
      <c r="I47" s="17"/>
      <c r="J47" s="17"/>
      <c r="K47" s="17">
        <v>1</v>
      </c>
    </row>
    <row r="48" spans="7:11" outlineLevel="1">
      <c r="G48" s="16" t="s">
        <v>113</v>
      </c>
      <c r="H48" s="17">
        <v>1</v>
      </c>
      <c r="I48" s="17"/>
      <c r="J48" s="17"/>
      <c r="K48" s="17">
        <v>1</v>
      </c>
    </row>
    <row r="49" spans="7:11" outlineLevel="1">
      <c r="G49" s="16" t="s">
        <v>132</v>
      </c>
      <c r="H49" s="17">
        <v>1</v>
      </c>
      <c r="I49" s="17"/>
      <c r="J49" s="17"/>
      <c r="K49" s="17">
        <v>1</v>
      </c>
    </row>
    <row r="50" spans="7:11" outlineLevel="1">
      <c r="G50" s="16" t="s">
        <v>129</v>
      </c>
      <c r="H50" s="17">
        <v>5</v>
      </c>
      <c r="I50" s="17"/>
      <c r="J50" s="17"/>
      <c r="K50" s="17">
        <v>5</v>
      </c>
    </row>
    <row r="51" spans="7:11" outlineLevel="1">
      <c r="G51" s="16" t="s">
        <v>130</v>
      </c>
      <c r="H51" s="17">
        <v>2</v>
      </c>
      <c r="I51" s="17"/>
      <c r="J51" s="17"/>
      <c r="K51" s="17">
        <v>2</v>
      </c>
    </row>
    <row r="52" spans="7:11" outlineLevel="1">
      <c r="G52" s="16" t="s">
        <v>133</v>
      </c>
      <c r="H52" s="17">
        <v>1</v>
      </c>
      <c r="I52" s="17">
        <v>6</v>
      </c>
      <c r="J52" s="17">
        <v>7</v>
      </c>
      <c r="K52" s="17">
        <v>14</v>
      </c>
    </row>
    <row r="53" spans="7:11" outlineLevel="1">
      <c r="G53" s="15" t="s">
        <v>18</v>
      </c>
      <c r="H53" s="17">
        <v>29</v>
      </c>
      <c r="I53" s="17">
        <v>11</v>
      </c>
      <c r="J53" s="17">
        <v>10</v>
      </c>
      <c r="K53" s="17">
        <v>50</v>
      </c>
    </row>
    <row r="54" spans="7:11" outlineLevel="1">
      <c r="G54" s="16" t="s">
        <v>124</v>
      </c>
      <c r="H54" s="17">
        <v>2</v>
      </c>
      <c r="I54" s="17"/>
      <c r="J54" s="17"/>
      <c r="K54" s="17">
        <v>2</v>
      </c>
    </row>
    <row r="55" spans="7:11" outlineLevel="1">
      <c r="G55" s="16" t="s">
        <v>131</v>
      </c>
      <c r="H55" s="17">
        <v>8</v>
      </c>
      <c r="I55" s="17"/>
      <c r="J55" s="17"/>
      <c r="K55" s="17">
        <v>8</v>
      </c>
    </row>
    <row r="56" spans="7:11" outlineLevel="1">
      <c r="G56" s="16" t="s">
        <v>125</v>
      </c>
      <c r="H56" s="17">
        <v>1</v>
      </c>
      <c r="I56" s="17"/>
      <c r="J56" s="17"/>
      <c r="K56" s="17">
        <v>1</v>
      </c>
    </row>
    <row r="57" spans="7:11" outlineLevel="1">
      <c r="G57" s="16" t="s">
        <v>126</v>
      </c>
      <c r="H57" s="17">
        <v>1</v>
      </c>
      <c r="I57" s="17"/>
      <c r="J57" s="17"/>
      <c r="K57" s="17">
        <v>1</v>
      </c>
    </row>
    <row r="58" spans="7:11" outlineLevel="1">
      <c r="G58" s="16" t="s">
        <v>127</v>
      </c>
      <c r="H58" s="17">
        <v>1</v>
      </c>
      <c r="I58" s="17"/>
      <c r="J58" s="17"/>
      <c r="K58" s="17">
        <v>1</v>
      </c>
    </row>
    <row r="59" spans="7:11" outlineLevel="1">
      <c r="G59" s="16" t="s">
        <v>128</v>
      </c>
      <c r="H59" s="17">
        <v>1</v>
      </c>
      <c r="I59" s="17"/>
      <c r="J59" s="17"/>
      <c r="K59" s="17">
        <v>1</v>
      </c>
    </row>
    <row r="60" spans="7:11" outlineLevel="1">
      <c r="G60" s="16" t="s">
        <v>114</v>
      </c>
      <c r="H60" s="17">
        <v>1</v>
      </c>
      <c r="I60" s="17"/>
      <c r="J60" s="17"/>
      <c r="K60" s="17">
        <v>1</v>
      </c>
    </row>
    <row r="61" spans="7:11" outlineLevel="1">
      <c r="G61" s="16" t="s">
        <v>113</v>
      </c>
      <c r="H61" s="17">
        <v>1</v>
      </c>
      <c r="I61" s="17"/>
      <c r="J61" s="17"/>
      <c r="K61" s="17">
        <v>1</v>
      </c>
    </row>
    <row r="62" spans="7:11" outlineLevel="1">
      <c r="G62" s="16" t="s">
        <v>132</v>
      </c>
      <c r="H62" s="17">
        <v>1</v>
      </c>
      <c r="I62" s="17"/>
      <c r="J62" s="17"/>
      <c r="K62" s="17">
        <v>1</v>
      </c>
    </row>
    <row r="63" spans="7:11" outlineLevel="1">
      <c r="G63" s="16" t="s">
        <v>129</v>
      </c>
      <c r="H63" s="17">
        <v>9</v>
      </c>
      <c r="I63" s="17"/>
      <c r="J63" s="17"/>
      <c r="K63" s="17">
        <v>9</v>
      </c>
    </row>
    <row r="64" spans="7:11" outlineLevel="1">
      <c r="G64" s="16" t="s">
        <v>130</v>
      </c>
      <c r="H64" s="17">
        <v>2</v>
      </c>
      <c r="I64" s="17"/>
      <c r="J64" s="17"/>
      <c r="K64" s="17">
        <v>2</v>
      </c>
    </row>
    <row r="65" spans="7:11" outlineLevel="1">
      <c r="G65" s="16" t="s">
        <v>133</v>
      </c>
      <c r="H65" s="17">
        <v>1</v>
      </c>
      <c r="I65" s="17">
        <v>11</v>
      </c>
      <c r="J65" s="17">
        <v>10</v>
      </c>
      <c r="K65" s="17">
        <v>22</v>
      </c>
    </row>
    <row r="66" spans="7:11" outlineLevel="1">
      <c r="G66" s="15" t="s">
        <v>85</v>
      </c>
      <c r="H66" s="17">
        <v>8</v>
      </c>
      <c r="I66" s="17"/>
      <c r="J66" s="17"/>
      <c r="K66" s="17">
        <v>8</v>
      </c>
    </row>
    <row r="67" spans="7:11" outlineLevel="1">
      <c r="G67" s="16" t="s">
        <v>124</v>
      </c>
      <c r="H67" s="17">
        <v>1</v>
      </c>
      <c r="I67" s="17"/>
      <c r="J67" s="17"/>
      <c r="K67" s="17">
        <v>1</v>
      </c>
    </row>
    <row r="68" spans="7:11" outlineLevel="1">
      <c r="G68" s="16" t="s">
        <v>131</v>
      </c>
      <c r="H68" s="17">
        <v>1</v>
      </c>
      <c r="I68" s="17"/>
      <c r="J68" s="17"/>
      <c r="K68" s="17">
        <v>1</v>
      </c>
    </row>
    <row r="69" spans="7:11" outlineLevel="1">
      <c r="G69" s="16" t="s">
        <v>126</v>
      </c>
      <c r="H69" s="17">
        <v>1</v>
      </c>
      <c r="I69" s="17"/>
      <c r="J69" s="17"/>
      <c r="K69" s="17">
        <v>1</v>
      </c>
    </row>
    <row r="70" spans="7:11" outlineLevel="1">
      <c r="G70" s="16" t="s">
        <v>114</v>
      </c>
      <c r="H70" s="17">
        <v>1</v>
      </c>
      <c r="I70" s="17"/>
      <c r="J70" s="17"/>
      <c r="K70" s="17">
        <v>1</v>
      </c>
    </row>
    <row r="71" spans="7:11" outlineLevel="1">
      <c r="G71" s="16" t="s">
        <v>113</v>
      </c>
      <c r="H71" s="17">
        <v>1</v>
      </c>
      <c r="I71" s="17"/>
      <c r="J71" s="17"/>
      <c r="K71" s="17">
        <v>1</v>
      </c>
    </row>
    <row r="72" spans="7:11" outlineLevel="1">
      <c r="G72" s="16" t="s">
        <v>129</v>
      </c>
      <c r="H72" s="17">
        <v>3</v>
      </c>
      <c r="I72" s="17"/>
      <c r="J72" s="17"/>
      <c r="K72" s="17">
        <v>3</v>
      </c>
    </row>
    <row r="73" spans="7:11" outlineLevel="1">
      <c r="G73" s="15" t="s">
        <v>89</v>
      </c>
      <c r="H73" s="17">
        <v>15</v>
      </c>
      <c r="I73" s="17">
        <v>4</v>
      </c>
      <c r="J73" s="17">
        <v>4</v>
      </c>
      <c r="K73" s="17">
        <v>23</v>
      </c>
    </row>
    <row r="74" spans="7:11" outlineLevel="1">
      <c r="G74" s="16" t="s">
        <v>124</v>
      </c>
      <c r="H74" s="17">
        <v>1</v>
      </c>
      <c r="I74" s="17"/>
      <c r="J74" s="17"/>
      <c r="K74" s="17">
        <v>1</v>
      </c>
    </row>
    <row r="75" spans="7:11" outlineLevel="1">
      <c r="G75" s="16" t="s">
        <v>131</v>
      </c>
      <c r="H75" s="17">
        <v>3</v>
      </c>
      <c r="I75" s="17"/>
      <c r="J75" s="17"/>
      <c r="K75" s="17">
        <v>3</v>
      </c>
    </row>
    <row r="76" spans="7:11" outlineLevel="1">
      <c r="G76" s="16" t="s">
        <v>125</v>
      </c>
      <c r="H76" s="17">
        <v>1</v>
      </c>
      <c r="I76" s="17"/>
      <c r="J76" s="17"/>
      <c r="K76" s="17">
        <v>1</v>
      </c>
    </row>
    <row r="77" spans="7:11" outlineLevel="1">
      <c r="G77" s="16" t="s">
        <v>126</v>
      </c>
      <c r="H77" s="17">
        <v>1</v>
      </c>
      <c r="I77" s="17"/>
      <c r="J77" s="17"/>
      <c r="K77" s="17">
        <v>1</v>
      </c>
    </row>
    <row r="78" spans="7:11" outlineLevel="1">
      <c r="G78" s="16" t="s">
        <v>128</v>
      </c>
      <c r="H78" s="17">
        <v>1</v>
      </c>
      <c r="I78" s="17"/>
      <c r="J78" s="17"/>
      <c r="K78" s="17">
        <v>1</v>
      </c>
    </row>
    <row r="79" spans="7:11" outlineLevel="1">
      <c r="G79" s="16" t="s">
        <v>114</v>
      </c>
      <c r="H79" s="17">
        <v>1</v>
      </c>
      <c r="I79" s="17"/>
      <c r="J79" s="17"/>
      <c r="K79" s="17">
        <v>1</v>
      </c>
    </row>
    <row r="80" spans="7:11" outlineLevel="1">
      <c r="G80" s="16" t="s">
        <v>113</v>
      </c>
      <c r="H80" s="17">
        <v>1</v>
      </c>
      <c r="I80" s="17"/>
      <c r="J80" s="17"/>
      <c r="K80" s="17">
        <v>1</v>
      </c>
    </row>
    <row r="81" spans="7:11" outlineLevel="1">
      <c r="G81" s="16" t="s">
        <v>129</v>
      </c>
      <c r="H81" s="17">
        <v>4</v>
      </c>
      <c r="I81" s="17"/>
      <c r="J81" s="17"/>
      <c r="K81" s="17">
        <v>4</v>
      </c>
    </row>
    <row r="82" spans="7:11" outlineLevel="1">
      <c r="G82" s="16" t="s">
        <v>130</v>
      </c>
      <c r="H82" s="17">
        <v>1</v>
      </c>
      <c r="I82" s="17"/>
      <c r="J82" s="17"/>
      <c r="K82" s="17">
        <v>1</v>
      </c>
    </row>
    <row r="83" spans="7:11" outlineLevel="1">
      <c r="G83" s="16" t="s">
        <v>133</v>
      </c>
      <c r="H83" s="17">
        <v>1</v>
      </c>
      <c r="I83" s="17">
        <v>4</v>
      </c>
      <c r="J83" s="17">
        <v>4</v>
      </c>
      <c r="K83" s="17">
        <v>9</v>
      </c>
    </row>
    <row r="84" spans="7:11" outlineLevel="1">
      <c r="G84" s="15" t="s">
        <v>9</v>
      </c>
      <c r="H84" s="17">
        <v>38</v>
      </c>
      <c r="I84" s="17"/>
      <c r="J84" s="17"/>
      <c r="K84" s="17">
        <v>38</v>
      </c>
    </row>
    <row r="85" spans="7:11" outlineLevel="1">
      <c r="G85" s="16" t="s">
        <v>112</v>
      </c>
      <c r="H85" s="17">
        <v>5</v>
      </c>
      <c r="I85" s="17"/>
      <c r="J85" s="17"/>
      <c r="K85" s="17">
        <v>5</v>
      </c>
    </row>
    <row r="86" spans="7:11" outlineLevel="1">
      <c r="G86" s="16" t="s">
        <v>124</v>
      </c>
      <c r="H86" s="17">
        <v>2</v>
      </c>
      <c r="I86" s="17"/>
      <c r="J86" s="17"/>
      <c r="K86" s="17">
        <v>2</v>
      </c>
    </row>
    <row r="87" spans="7:11" outlineLevel="1">
      <c r="G87" s="16" t="s">
        <v>131</v>
      </c>
      <c r="H87" s="17">
        <v>6</v>
      </c>
      <c r="I87" s="17"/>
      <c r="J87" s="17"/>
      <c r="K87" s="17">
        <v>6</v>
      </c>
    </row>
    <row r="88" spans="7:11" outlineLevel="1">
      <c r="G88" s="16" t="s">
        <v>125</v>
      </c>
      <c r="H88" s="17">
        <v>2</v>
      </c>
      <c r="I88" s="17"/>
      <c r="J88" s="17"/>
      <c r="K88" s="17">
        <v>2</v>
      </c>
    </row>
    <row r="89" spans="7:11" outlineLevel="1">
      <c r="G89" s="16" t="s">
        <v>126</v>
      </c>
      <c r="H89" s="17">
        <v>5</v>
      </c>
      <c r="I89" s="17"/>
      <c r="J89" s="17"/>
      <c r="K89" s="17">
        <v>5</v>
      </c>
    </row>
    <row r="90" spans="7:11" outlineLevel="1">
      <c r="G90" s="16" t="s">
        <v>127</v>
      </c>
      <c r="H90" s="17">
        <v>3</v>
      </c>
      <c r="I90" s="17"/>
      <c r="J90" s="17"/>
      <c r="K90" s="17">
        <v>3</v>
      </c>
    </row>
    <row r="91" spans="7:11" outlineLevel="1">
      <c r="G91" s="16" t="s">
        <v>128</v>
      </c>
      <c r="H91" s="17">
        <v>2</v>
      </c>
      <c r="I91" s="17"/>
      <c r="J91" s="17"/>
      <c r="K91" s="17">
        <v>2</v>
      </c>
    </row>
    <row r="92" spans="7:11" outlineLevel="1">
      <c r="G92" s="16" t="s">
        <v>114</v>
      </c>
      <c r="H92" s="17">
        <v>3</v>
      </c>
      <c r="I92" s="17"/>
      <c r="J92" s="17"/>
      <c r="K92" s="17">
        <v>3</v>
      </c>
    </row>
    <row r="93" spans="7:11" outlineLevel="1">
      <c r="G93" s="16" t="s">
        <v>132</v>
      </c>
      <c r="H93" s="17">
        <v>6</v>
      </c>
      <c r="I93" s="17"/>
      <c r="J93" s="17"/>
      <c r="K93" s="17">
        <v>6</v>
      </c>
    </row>
    <row r="94" spans="7:11" outlineLevel="1">
      <c r="G94" s="16" t="s">
        <v>130</v>
      </c>
      <c r="H94" s="17">
        <v>4</v>
      </c>
      <c r="I94" s="17"/>
      <c r="J94" s="17"/>
      <c r="K94" s="17">
        <v>4</v>
      </c>
    </row>
    <row r="95" spans="7:11" outlineLevel="1">
      <c r="G95" s="15" t="s">
        <v>98</v>
      </c>
      <c r="H95" s="17">
        <v>15</v>
      </c>
      <c r="I95" s="17">
        <v>6</v>
      </c>
      <c r="J95" s="17">
        <v>7</v>
      </c>
      <c r="K95" s="17">
        <v>28</v>
      </c>
    </row>
    <row r="96" spans="7:11" outlineLevel="1">
      <c r="G96" s="16" t="s">
        <v>124</v>
      </c>
      <c r="H96" s="17">
        <v>2</v>
      </c>
      <c r="I96" s="17"/>
      <c r="J96" s="17"/>
      <c r="K96" s="17">
        <v>2</v>
      </c>
    </row>
    <row r="97" spans="7:11" outlineLevel="1">
      <c r="G97" s="16" t="s">
        <v>131</v>
      </c>
      <c r="H97" s="17">
        <v>2</v>
      </c>
      <c r="I97" s="17"/>
      <c r="J97" s="17"/>
      <c r="K97" s="17">
        <v>2</v>
      </c>
    </row>
    <row r="98" spans="7:11" outlineLevel="1">
      <c r="G98" s="16" t="s">
        <v>125</v>
      </c>
      <c r="H98" s="17">
        <v>1</v>
      </c>
      <c r="I98" s="17"/>
      <c r="J98" s="17"/>
      <c r="K98" s="17">
        <v>1</v>
      </c>
    </row>
    <row r="99" spans="7:11" outlineLevel="1">
      <c r="G99" s="16" t="s">
        <v>126</v>
      </c>
      <c r="H99" s="17">
        <v>1</v>
      </c>
      <c r="I99" s="17"/>
      <c r="J99" s="17"/>
      <c r="K99" s="17">
        <v>1</v>
      </c>
    </row>
    <row r="100" spans="7:11" outlineLevel="1">
      <c r="G100" s="16" t="s">
        <v>128</v>
      </c>
      <c r="H100" s="17">
        <v>1</v>
      </c>
      <c r="I100" s="17"/>
      <c r="J100" s="17"/>
      <c r="K100" s="17">
        <v>1</v>
      </c>
    </row>
    <row r="101" spans="7:11" outlineLevel="1">
      <c r="G101" s="16" t="s">
        <v>114</v>
      </c>
      <c r="H101" s="17">
        <v>1</v>
      </c>
      <c r="I101" s="17"/>
      <c r="J101" s="17"/>
      <c r="K101" s="17">
        <v>1</v>
      </c>
    </row>
    <row r="102" spans="7:11" outlineLevel="1">
      <c r="G102" s="16" t="s">
        <v>113</v>
      </c>
      <c r="H102" s="17">
        <v>1</v>
      </c>
      <c r="I102" s="17"/>
      <c r="J102" s="17"/>
      <c r="K102" s="17">
        <v>1</v>
      </c>
    </row>
    <row r="103" spans="7:11" outlineLevel="1">
      <c r="G103" s="16" t="s">
        <v>129</v>
      </c>
      <c r="H103" s="17">
        <v>3</v>
      </c>
      <c r="I103" s="17"/>
      <c r="J103" s="17"/>
      <c r="K103" s="17">
        <v>3</v>
      </c>
    </row>
    <row r="104" spans="7:11" outlineLevel="1">
      <c r="G104" s="16" t="s">
        <v>130</v>
      </c>
      <c r="H104" s="17">
        <v>2</v>
      </c>
      <c r="I104" s="17"/>
      <c r="J104" s="17"/>
      <c r="K104" s="17">
        <v>2</v>
      </c>
    </row>
    <row r="105" spans="7:11" outlineLevel="1">
      <c r="G105" s="16" t="s">
        <v>133</v>
      </c>
      <c r="H105" s="17">
        <v>1</v>
      </c>
      <c r="I105" s="17">
        <v>6</v>
      </c>
      <c r="J105" s="17">
        <v>7</v>
      </c>
      <c r="K105" s="17">
        <v>14</v>
      </c>
    </row>
    <row r="106" spans="7:11" outlineLevel="1">
      <c r="G106" s="15" t="s">
        <v>71</v>
      </c>
      <c r="H106" s="17">
        <v>21</v>
      </c>
      <c r="I106" s="17">
        <v>5</v>
      </c>
      <c r="J106" s="17">
        <v>6</v>
      </c>
      <c r="K106" s="17">
        <v>32</v>
      </c>
    </row>
    <row r="107" spans="7:11" outlineLevel="1">
      <c r="G107" s="16" t="s">
        <v>124</v>
      </c>
      <c r="H107" s="17">
        <v>2</v>
      </c>
      <c r="I107" s="17"/>
      <c r="J107" s="17"/>
      <c r="K107" s="17">
        <v>2</v>
      </c>
    </row>
    <row r="108" spans="7:11" outlineLevel="1">
      <c r="G108" s="16" t="s">
        <v>131</v>
      </c>
      <c r="H108" s="17">
        <v>5</v>
      </c>
      <c r="I108" s="17"/>
      <c r="J108" s="17"/>
      <c r="K108" s="17">
        <v>5</v>
      </c>
    </row>
    <row r="109" spans="7:11" outlineLevel="1">
      <c r="G109" s="16" t="s">
        <v>125</v>
      </c>
      <c r="H109" s="17">
        <v>1</v>
      </c>
      <c r="I109" s="17"/>
      <c r="J109" s="17"/>
      <c r="K109" s="17">
        <v>1</v>
      </c>
    </row>
    <row r="110" spans="7:11" outlineLevel="1">
      <c r="G110" s="16" t="s">
        <v>126</v>
      </c>
      <c r="H110" s="17">
        <v>1</v>
      </c>
      <c r="I110" s="17"/>
      <c r="J110" s="17"/>
      <c r="K110" s="17">
        <v>1</v>
      </c>
    </row>
    <row r="111" spans="7:11" outlineLevel="1">
      <c r="G111" s="16" t="s">
        <v>128</v>
      </c>
      <c r="H111" s="17">
        <v>1</v>
      </c>
      <c r="I111" s="17"/>
      <c r="J111" s="17"/>
      <c r="K111" s="17">
        <v>1</v>
      </c>
    </row>
    <row r="112" spans="7:11" outlineLevel="1">
      <c r="G112" s="16" t="s">
        <v>114</v>
      </c>
      <c r="H112" s="17">
        <v>1</v>
      </c>
      <c r="I112" s="17"/>
      <c r="J112" s="17"/>
      <c r="K112" s="17">
        <v>1</v>
      </c>
    </row>
    <row r="113" spans="7:11" outlineLevel="1">
      <c r="G113" s="16" t="s">
        <v>113</v>
      </c>
      <c r="H113" s="17">
        <v>1</v>
      </c>
      <c r="I113" s="17"/>
      <c r="J113" s="17"/>
      <c r="K113" s="17">
        <v>1</v>
      </c>
    </row>
    <row r="114" spans="7:11" outlineLevel="1">
      <c r="G114" s="16" t="s">
        <v>129</v>
      </c>
      <c r="H114" s="17">
        <v>6</v>
      </c>
      <c r="I114" s="17"/>
      <c r="J114" s="17"/>
      <c r="K114" s="17">
        <v>6</v>
      </c>
    </row>
    <row r="115" spans="7:11" outlineLevel="1">
      <c r="G115" s="16" t="s">
        <v>130</v>
      </c>
      <c r="H115" s="17">
        <v>2</v>
      </c>
      <c r="I115" s="17"/>
      <c r="J115" s="17"/>
      <c r="K115" s="17">
        <v>2</v>
      </c>
    </row>
    <row r="116" spans="7:11" outlineLevel="1">
      <c r="G116" s="16" t="s">
        <v>133</v>
      </c>
      <c r="H116" s="17">
        <v>1</v>
      </c>
      <c r="I116" s="17">
        <v>5</v>
      </c>
      <c r="J116" s="17">
        <v>6</v>
      </c>
      <c r="K116" s="17">
        <v>12</v>
      </c>
    </row>
    <row r="117" spans="7:11" outlineLevel="1">
      <c r="G117" s="15" t="s">
        <v>39</v>
      </c>
      <c r="H117" s="17">
        <v>17</v>
      </c>
      <c r="I117" s="17">
        <v>5</v>
      </c>
      <c r="J117" s="17">
        <v>5</v>
      </c>
      <c r="K117" s="17">
        <v>27</v>
      </c>
    </row>
    <row r="118" spans="7:11" outlineLevel="1">
      <c r="G118" s="16" t="s">
        <v>124</v>
      </c>
      <c r="H118" s="17">
        <v>1</v>
      </c>
      <c r="I118" s="17"/>
      <c r="J118" s="17"/>
      <c r="K118" s="17">
        <v>1</v>
      </c>
    </row>
    <row r="119" spans="7:11" outlineLevel="1">
      <c r="G119" s="16" t="s">
        <v>131</v>
      </c>
      <c r="H119" s="17">
        <v>4</v>
      </c>
      <c r="I119" s="17"/>
      <c r="J119" s="17"/>
      <c r="K119" s="17">
        <v>4</v>
      </c>
    </row>
    <row r="120" spans="7:11" outlineLevel="1">
      <c r="G120" s="16" t="s">
        <v>125</v>
      </c>
      <c r="H120" s="17">
        <v>1</v>
      </c>
      <c r="I120" s="17"/>
      <c r="J120" s="17"/>
      <c r="K120" s="17">
        <v>1</v>
      </c>
    </row>
    <row r="121" spans="7:11" outlineLevel="1">
      <c r="G121" s="16" t="s">
        <v>126</v>
      </c>
      <c r="H121" s="17">
        <v>1</v>
      </c>
      <c r="I121" s="17"/>
      <c r="J121" s="17"/>
      <c r="K121" s="17">
        <v>1</v>
      </c>
    </row>
    <row r="122" spans="7:11" outlineLevel="1">
      <c r="G122" s="16" t="s">
        <v>128</v>
      </c>
      <c r="H122" s="17">
        <v>1</v>
      </c>
      <c r="I122" s="17"/>
      <c r="J122" s="17"/>
      <c r="K122" s="17">
        <v>1</v>
      </c>
    </row>
    <row r="123" spans="7:11" outlineLevel="1">
      <c r="G123" s="16" t="s">
        <v>114</v>
      </c>
      <c r="H123" s="17">
        <v>1</v>
      </c>
      <c r="I123" s="17"/>
      <c r="J123" s="17"/>
      <c r="K123" s="17">
        <v>1</v>
      </c>
    </row>
    <row r="124" spans="7:11" outlineLevel="1">
      <c r="G124" s="16" t="s">
        <v>113</v>
      </c>
      <c r="H124" s="17">
        <v>1</v>
      </c>
      <c r="I124" s="17"/>
      <c r="J124" s="17"/>
      <c r="K124" s="17">
        <v>1</v>
      </c>
    </row>
    <row r="125" spans="7:11" outlineLevel="1">
      <c r="G125" s="16" t="s">
        <v>129</v>
      </c>
      <c r="H125" s="17">
        <v>5</v>
      </c>
      <c r="I125" s="17"/>
      <c r="J125" s="17"/>
      <c r="K125" s="17">
        <v>5</v>
      </c>
    </row>
    <row r="126" spans="7:11" outlineLevel="1">
      <c r="G126" s="16" t="s">
        <v>130</v>
      </c>
      <c r="H126" s="17">
        <v>1</v>
      </c>
      <c r="I126" s="17"/>
      <c r="J126" s="17"/>
      <c r="K126" s="17">
        <v>1</v>
      </c>
    </row>
    <row r="127" spans="7:11" outlineLevel="1">
      <c r="G127" s="16" t="s">
        <v>133</v>
      </c>
      <c r="H127" s="17">
        <v>1</v>
      </c>
      <c r="I127" s="17">
        <v>5</v>
      </c>
      <c r="J127" s="17">
        <v>5</v>
      </c>
      <c r="K127" s="17">
        <v>11</v>
      </c>
    </row>
    <row r="128" spans="7:11" outlineLevel="1">
      <c r="G128" s="15" t="s">
        <v>16</v>
      </c>
      <c r="H128" s="17">
        <v>27</v>
      </c>
      <c r="I128" s="17">
        <v>7</v>
      </c>
      <c r="J128" s="17">
        <v>8</v>
      </c>
      <c r="K128" s="17">
        <v>42</v>
      </c>
    </row>
    <row r="129" spans="7:11" outlineLevel="1">
      <c r="G129" s="16" t="s">
        <v>124</v>
      </c>
      <c r="H129" s="17">
        <v>2</v>
      </c>
      <c r="I129" s="17"/>
      <c r="J129" s="17"/>
      <c r="K129" s="17">
        <v>2</v>
      </c>
    </row>
    <row r="130" spans="7:11" outlineLevel="1">
      <c r="G130" s="16" t="s">
        <v>131</v>
      </c>
      <c r="H130" s="17">
        <v>5</v>
      </c>
      <c r="I130" s="17"/>
      <c r="J130" s="17"/>
      <c r="K130" s="17">
        <v>5</v>
      </c>
    </row>
    <row r="131" spans="7:11" outlineLevel="1">
      <c r="G131" s="16" t="s">
        <v>125</v>
      </c>
      <c r="H131" s="17">
        <v>1</v>
      </c>
      <c r="I131" s="17"/>
      <c r="J131" s="17"/>
      <c r="K131" s="17">
        <v>1</v>
      </c>
    </row>
    <row r="132" spans="7:11" outlineLevel="1">
      <c r="G132" s="16" t="s">
        <v>126</v>
      </c>
      <c r="H132" s="17">
        <v>1</v>
      </c>
      <c r="I132" s="17"/>
      <c r="J132" s="17"/>
      <c r="K132" s="17">
        <v>1</v>
      </c>
    </row>
    <row r="133" spans="7:11" outlineLevel="1">
      <c r="G133" s="16" t="s">
        <v>127</v>
      </c>
      <c r="H133" s="17">
        <v>1</v>
      </c>
      <c r="I133" s="17"/>
      <c r="J133" s="17"/>
      <c r="K133" s="17">
        <v>1</v>
      </c>
    </row>
    <row r="134" spans="7:11" outlineLevel="1">
      <c r="G134" s="16" t="s">
        <v>128</v>
      </c>
      <c r="H134" s="17">
        <v>1</v>
      </c>
      <c r="I134" s="17"/>
      <c r="J134" s="17"/>
      <c r="K134" s="17">
        <v>1</v>
      </c>
    </row>
    <row r="135" spans="7:11" outlineLevel="1">
      <c r="G135" s="16" t="s">
        <v>114</v>
      </c>
      <c r="H135" s="17">
        <v>1</v>
      </c>
      <c r="I135" s="17"/>
      <c r="J135" s="17"/>
      <c r="K135" s="17">
        <v>1</v>
      </c>
    </row>
    <row r="136" spans="7:11" outlineLevel="1">
      <c r="G136" s="16" t="s">
        <v>113</v>
      </c>
      <c r="H136" s="17">
        <v>1</v>
      </c>
      <c r="I136" s="17"/>
      <c r="J136" s="17"/>
      <c r="K136" s="17">
        <v>1</v>
      </c>
    </row>
    <row r="137" spans="7:11" outlineLevel="1">
      <c r="G137" s="16" t="s">
        <v>132</v>
      </c>
      <c r="H137" s="17">
        <v>1</v>
      </c>
      <c r="I137" s="17"/>
      <c r="J137" s="17"/>
      <c r="K137" s="17">
        <v>1</v>
      </c>
    </row>
    <row r="138" spans="7:11" outlineLevel="1">
      <c r="G138" s="16" t="s">
        <v>129</v>
      </c>
      <c r="H138" s="17">
        <v>10</v>
      </c>
      <c r="I138" s="17"/>
      <c r="J138" s="17"/>
      <c r="K138" s="17">
        <v>10</v>
      </c>
    </row>
    <row r="139" spans="7:11" outlineLevel="1">
      <c r="G139" s="16" t="s">
        <v>130</v>
      </c>
      <c r="H139" s="17">
        <v>2</v>
      </c>
      <c r="I139" s="17"/>
      <c r="J139" s="17"/>
      <c r="K139" s="17">
        <v>2</v>
      </c>
    </row>
    <row r="140" spans="7:11" outlineLevel="1">
      <c r="G140" s="16" t="s">
        <v>133</v>
      </c>
      <c r="H140" s="17">
        <v>1</v>
      </c>
      <c r="I140" s="17">
        <v>7</v>
      </c>
      <c r="J140" s="17">
        <v>8</v>
      </c>
      <c r="K140" s="17">
        <v>16</v>
      </c>
    </row>
    <row r="141" spans="7:11" outlineLevel="1">
      <c r="G141" s="15" t="s">
        <v>103</v>
      </c>
      <c r="H141" s="17">
        <v>5</v>
      </c>
      <c r="I141" s="17"/>
      <c r="J141" s="17"/>
      <c r="K141" s="17">
        <v>5</v>
      </c>
    </row>
    <row r="142" spans="7:11" outlineLevel="1">
      <c r="G142" s="16" t="s">
        <v>131</v>
      </c>
      <c r="H142" s="17">
        <v>1</v>
      </c>
      <c r="I142" s="17"/>
      <c r="J142" s="17"/>
      <c r="K142" s="17">
        <v>1</v>
      </c>
    </row>
    <row r="143" spans="7:11" outlineLevel="1">
      <c r="G143" s="16" t="s">
        <v>114</v>
      </c>
      <c r="H143" s="17">
        <v>1</v>
      </c>
      <c r="I143" s="17"/>
      <c r="J143" s="17"/>
      <c r="K143" s="17">
        <v>1</v>
      </c>
    </row>
    <row r="144" spans="7:11" outlineLevel="1">
      <c r="G144" s="16" t="s">
        <v>113</v>
      </c>
      <c r="H144" s="17">
        <v>1</v>
      </c>
      <c r="I144" s="17"/>
      <c r="J144" s="17"/>
      <c r="K144" s="17">
        <v>1</v>
      </c>
    </row>
    <row r="145" spans="7:11" outlineLevel="1">
      <c r="G145" s="16" t="s">
        <v>129</v>
      </c>
      <c r="H145" s="17">
        <v>2</v>
      </c>
      <c r="I145" s="17"/>
      <c r="J145" s="17"/>
      <c r="K145" s="17">
        <v>2</v>
      </c>
    </row>
    <row r="146" spans="7:11" outlineLevel="1">
      <c r="G146" s="15" t="s">
        <v>63</v>
      </c>
      <c r="H146" s="17">
        <v>8</v>
      </c>
      <c r="I146" s="17"/>
      <c r="J146" s="17"/>
      <c r="K146" s="17">
        <v>8</v>
      </c>
    </row>
    <row r="147" spans="7:11" outlineLevel="1">
      <c r="G147" s="16" t="s">
        <v>124</v>
      </c>
      <c r="H147" s="17">
        <v>1</v>
      </c>
      <c r="I147" s="17"/>
      <c r="J147" s="17"/>
      <c r="K147" s="17">
        <v>1</v>
      </c>
    </row>
    <row r="148" spans="7:11" outlineLevel="1">
      <c r="G148" s="16" t="s">
        <v>131</v>
      </c>
      <c r="H148" s="17">
        <v>1</v>
      </c>
      <c r="I148" s="17"/>
      <c r="J148" s="17"/>
      <c r="K148" s="17">
        <v>1</v>
      </c>
    </row>
    <row r="149" spans="7:11" outlineLevel="1">
      <c r="G149" s="16" t="s">
        <v>126</v>
      </c>
      <c r="H149" s="17">
        <v>1</v>
      </c>
      <c r="I149" s="17"/>
      <c r="J149" s="17"/>
      <c r="K149" s="17">
        <v>1</v>
      </c>
    </row>
    <row r="150" spans="7:11" outlineLevel="1">
      <c r="G150" s="16" t="s">
        <v>114</v>
      </c>
      <c r="H150" s="17">
        <v>1</v>
      </c>
      <c r="I150" s="17"/>
      <c r="J150" s="17"/>
      <c r="K150" s="17">
        <v>1</v>
      </c>
    </row>
    <row r="151" spans="7:11" outlineLevel="1">
      <c r="G151" s="16" t="s">
        <v>113</v>
      </c>
      <c r="H151" s="17">
        <v>1</v>
      </c>
      <c r="I151" s="17"/>
      <c r="J151" s="17"/>
      <c r="K151" s="17">
        <v>1</v>
      </c>
    </row>
    <row r="152" spans="7:11" outlineLevel="1">
      <c r="G152" s="16" t="s">
        <v>129</v>
      </c>
      <c r="H152" s="17">
        <v>3</v>
      </c>
      <c r="I152" s="17"/>
      <c r="J152" s="17"/>
      <c r="K152" s="17">
        <v>3</v>
      </c>
    </row>
    <row r="153" spans="7:11" outlineLevel="1">
      <c r="G153" s="15" t="s">
        <v>94</v>
      </c>
      <c r="H153" s="17">
        <v>11</v>
      </c>
      <c r="I153" s="17"/>
      <c r="J153" s="17"/>
      <c r="K153" s="17">
        <v>11</v>
      </c>
    </row>
    <row r="154" spans="7:11" outlineLevel="1">
      <c r="G154" s="16" t="s">
        <v>124</v>
      </c>
      <c r="H154" s="17">
        <v>1</v>
      </c>
      <c r="I154" s="17"/>
      <c r="J154" s="17"/>
      <c r="K154" s="17">
        <v>1</v>
      </c>
    </row>
    <row r="155" spans="7:11" outlineLevel="1">
      <c r="G155" s="16" t="s">
        <v>131</v>
      </c>
      <c r="H155" s="17">
        <v>2</v>
      </c>
      <c r="I155" s="17"/>
      <c r="J155" s="17"/>
      <c r="K155" s="17">
        <v>2</v>
      </c>
    </row>
    <row r="156" spans="7:11" outlineLevel="1">
      <c r="G156" s="16" t="s">
        <v>126</v>
      </c>
      <c r="H156" s="17">
        <v>1</v>
      </c>
      <c r="I156" s="17"/>
      <c r="J156" s="17"/>
      <c r="K156" s="17">
        <v>1</v>
      </c>
    </row>
    <row r="157" spans="7:11" outlineLevel="1">
      <c r="G157" s="16" t="s">
        <v>114</v>
      </c>
      <c r="H157" s="17">
        <v>1</v>
      </c>
      <c r="I157" s="17"/>
      <c r="J157" s="17"/>
      <c r="K157" s="17">
        <v>1</v>
      </c>
    </row>
    <row r="158" spans="7:11" outlineLevel="1">
      <c r="G158" s="16" t="s">
        <v>113</v>
      </c>
      <c r="H158" s="17">
        <v>1</v>
      </c>
      <c r="I158" s="17"/>
      <c r="J158" s="17"/>
      <c r="K158" s="17">
        <v>1</v>
      </c>
    </row>
    <row r="159" spans="7:11" outlineLevel="1">
      <c r="G159" s="16" t="s">
        <v>129</v>
      </c>
      <c r="H159" s="17">
        <v>5</v>
      </c>
      <c r="I159" s="17"/>
      <c r="J159" s="17"/>
      <c r="K159" s="17">
        <v>5</v>
      </c>
    </row>
    <row r="160" spans="7:11" outlineLevel="1">
      <c r="G160" s="15" t="s">
        <v>118</v>
      </c>
      <c r="H160" s="17">
        <v>255</v>
      </c>
      <c r="I160" s="17">
        <v>61</v>
      </c>
      <c r="J160" s="17">
        <v>64</v>
      </c>
      <c r="K160" s="17">
        <v>380</v>
      </c>
    </row>
    <row r="161" spans="2:8" outlineLevel="1"/>
    <row r="162" spans="2:8" outlineLevel="1"/>
    <row r="163" spans="2:8" outlineLevel="1"/>
    <row r="164" spans="2:8" outlineLevel="1"/>
    <row r="165" spans="2:8" ht="18.5">
      <c r="B165" s="1" t="s">
        <v>187</v>
      </c>
      <c r="C165" s="5"/>
      <c r="E165" s="5"/>
      <c r="F165" s="5"/>
      <c r="G165" s="5"/>
      <c r="H165" s="5"/>
    </row>
    <row r="166" spans="2:8" outlineLevel="1">
      <c r="B166" s="38" t="s">
        <v>196</v>
      </c>
      <c r="C166" s="38"/>
      <c r="D166" s="38"/>
      <c r="E166" s="38"/>
      <c r="F166" s="38"/>
      <c r="G166" s="38"/>
      <c r="H166" s="38"/>
    </row>
    <row r="167" spans="2:8" ht="12" outlineLevel="1" thickBot="1"/>
    <row r="168" spans="2:8" s="5" customFormat="1" ht="12" outlineLevel="1" thickBot="1">
      <c r="B168" s="21" t="s">
        <v>136</v>
      </c>
      <c r="C168" s="22" t="s">
        <v>133</v>
      </c>
      <c r="D168"/>
    </row>
    <row r="169" spans="2:8" outlineLevel="1"/>
    <row r="170" spans="2:8" ht="14" outlineLevel="1">
      <c r="B170" s="18" t="s">
        <v>134</v>
      </c>
      <c r="C170" s="18" t="s">
        <v>121</v>
      </c>
      <c r="D170"/>
    </row>
    <row r="171" spans="2:8" outlineLevel="1">
      <c r="B171" s="19" t="s">
        <v>80</v>
      </c>
      <c r="C171" s="20">
        <f>SUMIFS(Head_Count,Location_Name,$B171,Role,$C$168)</f>
        <v>16</v>
      </c>
      <c r="D171"/>
    </row>
    <row r="172" spans="2:8" outlineLevel="1">
      <c r="B172" s="19" t="s">
        <v>22</v>
      </c>
      <c r="C172" s="20">
        <f>SUMIFS(Head_Count,Location_Name,$B172,Role,$C$168)</f>
        <v>14</v>
      </c>
      <c r="D172"/>
    </row>
    <row r="173" spans="2:8" outlineLevel="1">
      <c r="B173" s="19" t="s">
        <v>18</v>
      </c>
      <c r="C173" s="20">
        <f>SUMIFS(Head_Count,Location_Name,$B173,Role,$C$168)</f>
        <v>22</v>
      </c>
      <c r="D173"/>
    </row>
    <row r="174" spans="2:8" outlineLevel="1">
      <c r="B174" s="19" t="s">
        <v>71</v>
      </c>
      <c r="C174" s="20">
        <f>SUMIFS(Head_Count,Location_Name,$B174,Role,$C$168)</f>
        <v>12</v>
      </c>
      <c r="D174"/>
    </row>
    <row r="175" spans="2:8" outlineLevel="1">
      <c r="D175"/>
    </row>
    <row r="176" spans="2:8" outlineLevel="1">
      <c r="B176" s="19" t="s">
        <v>137</v>
      </c>
      <c r="C176" s="23">
        <f>SUM(C171:C174)/SUMIFS(Head_Count,Role,$C$168)</f>
        <v>0.47761194029850745</v>
      </c>
      <c r="D176"/>
    </row>
    <row r="177" spans="2:15" s="5" customFormat="1" outlineLevel="1">
      <c r="D177"/>
    </row>
    <row r="178" spans="2:15" outlineLevel="1"/>
    <row r="179" spans="2:15" outlineLevel="1"/>
    <row r="180" spans="2:15" ht="18.5">
      <c r="B180" s="1" t="s">
        <v>188</v>
      </c>
      <c r="C180" s="5"/>
      <c r="E180" s="5"/>
    </row>
    <row r="181" spans="2:15" ht="11.5" customHeight="1" outlineLevel="1">
      <c r="B181" s="38" t="s">
        <v>182</v>
      </c>
      <c r="C181" s="38"/>
      <c r="D181" s="38"/>
      <c r="E181" s="38"/>
    </row>
    <row r="182" spans="2:15" outlineLevel="1">
      <c r="B182" s="38"/>
      <c r="C182" s="38"/>
      <c r="D182" s="38"/>
      <c r="E182" s="38"/>
    </row>
    <row r="183" spans="2:15" s="5" customFormat="1" outlineLevel="1">
      <c r="B183" s="38"/>
      <c r="C183" s="38"/>
      <c r="D183" s="38"/>
      <c r="E183" s="38"/>
    </row>
    <row r="184" spans="2:15" ht="157.5" customHeight="1" outlineLevel="1">
      <c r="B184" s="38" t="s">
        <v>195</v>
      </c>
      <c r="C184" s="38"/>
      <c r="D184" s="38"/>
      <c r="E184" s="38"/>
      <c r="F184" s="29"/>
      <c r="H184" s="15"/>
      <c r="I184" s="15"/>
      <c r="J184" s="15"/>
      <c r="K184" s="15"/>
      <c r="L184" s="15"/>
      <c r="M184" s="15"/>
    </row>
    <row r="185" spans="2:15" s="5" customFormat="1" ht="84" customHeight="1" outlineLevel="1">
      <c r="B185" s="25"/>
      <c r="C185" s="25"/>
      <c r="D185" s="25"/>
      <c r="E185" s="25"/>
      <c r="F185" s="29" t="s">
        <v>149</v>
      </c>
      <c r="H185" s="15">
        <v>24</v>
      </c>
      <c r="I185" s="15">
        <v>28</v>
      </c>
      <c r="J185" s="15">
        <v>31</v>
      </c>
      <c r="K185" s="15">
        <v>33</v>
      </c>
      <c r="L185" s="15">
        <v>37</v>
      </c>
      <c r="M185" s="15">
        <v>40</v>
      </c>
    </row>
    <row r="186" spans="2:15" ht="12" outlineLevel="1" thickBot="1">
      <c r="F186" t="s">
        <v>150</v>
      </c>
      <c r="G186">
        <v>23</v>
      </c>
      <c r="H186" s="15">
        <v>27</v>
      </c>
      <c r="I186" s="15">
        <v>30</v>
      </c>
      <c r="J186" s="15">
        <v>33</v>
      </c>
      <c r="K186" s="15">
        <v>36</v>
      </c>
      <c r="L186" s="15">
        <v>40</v>
      </c>
      <c r="M186" s="15"/>
    </row>
    <row r="187" spans="2:15" outlineLevel="1">
      <c r="G187" s="28" t="s">
        <v>153</v>
      </c>
      <c r="H187" s="26"/>
      <c r="I187" s="26"/>
      <c r="J187" s="26"/>
      <c r="K187" s="26"/>
      <c r="L187" s="26"/>
      <c r="M187" s="26"/>
      <c r="N187" s="26"/>
      <c r="O187" s="27"/>
    </row>
    <row r="188" spans="2:15" ht="14" outlineLevel="1">
      <c r="B188" s="18" t="s">
        <v>134</v>
      </c>
      <c r="C188" s="18" t="s">
        <v>138</v>
      </c>
      <c r="D188" s="18" t="s">
        <v>154</v>
      </c>
      <c r="E188" s="18" t="s">
        <v>141</v>
      </c>
      <c r="G188" s="18" t="s">
        <v>142</v>
      </c>
      <c r="H188" s="18" t="s">
        <v>143</v>
      </c>
      <c r="I188" s="18" t="s">
        <v>144</v>
      </c>
      <c r="J188" s="18" t="s">
        <v>145</v>
      </c>
      <c r="K188" s="18" t="s">
        <v>146</v>
      </c>
      <c r="L188" s="18" t="s">
        <v>148</v>
      </c>
      <c r="M188" s="18" t="s">
        <v>147</v>
      </c>
      <c r="N188" s="18" t="s">
        <v>151</v>
      </c>
      <c r="O188" s="18" t="s">
        <v>152</v>
      </c>
    </row>
    <row r="189" spans="2:15" outlineLevel="1">
      <c r="B189" s="24" t="s">
        <v>39</v>
      </c>
      <c r="C189" s="35" t="s">
        <v>139</v>
      </c>
      <c r="D189" s="35" t="s">
        <v>156</v>
      </c>
      <c r="E189" s="35">
        <v>1</v>
      </c>
      <c r="G189" s="35">
        <f t="shared" ref="G189:G200" si="0">SUMIFS(Head_Count,Location_Name,B189,Role,"Finance",AvgHourlyCost,"&lt;="&amp;G$186)</f>
        <v>0</v>
      </c>
      <c r="H189" s="35">
        <f t="shared" ref="H189:M196" si="1">SUMIFS(Head_Count,Location_Name,$B189,Role,"Finance",AvgHourlyCost,"&gt;="&amp;H$185,AvgHourlyCost,"&lt;="&amp;H$186)</f>
        <v>0</v>
      </c>
      <c r="I189" s="35">
        <f t="shared" si="1"/>
        <v>0</v>
      </c>
      <c r="J189" s="35">
        <f t="shared" si="1"/>
        <v>1</v>
      </c>
      <c r="K189" s="35">
        <f t="shared" si="1"/>
        <v>0</v>
      </c>
      <c r="L189" s="35">
        <f t="shared" si="1"/>
        <v>0</v>
      </c>
      <c r="M189" s="35">
        <f t="shared" si="1"/>
        <v>0</v>
      </c>
      <c r="N189" s="35">
        <f>SUM(G189:M189)</f>
        <v>1</v>
      </c>
      <c r="O189" s="35" t="str">
        <f>IF(AND(C189="Y",D189="Remain Co."),IF(E189-N189&gt;=0,"Consolidate Now","Need To Hire"),"Need to Keep Open")</f>
        <v>Consolidate Now</v>
      </c>
    </row>
    <row r="190" spans="2:15" outlineLevel="1">
      <c r="B190" s="24" t="s">
        <v>16</v>
      </c>
      <c r="C190" s="35" t="s">
        <v>139</v>
      </c>
      <c r="D190" s="35" t="s">
        <v>155</v>
      </c>
      <c r="E190" s="35">
        <v>2</v>
      </c>
      <c r="G190" s="35">
        <f t="shared" si="0"/>
        <v>0</v>
      </c>
      <c r="H190" s="35">
        <f t="shared" si="1"/>
        <v>4</v>
      </c>
      <c r="I190" s="35">
        <f t="shared" si="1"/>
        <v>0</v>
      </c>
      <c r="J190" s="35">
        <f t="shared" si="1"/>
        <v>0</v>
      </c>
      <c r="K190" s="35">
        <f t="shared" si="1"/>
        <v>0</v>
      </c>
      <c r="L190" s="35">
        <f t="shared" si="1"/>
        <v>0</v>
      </c>
      <c r="M190" s="35">
        <f t="shared" si="1"/>
        <v>0</v>
      </c>
      <c r="N190" s="35">
        <f t="shared" ref="N190:N200" si="2">SUM(G190:M190)</f>
        <v>4</v>
      </c>
      <c r="O190" s="35" t="str">
        <f t="shared" ref="O190:O200" si="3">IF(AND(C190="Y",D190="Remain Co."),IF(E190-N190&gt;=0,"Consolidate Now","Need To Hire"),"Need to Keep Open")</f>
        <v>Need to Keep Open</v>
      </c>
    </row>
    <row r="191" spans="2:15" outlineLevel="1">
      <c r="B191" s="24" t="s">
        <v>18</v>
      </c>
      <c r="C191" s="35" t="s">
        <v>140</v>
      </c>
      <c r="D191" s="35" t="s">
        <v>156</v>
      </c>
      <c r="E191" s="35">
        <v>0</v>
      </c>
      <c r="G191" s="35">
        <f t="shared" si="0"/>
        <v>6</v>
      </c>
      <c r="H191" s="35">
        <f t="shared" si="1"/>
        <v>0</v>
      </c>
      <c r="I191" s="35">
        <f t="shared" si="1"/>
        <v>0</v>
      </c>
      <c r="J191" s="35">
        <f t="shared" si="1"/>
        <v>0</v>
      </c>
      <c r="K191" s="35">
        <f t="shared" si="1"/>
        <v>0</v>
      </c>
      <c r="L191" s="35">
        <f t="shared" si="1"/>
        <v>2</v>
      </c>
      <c r="M191" s="35">
        <f t="shared" si="1"/>
        <v>0</v>
      </c>
      <c r="N191" s="35">
        <f t="shared" si="2"/>
        <v>8</v>
      </c>
      <c r="O191" s="35" t="str">
        <f t="shared" si="3"/>
        <v>Need to Keep Open</v>
      </c>
    </row>
    <row r="192" spans="2:15" outlineLevel="1">
      <c r="B192" s="24" t="s">
        <v>71</v>
      </c>
      <c r="C192" s="35" t="s">
        <v>139</v>
      </c>
      <c r="D192" s="35" t="s">
        <v>156</v>
      </c>
      <c r="E192" s="35">
        <v>3</v>
      </c>
      <c r="G192" s="35">
        <f t="shared" si="0"/>
        <v>0</v>
      </c>
      <c r="H192" s="35">
        <f t="shared" si="1"/>
        <v>0</v>
      </c>
      <c r="I192" s="35">
        <f t="shared" si="1"/>
        <v>0</v>
      </c>
      <c r="J192" s="35">
        <f t="shared" si="1"/>
        <v>0</v>
      </c>
      <c r="K192" s="35">
        <f t="shared" si="1"/>
        <v>0</v>
      </c>
      <c r="L192" s="35">
        <f t="shared" si="1"/>
        <v>0</v>
      </c>
      <c r="M192" s="35">
        <f t="shared" si="1"/>
        <v>0</v>
      </c>
      <c r="N192" s="35">
        <f t="shared" si="2"/>
        <v>0</v>
      </c>
      <c r="O192" s="35" t="str">
        <f t="shared" si="3"/>
        <v>Consolidate Now</v>
      </c>
    </row>
    <row r="193" spans="2:15" outlineLevel="1">
      <c r="B193" s="24" t="s">
        <v>20</v>
      </c>
      <c r="C193" s="35" t="s">
        <v>140</v>
      </c>
      <c r="D193" s="35" t="s">
        <v>156</v>
      </c>
      <c r="E193" s="35">
        <v>0</v>
      </c>
      <c r="G193" s="35">
        <f t="shared" si="0"/>
        <v>0</v>
      </c>
      <c r="H193" s="35">
        <f t="shared" si="1"/>
        <v>0</v>
      </c>
      <c r="I193" s="35">
        <f t="shared" si="1"/>
        <v>0</v>
      </c>
      <c r="J193" s="35">
        <f t="shared" si="1"/>
        <v>0</v>
      </c>
      <c r="K193" s="35">
        <f t="shared" si="1"/>
        <v>0</v>
      </c>
      <c r="L193" s="35">
        <f t="shared" si="1"/>
        <v>0</v>
      </c>
      <c r="M193" s="35">
        <f t="shared" si="1"/>
        <v>0</v>
      </c>
      <c r="N193" s="35">
        <f t="shared" si="2"/>
        <v>0</v>
      </c>
      <c r="O193" s="35" t="str">
        <f t="shared" si="3"/>
        <v>Need to Keep Open</v>
      </c>
    </row>
    <row r="194" spans="2:15" outlineLevel="1">
      <c r="B194" s="24" t="s">
        <v>80</v>
      </c>
      <c r="C194" s="35" t="s">
        <v>140</v>
      </c>
      <c r="D194" s="35" t="s">
        <v>155</v>
      </c>
      <c r="E194" s="35">
        <v>0</v>
      </c>
      <c r="G194" s="35">
        <f t="shared" si="0"/>
        <v>0</v>
      </c>
      <c r="H194" s="35">
        <f t="shared" si="1"/>
        <v>0</v>
      </c>
      <c r="I194" s="35">
        <f t="shared" si="1"/>
        <v>0</v>
      </c>
      <c r="J194" s="35">
        <f t="shared" si="1"/>
        <v>0</v>
      </c>
      <c r="K194" s="35">
        <f t="shared" si="1"/>
        <v>0</v>
      </c>
      <c r="L194" s="35">
        <f t="shared" si="1"/>
        <v>0</v>
      </c>
      <c r="M194" s="35">
        <f t="shared" si="1"/>
        <v>0</v>
      </c>
      <c r="N194" s="35">
        <f t="shared" si="2"/>
        <v>0</v>
      </c>
      <c r="O194" s="35" t="str">
        <f t="shared" si="3"/>
        <v>Need to Keep Open</v>
      </c>
    </row>
    <row r="195" spans="2:15" outlineLevel="1">
      <c r="B195" s="24" t="s">
        <v>89</v>
      </c>
      <c r="C195" s="35" t="s">
        <v>139</v>
      </c>
      <c r="D195" s="35" t="s">
        <v>156</v>
      </c>
      <c r="E195" s="35">
        <v>0</v>
      </c>
      <c r="G195" s="35">
        <f t="shared" si="0"/>
        <v>0</v>
      </c>
      <c r="H195" s="35">
        <f t="shared" si="1"/>
        <v>0</v>
      </c>
      <c r="I195" s="35">
        <f t="shared" si="1"/>
        <v>0</v>
      </c>
      <c r="J195" s="35">
        <f t="shared" si="1"/>
        <v>0</v>
      </c>
      <c r="K195" s="35">
        <f t="shared" si="1"/>
        <v>1</v>
      </c>
      <c r="L195" s="35">
        <f t="shared" si="1"/>
        <v>0</v>
      </c>
      <c r="M195" s="35">
        <f t="shared" si="1"/>
        <v>0</v>
      </c>
      <c r="N195" s="35">
        <f t="shared" si="2"/>
        <v>1</v>
      </c>
      <c r="O195" s="35" t="str">
        <f t="shared" si="3"/>
        <v>Need To Hire</v>
      </c>
    </row>
    <row r="196" spans="2:15" outlineLevel="1">
      <c r="B196" s="24" t="s">
        <v>98</v>
      </c>
      <c r="C196" s="35" t="s">
        <v>140</v>
      </c>
      <c r="D196" s="35" t="s">
        <v>156</v>
      </c>
      <c r="E196" s="35">
        <v>0</v>
      </c>
      <c r="G196" s="35">
        <f t="shared" si="0"/>
        <v>1</v>
      </c>
      <c r="H196" s="35">
        <f t="shared" si="1"/>
        <v>0</v>
      </c>
      <c r="I196" s="35">
        <f t="shared" si="1"/>
        <v>1</v>
      </c>
      <c r="J196" s="35">
        <f t="shared" si="1"/>
        <v>0</v>
      </c>
      <c r="K196" s="35">
        <f t="shared" si="1"/>
        <v>0</v>
      </c>
      <c r="L196" s="35">
        <f t="shared" si="1"/>
        <v>0</v>
      </c>
      <c r="M196" s="35">
        <f t="shared" si="1"/>
        <v>0</v>
      </c>
      <c r="N196" s="35">
        <f t="shared" si="2"/>
        <v>2</v>
      </c>
      <c r="O196" s="35" t="str">
        <f t="shared" si="3"/>
        <v>Need to Keep Open</v>
      </c>
    </row>
    <row r="197" spans="2:15" outlineLevel="1">
      <c r="B197" s="24" t="s">
        <v>22</v>
      </c>
      <c r="C197" s="35" t="s">
        <v>139</v>
      </c>
      <c r="D197" s="35" t="s">
        <v>155</v>
      </c>
      <c r="E197" s="35">
        <v>1</v>
      </c>
      <c r="G197" s="35">
        <f t="shared" si="0"/>
        <v>1</v>
      </c>
      <c r="H197" s="35">
        <f t="shared" ref="H197:J200" si="4">SUMIFS(Head_Count,Location_Name,$B197,Role,"Finance",AvgHourlyCost,"&gt;="&amp;H$185,AvgHourlyCost,"&lt;="&amp;H$186)</f>
        <v>0</v>
      </c>
      <c r="I197" s="35">
        <f t="shared" si="4"/>
        <v>0</v>
      </c>
      <c r="J197" s="35">
        <f t="shared" si="4"/>
        <v>0</v>
      </c>
      <c r="K197" s="35">
        <f>SUMIFS(Head_Count,Location_Name,Question_Ans!B197,Role,"Finance",AvgHourlyCost,"&gt;="&amp;K$185,AvgHourlyCost,"&lt;="&amp;K$186)</f>
        <v>1</v>
      </c>
      <c r="L197" s="35">
        <f t="shared" ref="L197:M200" si="5">SUMIFS(Head_Count,Location_Name,$B197,Role,"Finance",AvgHourlyCost,"&gt;="&amp;L$185,AvgHourlyCost,"&lt;="&amp;L$186)</f>
        <v>0</v>
      </c>
      <c r="M197" s="35">
        <f t="shared" si="5"/>
        <v>0</v>
      </c>
      <c r="N197" s="35">
        <f t="shared" si="2"/>
        <v>2</v>
      </c>
      <c r="O197" s="35" t="str">
        <f t="shared" si="3"/>
        <v>Need to Keep Open</v>
      </c>
    </row>
    <row r="198" spans="2:15" outlineLevel="1">
      <c r="B198" s="24" t="s">
        <v>94</v>
      </c>
      <c r="C198" s="35" t="s">
        <v>139</v>
      </c>
      <c r="D198" s="35" t="s">
        <v>156</v>
      </c>
      <c r="E198" s="35">
        <v>0</v>
      </c>
      <c r="G198" s="35">
        <f t="shared" si="0"/>
        <v>0</v>
      </c>
      <c r="H198" s="35">
        <f t="shared" si="4"/>
        <v>2</v>
      </c>
      <c r="I198" s="35">
        <f t="shared" si="4"/>
        <v>0</v>
      </c>
      <c r="J198" s="35">
        <f t="shared" si="4"/>
        <v>0</v>
      </c>
      <c r="K198" s="35">
        <f>SUMIFS(Head_Count,Location_Name,$B198,Role,"Finance",AvgHourlyCost,"&gt;="&amp;K$185,AvgHourlyCost,"&lt;="&amp;K$186)</f>
        <v>0</v>
      </c>
      <c r="L198" s="35">
        <f t="shared" si="5"/>
        <v>0</v>
      </c>
      <c r="M198" s="35">
        <f t="shared" si="5"/>
        <v>0</v>
      </c>
      <c r="N198" s="35">
        <f t="shared" si="2"/>
        <v>2</v>
      </c>
      <c r="O198" s="35" t="str">
        <f t="shared" si="3"/>
        <v>Need To Hire</v>
      </c>
    </row>
    <row r="199" spans="2:15" outlineLevel="1">
      <c r="B199" s="24" t="s">
        <v>63</v>
      </c>
      <c r="C199" s="35" t="s">
        <v>140</v>
      </c>
      <c r="D199" s="35" t="s">
        <v>155</v>
      </c>
      <c r="E199" s="35">
        <v>0</v>
      </c>
      <c r="G199" s="35">
        <f t="shared" si="0"/>
        <v>1</v>
      </c>
      <c r="H199" s="35">
        <f t="shared" si="4"/>
        <v>0</v>
      </c>
      <c r="I199" s="35">
        <f t="shared" si="4"/>
        <v>0</v>
      </c>
      <c r="J199" s="35">
        <f t="shared" si="4"/>
        <v>0</v>
      </c>
      <c r="K199" s="35">
        <f>SUMIFS(Head_Count,Location_Name,$B199,Role,"Finance",AvgHourlyCost,"&gt;="&amp;K$185,AvgHourlyCost,"&lt;="&amp;K$186)</f>
        <v>0</v>
      </c>
      <c r="L199" s="35">
        <f t="shared" si="5"/>
        <v>0</v>
      </c>
      <c r="M199" s="35">
        <f t="shared" si="5"/>
        <v>0</v>
      </c>
      <c r="N199" s="35">
        <f t="shared" si="2"/>
        <v>1</v>
      </c>
      <c r="O199" s="35" t="str">
        <f t="shared" si="3"/>
        <v>Need to Keep Open</v>
      </c>
    </row>
    <row r="200" spans="2:15" outlineLevel="1">
      <c r="B200" s="24" t="s">
        <v>85</v>
      </c>
      <c r="C200" s="35" t="s">
        <v>140</v>
      </c>
      <c r="D200" s="35" t="s">
        <v>155</v>
      </c>
      <c r="E200" s="35">
        <v>0</v>
      </c>
      <c r="G200" s="35">
        <f t="shared" si="0"/>
        <v>0</v>
      </c>
      <c r="H200" s="35">
        <f t="shared" si="4"/>
        <v>1</v>
      </c>
      <c r="I200" s="35">
        <f t="shared" si="4"/>
        <v>0</v>
      </c>
      <c r="J200" s="35">
        <f t="shared" si="4"/>
        <v>0</v>
      </c>
      <c r="K200" s="35">
        <f>SUMIFS(Head_Count,Location_Name,$B200,Role,"Finance",AvgHourlyCost,"&gt;="&amp;K$185,AvgHourlyCost,"&lt;="&amp;K$186)</f>
        <v>0</v>
      </c>
      <c r="L200" s="35">
        <f t="shared" si="5"/>
        <v>0</v>
      </c>
      <c r="M200" s="35">
        <f t="shared" si="5"/>
        <v>0</v>
      </c>
      <c r="N200" s="35">
        <f t="shared" si="2"/>
        <v>1</v>
      </c>
      <c r="O200" s="35" t="str">
        <f t="shared" si="3"/>
        <v>Need to Keep Open</v>
      </c>
    </row>
    <row r="201" spans="2:15" outlineLevel="1"/>
    <row r="202" spans="2:15" outlineLevel="1"/>
    <row r="203" spans="2:15" outlineLevel="1"/>
    <row r="204" spans="2:15" outlineLevel="1"/>
    <row r="205" spans="2:15" outlineLevel="1"/>
    <row r="206" spans="2:15" ht="18.5" outlineLevel="1">
      <c r="B206" s="1" t="s">
        <v>190</v>
      </c>
    </row>
    <row r="207" spans="2:15" outlineLevel="1">
      <c r="B207" s="38" t="s">
        <v>172</v>
      </c>
      <c r="C207" s="38"/>
      <c r="D207" s="38"/>
      <c r="E207" s="38"/>
    </row>
    <row r="208" spans="2:15" outlineLevel="1">
      <c r="B208" s="38"/>
      <c r="C208" s="38"/>
      <c r="D208" s="38"/>
      <c r="E208" s="38"/>
    </row>
    <row r="209" spans="2:13" outlineLevel="1">
      <c r="B209" s="5" t="s">
        <v>159</v>
      </c>
    </row>
    <row r="210" spans="2:13" outlineLevel="1">
      <c r="B210" t="s">
        <v>191</v>
      </c>
    </row>
    <row r="211" spans="2:13" outlineLevel="1">
      <c r="B211" t="s">
        <v>160</v>
      </c>
    </row>
    <row r="212" spans="2:13" s="5" customFormat="1" outlineLevel="1">
      <c r="B212" s="5" t="s">
        <v>165</v>
      </c>
    </row>
    <row r="213" spans="2:13" s="5" customFormat="1" outlineLevel="1">
      <c r="B213" s="5" t="s">
        <v>161</v>
      </c>
    </row>
    <row r="214" spans="2:13" s="5" customFormat="1" outlineLevel="1">
      <c r="B214" s="5" t="s">
        <v>169</v>
      </c>
    </row>
    <row r="215" spans="2:13" s="5" customFormat="1" outlineLevel="1">
      <c r="B215" s="5" t="s">
        <v>166</v>
      </c>
    </row>
    <row r="216" spans="2:13" s="5" customFormat="1" outlineLevel="1">
      <c r="B216" s="5" t="s">
        <v>194</v>
      </c>
    </row>
    <row r="217" spans="2:13" s="5" customFormat="1" outlineLevel="1"/>
    <row r="218" spans="2:13" s="5" customFormat="1" outlineLevel="1"/>
    <row r="219" spans="2:13" s="5" customFormat="1" outlineLevel="1"/>
    <row r="220" spans="2:13" s="5" customFormat="1" outlineLevel="1"/>
    <row r="221" spans="2:13" s="5" customFormat="1" outlineLevel="1"/>
    <row r="222" spans="2:13" outlineLevel="1"/>
    <row r="223" spans="2:13" ht="14">
      <c r="B223" s="18" t="s">
        <v>158</v>
      </c>
      <c r="D223" s="18" t="s">
        <v>123</v>
      </c>
      <c r="F223" s="5"/>
      <c r="K223"/>
      <c r="M223" s="5"/>
    </row>
    <row r="224" spans="2:13">
      <c r="D224"/>
      <c r="E224" s="14" t="s">
        <v>120</v>
      </c>
      <c r="K224"/>
    </row>
    <row r="225" spans="4:11">
      <c r="D225"/>
      <c r="E225" s="5" t="s">
        <v>18</v>
      </c>
      <c r="G225" s="32" t="s">
        <v>157</v>
      </c>
      <c r="H225" s="32" t="s">
        <v>167</v>
      </c>
      <c r="K225"/>
    </row>
    <row r="226" spans="4:11">
      <c r="D226" s="14" t="s">
        <v>134</v>
      </c>
      <c r="E226" s="5" t="s">
        <v>119</v>
      </c>
      <c r="F226" s="5" t="s">
        <v>168</v>
      </c>
      <c r="G226" s="32"/>
      <c r="H226" s="32"/>
      <c r="K226"/>
    </row>
    <row r="227" spans="4:11">
      <c r="D227" s="15" t="s">
        <v>133</v>
      </c>
      <c r="E227" s="17">
        <v>11</v>
      </c>
      <c r="F227" s="17">
        <v>279518.55209063162</v>
      </c>
      <c r="G227" s="30">
        <v>11</v>
      </c>
      <c r="H227" s="30">
        <v>279518.55209063162</v>
      </c>
      <c r="K227"/>
    </row>
    <row r="228" spans="4:11">
      <c r="D228" s="31" t="s">
        <v>118</v>
      </c>
      <c r="E228" s="30">
        <v>11</v>
      </c>
      <c r="F228" s="30">
        <v>279518.55209063162</v>
      </c>
      <c r="G228" s="30">
        <v>11</v>
      </c>
      <c r="H228" s="30">
        <v>279518.55209063162</v>
      </c>
      <c r="K228"/>
    </row>
    <row r="229" spans="4:11">
      <c r="D229"/>
      <c r="K229"/>
    </row>
    <row r="230" spans="4:11">
      <c r="D230"/>
      <c r="K230"/>
    </row>
    <row r="231" spans="4:11">
      <c r="D231"/>
      <c r="K231"/>
    </row>
    <row r="232" spans="4:11">
      <c r="D232"/>
      <c r="K232"/>
    </row>
    <row r="233" spans="4:11">
      <c r="D233"/>
      <c r="K233"/>
    </row>
    <row r="234" spans="4:11">
      <c r="D234"/>
      <c r="K234"/>
    </row>
    <row r="235" spans="4:11">
      <c r="D235"/>
      <c r="K235"/>
    </row>
    <row r="236" spans="4:11">
      <c r="D236"/>
      <c r="K236"/>
    </row>
    <row r="237" spans="4:11">
      <c r="D237"/>
      <c r="K237"/>
    </row>
    <row r="238" spans="4:11">
      <c r="D238"/>
      <c r="K238"/>
    </row>
    <row r="239" spans="4:11">
      <c r="D239"/>
      <c r="K239"/>
    </row>
    <row r="240" spans="4:11">
      <c r="D240"/>
      <c r="K240"/>
    </row>
    <row r="241" spans="4:11">
      <c r="D241"/>
      <c r="K241"/>
    </row>
    <row r="242" spans="4:11">
      <c r="D242"/>
      <c r="K242"/>
    </row>
    <row r="243" spans="4:11">
      <c r="D243"/>
      <c r="K243"/>
    </row>
    <row r="244" spans="4:11">
      <c r="D244"/>
      <c r="K244"/>
    </row>
    <row r="245" spans="4:11">
      <c r="D245"/>
      <c r="K245"/>
    </row>
    <row r="246" spans="4:11">
      <c r="D246"/>
      <c r="K246"/>
    </row>
    <row r="247" spans="4:11">
      <c r="D247"/>
      <c r="K247"/>
    </row>
    <row r="248" spans="4:11">
      <c r="D248"/>
      <c r="K248"/>
    </row>
    <row r="249" spans="4:11">
      <c r="D249"/>
      <c r="K249"/>
    </row>
    <row r="250" spans="4:11">
      <c r="D250"/>
      <c r="K250"/>
    </row>
    <row r="251" spans="4:11">
      <c r="D251"/>
      <c r="K251"/>
    </row>
    <row r="252" spans="4:11">
      <c r="D252"/>
      <c r="K252"/>
    </row>
    <row r="253" spans="4:11">
      <c r="D253"/>
      <c r="K253"/>
    </row>
    <row r="254" spans="4:11">
      <c r="D254"/>
      <c r="K254"/>
    </row>
    <row r="255" spans="4:11">
      <c r="D255"/>
      <c r="K255"/>
    </row>
    <row r="256" spans="4:11">
      <c r="D256"/>
      <c r="K256"/>
    </row>
    <row r="257" spans="2:11">
      <c r="D257"/>
      <c r="K257"/>
    </row>
    <row r="258" spans="2:11">
      <c r="D258"/>
      <c r="K258"/>
    </row>
    <row r="259" spans="2:11">
      <c r="D259"/>
      <c r="K259"/>
    </row>
    <row r="260" spans="2:11">
      <c r="D260"/>
      <c r="K260"/>
    </row>
    <row r="261" spans="2:11">
      <c r="D261"/>
      <c r="K261"/>
    </row>
    <row r="262" spans="2:11">
      <c r="D262"/>
      <c r="K262"/>
    </row>
    <row r="263" spans="2:11">
      <c r="D263"/>
      <c r="K263"/>
    </row>
    <row r="264" spans="2:11">
      <c r="D264"/>
      <c r="K264"/>
    </row>
    <row r="265" spans="2:11">
      <c r="D265"/>
      <c r="K265"/>
    </row>
    <row r="266" spans="2:11">
      <c r="D266"/>
      <c r="K266"/>
    </row>
    <row r="267" spans="2:11">
      <c r="D267"/>
      <c r="K267"/>
    </row>
    <row r="268" spans="2:11">
      <c r="D268"/>
      <c r="K268"/>
    </row>
    <row r="272" spans="2:11" ht="18.5">
      <c r="B272" s="1" t="s">
        <v>193</v>
      </c>
      <c r="D272"/>
    </row>
    <row r="273" spans="2:4" s="5" customFormat="1" outlineLevel="1">
      <c r="B273" s="5" t="s">
        <v>183</v>
      </c>
    </row>
    <row r="274" spans="2:4" outlineLevel="1">
      <c r="B274" s="5" t="s">
        <v>184</v>
      </c>
      <c r="D274"/>
    </row>
    <row r="275" spans="2:4" outlineLevel="1">
      <c r="D275"/>
    </row>
    <row r="276" spans="2:4" s="5" customFormat="1" outlineLevel="1">
      <c r="B276" s="5" t="s">
        <v>170</v>
      </c>
    </row>
    <row r="277" spans="2:4" s="5" customFormat="1" outlineLevel="1"/>
    <row r="278" spans="2:4" ht="14" outlineLevel="1">
      <c r="B278" s="18" t="s">
        <v>115</v>
      </c>
      <c r="C278" s="18" t="s">
        <v>162</v>
      </c>
      <c r="D278" s="18" t="s">
        <v>164</v>
      </c>
    </row>
    <row r="279" spans="2:4" outlineLevel="1">
      <c r="B279" s="24" t="s">
        <v>124</v>
      </c>
      <c r="C279" s="35">
        <f t="shared" ref="C279:C284" si="6">IFERROR(GETPIVOTDATA("Sum of HeadCount",$D$224,"Role",$B279),0)</f>
        <v>0</v>
      </c>
      <c r="D279" s="35">
        <f t="shared" ref="D279:D284" si="7">IFERROR(GETPIVOTDATA("Base Employement Cost",$D$224,"Role",$B279),0)</f>
        <v>0</v>
      </c>
    </row>
    <row r="280" spans="2:4" outlineLevel="1">
      <c r="B280" s="24" t="s">
        <v>131</v>
      </c>
      <c r="C280" s="36">
        <f t="shared" si="6"/>
        <v>0</v>
      </c>
      <c r="D280" s="36">
        <f t="shared" si="7"/>
        <v>0</v>
      </c>
    </row>
    <row r="281" spans="2:4" outlineLevel="1">
      <c r="B281" s="24" t="s">
        <v>125</v>
      </c>
      <c r="C281" s="36">
        <f t="shared" si="6"/>
        <v>0</v>
      </c>
      <c r="D281" s="36">
        <f t="shared" si="7"/>
        <v>0</v>
      </c>
    </row>
    <row r="282" spans="2:4" outlineLevel="1">
      <c r="B282" s="24" t="s">
        <v>126</v>
      </c>
      <c r="C282" s="36">
        <f t="shared" si="6"/>
        <v>0</v>
      </c>
      <c r="D282" s="36">
        <f t="shared" si="7"/>
        <v>0</v>
      </c>
    </row>
    <row r="283" spans="2:4" outlineLevel="1">
      <c r="B283" s="24" t="s">
        <v>130</v>
      </c>
      <c r="C283" s="35">
        <f t="shared" si="6"/>
        <v>0</v>
      </c>
      <c r="D283" s="35">
        <f t="shared" si="7"/>
        <v>0</v>
      </c>
    </row>
    <row r="284" spans="2:4" outlineLevel="1">
      <c r="B284" s="24" t="s">
        <v>133</v>
      </c>
      <c r="C284" s="35">
        <f t="shared" si="6"/>
        <v>11</v>
      </c>
      <c r="D284" s="35">
        <f t="shared" si="7"/>
        <v>279518.55209063162</v>
      </c>
    </row>
    <row r="285" spans="2:4" outlineLevel="1"/>
    <row r="286" spans="2:4" outlineLevel="1"/>
  </sheetData>
  <mergeCells count="6">
    <mergeCell ref="B184:E184"/>
    <mergeCell ref="B207:E208"/>
    <mergeCell ref="B8:H8"/>
    <mergeCell ref="B11:H11"/>
    <mergeCell ref="B166:H166"/>
    <mergeCell ref="B181:E183"/>
  </mergeCell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ent_to_problem_5">
                <anchor moveWithCells="1" sizeWithCells="1">
                  <from>
                    <xdr:col>4</xdr:col>
                    <xdr:colOff>1047750</xdr:colOff>
                    <xdr:row>275</xdr:row>
                    <xdr:rowOff>146050</xdr:rowOff>
                  </from>
                  <to>
                    <xdr:col>6</xdr:col>
                    <xdr:colOff>1270000</xdr:colOff>
                    <xdr:row>279</xdr:row>
                    <xdr:rowOff>38100</xdr:rowOff>
                  </to>
                </anchor>
              </controlPr>
            </control>
          </mc:Choice>
        </mc:AlternateContent>
        <mc:AlternateContent xmlns:mc="http://schemas.openxmlformats.org/markup-compatibility/2006">
          <mc:Choice Requires="x14">
            <control shapeId="1026" r:id="rId7" name="Button 2">
              <controlPr defaultSize="0" print="0" autoFill="0" autoPict="0" macro="[0]!ThisWorkbook.sent_to_problem_1">
                <anchor moveWithCells="1" sizeWithCells="1">
                  <from>
                    <xdr:col>8</xdr:col>
                    <xdr:colOff>88900</xdr:colOff>
                    <xdr:row>9</xdr:row>
                    <xdr:rowOff>203200</xdr:rowOff>
                  </from>
                  <to>
                    <xdr:col>9</xdr:col>
                    <xdr:colOff>609600</xdr:colOff>
                    <xdr:row>11</xdr:row>
                    <xdr:rowOff>114300</xdr:rowOff>
                  </to>
                </anchor>
              </controlPr>
            </control>
          </mc:Choice>
        </mc:AlternateContent>
        <mc:AlternateContent xmlns:mc="http://schemas.openxmlformats.org/markup-compatibility/2006">
          <mc:Choice Requires="x14">
            <control shapeId="1027" r:id="rId8" name="Button 3">
              <controlPr defaultSize="0" print="0" autoFill="0" autoPict="0" macro="[0]!ThisWorkbook.sent_to_problem_2">
                <anchor moveWithCells="1" sizeWithCells="1">
                  <from>
                    <xdr:col>3</xdr:col>
                    <xdr:colOff>679450</xdr:colOff>
                    <xdr:row>169</xdr:row>
                    <xdr:rowOff>76200</xdr:rowOff>
                  </from>
                  <to>
                    <xdr:col>6</xdr:col>
                    <xdr:colOff>12700</xdr:colOff>
                    <xdr:row>172</xdr:row>
                    <xdr:rowOff>127000</xdr:rowOff>
                  </to>
                </anchor>
              </controlPr>
            </control>
          </mc:Choice>
        </mc:AlternateContent>
        <mc:AlternateContent xmlns:mc="http://schemas.openxmlformats.org/markup-compatibility/2006">
          <mc:Choice Requires="x14">
            <control shapeId="1028" r:id="rId9" name="Button 4">
              <controlPr defaultSize="0" print="0" autoFill="0" autoPict="0" macro="[0]!ThisWorkbook.sent_to_problem_3">
                <anchor moveWithCells="1" sizeWithCells="1">
                  <from>
                    <xdr:col>6</xdr:col>
                    <xdr:colOff>260350</xdr:colOff>
                    <xdr:row>183</xdr:row>
                    <xdr:rowOff>12700</xdr:rowOff>
                  </from>
                  <to>
                    <xdr:col>7</xdr:col>
                    <xdr:colOff>450850</xdr:colOff>
                    <xdr:row>183</xdr:row>
                    <xdr:rowOff>546100</xdr:rowOff>
                  </to>
                </anchor>
              </controlPr>
            </control>
          </mc:Choice>
        </mc:AlternateContent>
        <mc:AlternateContent xmlns:mc="http://schemas.openxmlformats.org/markup-compatibility/2006">
          <mc:Choice Requires="x14">
            <control shapeId="1029" r:id="rId10" name="Button 5">
              <controlPr defaultSize="0" print="0" autoFill="0" autoPict="0" macro="[0]!ThisWorkbook.sent_to_problem_4">
                <anchor moveWithCells="1" sizeWithCells="1">
                  <from>
                    <xdr:col>4</xdr:col>
                    <xdr:colOff>1174750</xdr:colOff>
                    <xdr:row>210</xdr:row>
                    <xdr:rowOff>114300</xdr:rowOff>
                  </from>
                  <to>
                    <xdr:col>6</xdr:col>
                    <xdr:colOff>1390650</xdr:colOff>
                    <xdr:row>214</xdr:row>
                    <xdr:rowOff>38100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Cover Page</vt:lpstr>
      <vt:lpstr>Data_Set</vt:lpstr>
      <vt:lpstr>Question</vt:lpstr>
      <vt:lpstr>Question_Ans</vt:lpstr>
      <vt:lpstr>AvgHourlyCost</vt:lpstr>
      <vt:lpstr>Bonus_Target</vt:lpstr>
      <vt:lpstr>Head_Count</vt:lpstr>
      <vt:lpstr>IsFullTimeResource</vt:lpstr>
      <vt:lpstr>Location_Name</vt:lpstr>
      <vt:lpstr>OrgUnitName</vt:lpstr>
      <vt:lpstr>ResourceLevelCd</vt:lpstr>
      <vt:lpstr>Role</vt:lpstr>
      <vt:lpstr>Shift_CD</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Barbara Vyse</cp:lastModifiedBy>
  <dcterms:created xsi:type="dcterms:W3CDTF">2014-11-18T17:16:50Z</dcterms:created>
  <dcterms:modified xsi:type="dcterms:W3CDTF">2019-05-09T17:36:11Z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