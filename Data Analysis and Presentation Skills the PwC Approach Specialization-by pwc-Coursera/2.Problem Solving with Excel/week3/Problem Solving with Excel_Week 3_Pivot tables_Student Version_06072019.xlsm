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vbaProject.bin" ContentType="application/vnd.ms-office.vbaProject"/>
  <Override PartName="/xl/worksheets/_rels/sheet17.xml.rels" ContentType="application/vnd.openxmlformats-package.relationships+xml"/>
  <Override PartName="/xl/worksheets/_rels/sheet16.xml.rels" ContentType="application/vnd.openxmlformats-package.relationships+xml"/>
  <Override PartName="/xl/worksheets/_rels/sheet15.xml.rels" ContentType="application/vnd.openxmlformats-package.relationships+xml"/>
  <Override PartName="/xl/worksheets/_rels/sheet14.xml.rels" ContentType="application/vnd.openxmlformats-package.relationships+xml"/>
  <Override PartName="/xl/worksheets/_rels/sheet13.xml.rels" ContentType="application/vnd.openxmlformats-package.relationships+xml"/>
  <Override PartName="/xl/worksheets/_rels/sheet12.xml.rels" ContentType="application/vnd.openxmlformats-package.relationships+xml"/>
  <Override PartName="/xl/worksheets/_rels/sheet11.xml.rels" ContentType="application/vnd.openxmlformats-package.relationships+xml"/>
  <Override PartName="/xl/worksheets/_rels/sheet10.xml.rels" ContentType="application/vnd.openxmlformats-package.relationships+xml"/>
  <Override PartName="/xl/worksheets/_rels/sheet9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8.xml.rels" ContentType="application/vnd.openxmlformats-package.relationship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pivotTables/pivotTable5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_rels/pivotTable38.xml.rels" ContentType="application/vnd.openxmlformats-package.relationships+xml"/>
  <Override PartName="/xl/pivotTables/_rels/pivotTable37.xml.rels" ContentType="application/vnd.openxmlformats-package.relationships+xml"/>
  <Override PartName="/xl/pivotTables/_rels/pivotTable36.xml.rels" ContentType="application/vnd.openxmlformats-package.relationships+xml"/>
  <Override PartName="/xl/pivotTables/_rels/pivotTable35.xml.rels" ContentType="application/vnd.openxmlformats-package.relationships+xml"/>
  <Override PartName="/xl/pivotTables/_rels/pivotTable14.xml.rels" ContentType="application/vnd.openxmlformats-package.relationships+xml"/>
  <Override PartName="/xl/pivotTables/_rels/pivotTable13.xml.rels" ContentType="application/vnd.openxmlformats-package.relationships+xml"/>
  <Override PartName="/xl/pivotTables/_rels/pivotTable12.xml.rels" ContentType="application/vnd.openxmlformats-package.relationships+xml"/>
  <Override PartName="/xl/pivotTables/_rels/pivotTable8.xml.rels" ContentType="application/vnd.openxmlformats-package.relationships+xml"/>
  <Override PartName="/xl/pivotTables/_rels/pivotTable7.xml.rels" ContentType="application/vnd.openxmlformats-package.relationships+xml"/>
  <Override PartName="/xl/pivotTables/_rels/pivotTable6.xml.rels" ContentType="application/vnd.openxmlformats-package.relationships+xml"/>
  <Override PartName="/xl/pivotTables/_rels/pivotTable10.xml.rels" ContentType="application/vnd.openxmlformats-package.relationships+xml"/>
  <Override PartName="/xl/pivotTables/_rels/pivotTable29.xml.rels" ContentType="application/vnd.openxmlformats-package.relationships+xml"/>
  <Override PartName="/xl/pivotTables/_rels/pivotTable40.xml.rels" ContentType="application/vnd.openxmlformats-package.relationships+xml"/>
  <Override PartName="/xl/pivotTables/_rels/pivotTable34.xml.rels" ContentType="application/vnd.openxmlformats-package.relationships+xml"/>
  <Override PartName="/xl/pivotTables/_rels/pivotTable11.xml.rels" ContentType="application/vnd.openxmlformats-package.relationships+xml"/>
  <Override PartName="/xl/pivotTables/_rels/pivotTable9.xml.rels" ContentType="application/vnd.openxmlformats-package.relationships+xml"/>
  <Override PartName="/xl/pivotTables/_rels/pivotTable39.xml.rels" ContentType="application/vnd.openxmlformats-package.relationships+xml"/>
  <Override PartName="/xl/pivotTables/_rels/pivotTable1.xml.rels" ContentType="application/vnd.openxmlformats-package.relationships+xml"/>
  <Override PartName="/xl/pivotTables/_rels/pivotTable25.xml.rels" ContentType="application/vnd.openxmlformats-package.relationships+xml"/>
  <Override PartName="/xl/pivotTables/_rels/pivotTable31.xml.rels" ContentType="application/vnd.openxmlformats-package.relationships+xml"/>
  <Override PartName="/xl/pivotTables/_rels/pivotTable2.xml.rels" ContentType="application/vnd.openxmlformats-package.relationships+xml"/>
  <Override PartName="/xl/pivotTables/_rels/pivotTable26.xml.rels" ContentType="application/vnd.openxmlformats-package.relationships+xml"/>
  <Override PartName="/xl/pivotTables/_rels/pivotTable27.xml.rels" ContentType="application/vnd.openxmlformats-package.relationships+xml"/>
  <Override PartName="/xl/pivotTables/_rels/pivotTable32.xml.rels" ContentType="application/vnd.openxmlformats-package.relationships+xml"/>
  <Override PartName="/xl/pivotTables/_rels/pivotTable28.xml.rels" ContentType="application/vnd.openxmlformats-package.relationships+xml"/>
  <Override PartName="/xl/pivotTables/_rels/pivotTable15.xml.rels" ContentType="application/vnd.openxmlformats-package.relationships+xml"/>
  <Override PartName="/xl/pivotTables/_rels/pivotTable16.xml.rels" ContentType="application/vnd.openxmlformats-package.relationships+xml"/>
  <Override PartName="/xl/pivotTables/_rels/pivotTable3.xml.rels" ContentType="application/vnd.openxmlformats-package.relationships+xml"/>
  <Override PartName="/xl/pivotTables/_rels/pivotTable17.xml.rels" ContentType="application/vnd.openxmlformats-package.relationships+xml"/>
  <Override PartName="/xl/pivotTables/_rels/pivotTable4.xml.rels" ContentType="application/vnd.openxmlformats-package.relationships+xml"/>
  <Override PartName="/xl/pivotTables/_rels/pivotTable18.xml.rels" ContentType="application/vnd.openxmlformats-package.relationships+xml"/>
  <Override PartName="/xl/pivotTables/_rels/pivotTable5.xml.rels" ContentType="application/vnd.openxmlformats-package.relationships+xml"/>
  <Override PartName="/xl/pivotTables/_rels/pivotTable19.xml.rels" ContentType="application/vnd.openxmlformats-package.relationships+xml"/>
  <Override PartName="/xl/pivotTables/_rels/pivotTable20.xml.rels" ContentType="application/vnd.openxmlformats-package.relationships+xml"/>
  <Override PartName="/xl/pivotTables/_rels/pivotTable21.xml.rels" ContentType="application/vnd.openxmlformats-package.relationships+xml"/>
  <Override PartName="/xl/pivotTables/_rels/pivotTable22.xml.rels" ContentType="application/vnd.openxmlformats-package.relationships+xml"/>
  <Override PartName="/xl/pivotTables/_rels/pivotTable23.xml.rels" ContentType="application/vnd.openxmlformats-package.relationships+xml"/>
  <Override PartName="/xl/pivotTables/_rels/pivotTable24.xml.rels" ContentType="application/vnd.openxmlformats-package.relationships+xml"/>
  <Override PartName="/xl/pivotTables/_rels/pivotTable30.xml.rels" ContentType="application/vnd.openxmlformats-package.relationships+xml"/>
  <Override PartName="/xl/pivotTables/_rels/pivotTable33.xml.rels" ContentType="application/vnd.openxmlformats-package.relationships+xml"/>
  <Override PartName="/xl/pivotTables/pivotTable8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workbook.xml" ContentType="application/vnd.ms-excel.sheet.macroEnabled.main+xml"/>
  <Override PartName="/xl/styles.xml" ContentType="application/vnd.openxmlformats-officedocument.spreadsheetml.styles+xml"/>
  <Override PartName="/xl/externalLinks/_rels/externalLink1.xml.rels" ContentType="application/vnd.openxmlformats-package.relationships+xml"/>
  <Override PartName="/xl/externalLinks/_rels/externalLink2.xml.rels" ContentType="application/vnd.openxmlformats-package.relationships+xml"/>
  <Override PartName="/xl/externalLinks/_rels/externalLink3.xml.rels" ContentType="application/vnd.openxmlformats-package.relationships+xml"/>
  <Override PartName="/xl/externalLinks/_rels/externalLink5.xml.rels" ContentType="application/vnd.openxmlformats-package.relationships+xml"/>
  <Override PartName="/xl/externalLinks/_rels/externalLink4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drawings/drawing15.xml" ContentType="application/vnd.openxmlformats-officedocument.drawing+xml"/>
  <Override PartName="/xl/drawings/drawing14.xml" ContentType="application/vnd.openxmlformats-officedocument.drawing+xml"/>
  <Override PartName="/xl/drawings/drawing9.xml" ContentType="application/vnd.openxmlformats-officedocument.drawing+xml"/>
  <Override PartName="/xl/drawings/drawing13.xml" ContentType="application/vnd.openxmlformats-officedocument.drawing+xml"/>
  <Override PartName="/xl/drawings/drawing8.xml" ContentType="application/vnd.openxmlformats-officedocument.drawing+xml"/>
  <Override PartName="/xl/drawings/drawing12.xml" ContentType="application/vnd.openxmlformats-officedocument.drawing+xml"/>
  <Override PartName="/xl/drawings/drawing7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10.xml" ContentType="application/vnd.openxmlformats-officedocument.drawing+xml"/>
  <Override PartName="/xl/drawings/drawing5.xml" ContentType="application/vnd.openxmlformats-officedocument.drawing+xml"/>
  <Override PartName="/xl/drawings/drawing11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Introduction" sheetId="1" state="visible" r:id="rId3"/>
    <sheet name="Table of Contents" sheetId="2" state="visible" r:id="rId4"/>
    <sheet name="Data Set" sheetId="3" state="visible" r:id="rId5"/>
    <sheet name="Section 1 - Create Pivot Table" sheetId="4" state="visible" r:id="rId6"/>
    <sheet name="Section 1 - Create Table (ANS)" sheetId="5" state="hidden" r:id="rId7"/>
    <sheet name="Section 2 - Navigating " sheetId="6" state="visible" r:id="rId8"/>
    <sheet name="Section 2 - Navigating (ANS)" sheetId="7" state="hidden" r:id="rId9"/>
    <sheet name="Optional Student Exercises" sheetId="8" state="visible" r:id="rId10"/>
    <sheet name="Optional Student Exercise (ANS)" sheetId="9" state="hidden" r:id="rId11"/>
    <sheet name="Section 4 - Sorting" sheetId="10" state="visible" r:id="rId12"/>
    <sheet name="Section 4 - Sorting (ANS)" sheetId="11" state="hidden" r:id="rId13"/>
    <sheet name="Section 5- Adv Filter" sheetId="12" state="visible" r:id="rId14"/>
    <sheet name="Section 5 -Adv Filter (ANS)" sheetId="13" state="hidden" r:id="rId15"/>
    <sheet name="Section 6- Calc Fields" sheetId="14" state="visible" r:id="rId16"/>
    <sheet name="Section 6 - Calc Field (ANS)" sheetId="15" state="hidden" r:id="rId17"/>
    <sheet name="Section 7 - Slicers" sheetId="16" state="visible" r:id="rId18"/>
    <sheet name="Section 7 - Slicers (ANS)" sheetId="17" state="hidden" r:id="rId19"/>
  </sheets>
  <externalReferences>
    <externalReference r:id="rId20"/>
    <externalReference r:id="rId21"/>
    <externalReference r:id="rId22"/>
    <externalReference r:id="rId23"/>
    <externalReference r:id="rId24"/>
  </externalReferences>
  <definedNames>
    <definedName function="false" hidden="false" localSheetId="2" name="_xlnm.Print_Area" vbProcedure="false">'Data Set'!$A$1:$M$110</definedName>
    <definedName function="false" hidden="false" localSheetId="2" name="_xlnm.Print_Titles" vbProcedure="false">'Data Set'!$A:$F,'Data Set'!$1:$3</definedName>
    <definedName function="false" hidden="true" localSheetId="2" name="_xlnm._FilterDatabase" vbProcedure="false">'Data Set'!$C$3:$M$110</definedName>
    <definedName function="false" hidden="false" name="CIQWBGuid" vbProcedure="false">"a2b6e3b8-b817-4a66-9394-c6698475230f"</definedName>
    <definedName function="false" hidden="false" name="D1_Country_Sold" vbProcedure="false">'Data Set'!$E$4:$E$110</definedName>
    <definedName function="false" hidden="false" name="D1_Date_Sold" vbProcedure="false">'Data Set'!$I$4:$I$110</definedName>
    <definedName function="false" hidden="false" name="D1_Distributor_ID" vbProcedure="false">'Data Set'!$C$4:$C$110</definedName>
    <definedName function="false" hidden="false" name="D1_Distributor_Name" vbProcedure="false">'Data Set'!$D$4:$D$110</definedName>
    <definedName function="false" hidden="false" name="D1_H" vbProcedure="false">'Data Set'!$C$3:$M$3</definedName>
    <definedName function="false" hidden="false" name="D1_MonthSold" vbProcedure="false">'Data Set'!$J$4:$J$110</definedName>
    <definedName function="false" hidden="false" name="D1_Percent_Quantity" vbProcedure="false">'data set'!#ref!</definedName>
    <definedName function="false" hidden="false" name="D1_Percent_Revenue" vbProcedure="false">'data set'!#ref!</definedName>
    <definedName function="false" hidden="false" name="D1_Product_Full_Name" vbProcedure="false">'Data Set'!$G$4:$G$110</definedName>
    <definedName function="false" hidden="false" name="D1_Product_Type_Code" vbProcedure="false">'Data Set'!$F$4:$F$110</definedName>
    <definedName function="false" hidden="false" name="D1_Quantity_Sold" vbProcedure="false">'Data Set'!$K$4:$K$110</definedName>
    <definedName function="false" hidden="false" name="D1_Revenue" vbProcedure="false">'Data Set'!$M$4:$M$110</definedName>
    <definedName function="false" hidden="false" name="D1_Sales_Channel" vbProcedure="false">'Data Set'!$H$4:$H$110</definedName>
    <definedName function="false" hidden="false" name="D1_SALES_DATA" vbProcedure="false">'Data Set'!$C$3:$M$110</definedName>
    <definedName function="false" hidden="false" name="D1_Unit_Price" vbProcedure="false">'Data Set'!$L$4:$L$110</definedName>
    <definedName function="false" hidden="false" name="D2_Product_Lookup_Table" vbProcedure="false">'[3]2b. Product ID'!$C$12:$D$22</definedName>
    <definedName function="false" hidden="false" name="dropdown_effort" vbProcedure="false">[4]Dropdowns!$C$32:$C$33</definedName>
    <definedName function="false" hidden="false" name="EPMWorkbookOptions_1" vbProcedure="false">"r0kAAB|LCAAAAAAABADtvQdgHEmWJSYvbcp7f0r1StfgdKEIgGATJNiQQBDswYjN5pLsHWlHIymrKoHKZVZlXWYWQMztnbz33nvvvffee||997o7nU4n99//P1xmZAFs9s5K2smeIYCqyB8/fnwfPyIe/x7vFmV6mddNUS0/|2h3vPNRmi|n1axYXnz20bo939799KPf4|g3Th5/t6rfTqrq7Zerlpo2Kb23bB69a4rPPpq37erR3btXV1fjq3v"</definedName>
    <definedName function="false" hidden="false" name="EPMWorkbookOptions_2" vbProcedure="false">"jqr64u7ezs3v39/7i|evpPF9k28WyabPlNP/IvjW7|a2PqNc0fXxSLZf5FH2|qU7WdZ0v258s8iv|Mvj6adZm|il9/iJb5NKb7anNF6t1XXBXXzV5/bLOz3OCN83HhNBHR7//s5df/P5PXp68|O7uzu//PX1pd2d88GD88GB8/9HBzs7O3SZb3Z2spne///t/7|T45euvPj99jl|JIlVZzDIgQn|fZ2WTf//xXWDhcDpercpimnn0uzVuBkYIxf"</definedName>
    <definedName function="false" hidden="false" name="EPMWorkbookOptions_3" vbProcedure="false">"tYh3wUYNJBQAjmaJjeHfzq28Vsli|fFot82TC6w00dqk3Qhlq9nldXFsZJVVb1UVuv88d3I19sepVHEXmzNzp60X45jNdtW/ntvloWv2idc4fHJydffvXizeO7sS83wZCBkkTd39m9d7DrAYiRgN/9sp7l9dHO47vySxR6syqz65d1tcrr9rozUdroeda0r/OSBCWffZEvJiTvkWbhvEYbUBN53xvy95Qg3x9/7|Xxq9MXb769R7|ePKNh0kNS0"</definedName>
    <definedName function="false" hidden="false" name="EPMWorkbookOptions_4" vbProcedure="false">"HtjAPK3i7zO6un82jVNScE8WhblZx9h|j|Kjo7fjczF7d59fPemMX9DRNmlX89enHz5xenrN8dvTr|gz35EG482b758|fubL35EF0eX49evT9|8/hFJPJKQAP3|X3z|5vf/yS|f/3|dLo/v3kY3e6biZ8|sffX07M2bV8dnz7||ZdvZ2Scv6faGbff/5YbNkqSvqoj//r/Oez8bZDn9vX9Eli5Znv7|9OmLn78qfIAu0ODHT7/zI7L02OX05OT/"</definedName>
    <definedName function="false" hidden="false" name="EPMWorkbookOptions_5" vbProcedure="false">"61T5f49dOyFn|/MvX/0|X9uq3bt3//7|/v7trdre/7utmiEI8Rrcy5M3Xx3/f96N|iZp8fs/P/78R/QAPZ59|er05Pj1m90fkQPkePLV089Pf966N3FR|X2OX/1/nSD/7zFV5AKcvfn6hurTB7s7BwcPbm|o7v2/21AJOSIxhnz|/3G2|yapsn/v4ac/oodLPhM99n5ED6HHPtPj0/s/oocvLwf7/1|nx/97zNaz519|92sbLcoZfvrpvXvvkTT"</definedName>
    <definedName function="false" hidden="false" name="EPMWorkbookOptions_6" vbProcedure="false">"c/3|31QI1Qm579vu/|fL/pW6jN5KfJfELybHH5Hjx5YvT/6|L3zdDD3Zp/n9Bj/8XqaOvXpwQdY|/vkp67wX6|/8vV0lKkZDvHuz/PF6ej5ME0cWzr45/RBSfKJ9||iM|6ZDk2ac/4pGQIA//P88h/|8xYGcv3py|Ovnyh2i/Pv1/t/1SgvR1NX1BH/9/nPG|UaqcnfzIm/xGhfHlqy|fnb05efPqhyiOD/7fLY6WJI717rFAvvn9X53|vF06i1"</definedName>
    <definedName function="false" hidden="false" name="EPMWorkbookOptions_7" vbProcedure="false">"Bl31Hl9z/9vT9/9iPSBAzz7Xu//xef/4hnQsLsKc988fJHVOka/De//8un/59PpP2/x7S9evnm5KtXRN|Tr7/m|P7G7eD/3cbNI8r3eaX7q9dP/7/Oct8YLZ6f/H|dFP/vkb7XJ1||PP0hyt3D/3fLHZMjVPgnn|/|f53dvkFqvP5RYPfNyt/p518QbX|IEri78/9yERSK9NMsr3/|euhRmuz|/yAh/v8eQXxz9sUP0w7u7v6/WwpBjpDd9miE4"</definedName>
    <definedName function="false" hidden="false" name="EPMWorkbookOptions_8" vbProcedure="false">"52fFVsYwehnjeO|UYLsjXf3/r8ugt8oQe79iCA9DvmRyIQE2Xn4/3WC/L/Han1xevz6q1enr3|Ylmvv/92Wy5BEcgW/z5uft3mTkBAvT1|dffn07Eepk/dqFGATb/T47vFqVRbTrCU49vPgU9OcoFXLJSFOnz3N2ow/9j98U3UH//hVfl7nzfzL5ZerfHl0npVN/vhu|CG3OynzrAbQL5evs8vctOx|zG2/W9VvJ1X1lsS0ZTKa1v0vfuPEffrl"</definedName>
    <definedName function="false" hidden="false" name="EPMWorkbookOptions_9" vbProcedure="false">"Sgbz/wAl24jZr0kAAA=="</definedName>
    <definedName function="false" hidden="false" name="EV__LASTREFTIME__" vbProcedure="false">39519.5740277778</definedName>
    <definedName function="false" hidden="false" name="iQShowHideColumns" vbProcedure="false">"iQShowAll"</definedName>
    <definedName function="false" hidden="false" name="IQ_ACCOUNTS_PAY" vbProcedure="false">"c1343"</definedName>
    <definedName function="false" hidden="false" name="IQ_ACCOUNT_CHANGE" vbProcedure="false">"c1449"</definedName>
    <definedName function="false" hidden="false" name="IQ_ACCRUED_EXP" vbProcedure="false">"c1341"</definedName>
    <definedName function="false" hidden="false" name="IQ_ACCR_INT_PAY" vbProcedure="false">"c1"</definedName>
    <definedName function="false" hidden="false" name="IQ_ACCR_INT_PAY_CF" vbProcedure="false">"c2"</definedName>
    <definedName function="false" hidden="false" name="IQ_ACCR_INT_RECEIV" vbProcedure="false">"c3"</definedName>
    <definedName function="false" hidden="false" name="IQ_ACCR_INT_RECEIV_CF" vbProcedure="false">"c4"</definedName>
    <definedName function="false" hidden="false" name="IQ_ACCT_RECV_10YR_ANN_GROWTH" vbProcedure="false">"c1924"</definedName>
    <definedName function="false" hidden="false" name="IQ_ACCT_RECV_1YR_ANN_GROWTH" vbProcedure="false">"c1919"</definedName>
    <definedName function="false" hidden="false" name="IQ_ACCT_RECV_2YR_ANN_GROWTH" vbProcedure="false">"c1920"</definedName>
    <definedName function="false" hidden="false" name="IQ_ACCT_RECV_3YR_ANN_GROWTH" vbProcedure="false">"c1921"</definedName>
    <definedName function="false" hidden="false" name="IQ_ACCT_RECV_5YR_ANN_GROWTH" vbProcedure="false">"c1922"</definedName>
    <definedName function="false" hidden="false" name="IQ_ACCT_RECV_7YR_ANN_GROWTH" vbProcedure="false">"c1923"</definedName>
    <definedName function="false" hidden="false" name="IQ_ACCUM_DEP" vbProcedure="false">"c1340"</definedName>
    <definedName function="false" hidden="false" name="IQ_ACQUIRE_REAL_ESTATE_CF" vbProcedure="false">"c6"</definedName>
    <definedName function="false" hidden="false" name="IQ_ACQUISITION_RE_ASSETS" vbProcedure="false">"c1628"</definedName>
    <definedName function="false" hidden="false" name="IQ_ACQ_COSTS_CAPITALIZED" vbProcedure="false">"c5"</definedName>
    <definedName function="false" hidden="false" name="IQ_ACQ_COST_SUB" vbProcedure="false">"c2125"</definedName>
    <definedName function="false" hidden="false" name="IQ_AD" vbProcedure="false">"c7"</definedName>
    <definedName function="false" hidden="false" name="IQ_ADDIN" vbProcedure="false">"AUTO"</definedName>
    <definedName function="false" hidden="false" name="IQ_ADD_PAID_IN" vbProcedure="false">"c1344"</definedName>
    <definedName function="false" hidden="false" name="IQ_ADVERTISING_MARKETING" vbProcedure="false">"c1566"</definedName>
    <definedName function="false" hidden="false" name="IQ_AE" vbProcedure="false">"c8"</definedName>
    <definedName function="false" hidden="false" name="IQ_AE_BNK" vbProcedure="false">"c9"</definedName>
    <definedName function="false" hidden="false" name="IQ_AE_BR" vbProcedure="false">"c10"</definedName>
    <definedName function="false" hidden="false" name="IQ_AE_FIN" vbProcedure="false">"c11"</definedName>
    <definedName function="false" hidden="false" name="IQ_AE_INS" vbProcedure="false">"c12"</definedName>
    <definedName function="false" hidden="false" name="IQ_AE_REIT" vbProcedure="false">"c13"</definedName>
    <definedName function="false" hidden="false" name="IQ_AE_UTI" vbProcedure="false">"c14"</definedName>
    <definedName function="false" hidden="false" name="IQ_ALLOWANCE_10YR_ANN_GROWTH" vbProcedure="false">"c18"</definedName>
    <definedName function="false" hidden="false" name="IQ_ALLOWANCE_1YR_ANN_GROWTH" vbProcedure="false">"c19"</definedName>
    <definedName function="false" hidden="false" name="IQ_ALLOWANCE_2YR_ANN_GROWTH" vbProcedure="false">"c20"</definedName>
    <definedName function="false" hidden="false" name="IQ_ALLOWANCE_3YR_ANN_GROWTH" vbProcedure="false">"c21"</definedName>
    <definedName function="false" hidden="false" name="IQ_ALLOWANCE_5YR_ANN_GROWTH" vbProcedure="false">"c22"</definedName>
    <definedName function="false" hidden="false" name="IQ_ALLOWANCE_7YR_ANN_GROWTH" vbProcedure="false">"c23"</definedName>
    <definedName function="false" hidden="false" name="IQ_ALLOWANCE_CHARGE_OFFS" vbProcedure="false">"c24"</definedName>
    <definedName function="false" hidden="false" name="IQ_ALLOWANCE_NON_PERF_LOANS" vbProcedure="false">"c25"</definedName>
    <definedName function="false" hidden="false" name="IQ_ALLOWANCE_TOTAL_LOANS" vbProcedure="false">"c26"</definedName>
    <definedName function="false" hidden="false" name="IQ_ALLOW_BORROW_CONST" vbProcedure="false">"c15"</definedName>
    <definedName function="false" hidden="false" name="IQ_ALLOW_CONST" vbProcedure="false">"c1342"</definedName>
    <definedName function="false" hidden="false" name="IQ_ALLOW_DOUBT_ACCT" vbProcedure="false">"c2092"</definedName>
    <definedName function="false" hidden="false" name="IQ_ALLOW_EQUITY_CONST" vbProcedure="false">"c16"</definedName>
    <definedName function="false" hidden="false" name="IQ_ALLOW_LL" vbProcedure="false">"c17"</definedName>
    <definedName function="false" hidden="false" name="IQ_AMORTIZATION" vbProcedure="false">"c1591"</definedName>
    <definedName function="false" hidden="false" name="IQ_ANNUALIZED_DIVIDEND" vbProcedure="false">"c1579"</definedName>
    <definedName function="false" hidden="false" name="IQ_ANNUITY_LIAB" vbProcedure="false">"c27"</definedName>
    <definedName function="false" hidden="false" name="IQ_ANNUITY_PAY" vbProcedure="false">"c28"</definedName>
    <definedName function="false" hidden="false" name="IQ_ANNUITY_POLICY_EXP" vbProcedure="false">"c29"</definedName>
    <definedName function="false" hidden="false" name="IQ_ANNUITY_REC" vbProcedure="false">"c30"</definedName>
    <definedName function="false" hidden="false" name="IQ_ANNUITY_REV" vbProcedure="false">"c31"</definedName>
    <definedName function="false" hidden="false" name="IQ_AP" vbProcedure="false">"c32"</definedName>
    <definedName function="false" hidden="false" name="IQ_APIC" vbProcedure="false">"c39"</definedName>
    <definedName function="false" hidden="false" name="IQ_AP_BNK" vbProcedure="false">"c33"</definedName>
    <definedName function="false" hidden="false" name="IQ_AP_BR" vbProcedure="false">"c34"</definedName>
    <definedName function="false" hidden="false" name="IQ_AP_FIN" vbProcedure="false">"c35"</definedName>
    <definedName function="false" hidden="false" name="IQ_AP_INS" vbProcedure="false">"c36"</definedName>
    <definedName function="false" hidden="false" name="IQ_AP_REIT" vbProcedure="false">"c37"</definedName>
    <definedName function="false" hidden="false" name="IQ_AP_UTI" vbProcedure="false">"c38"</definedName>
    <definedName function="false" hidden="false" name="IQ_AR" vbProcedure="false">"c40"</definedName>
    <definedName function="false" hidden="false" name="IQ_ARPU" vbProcedure="false">"c2126"</definedName>
    <definedName function="false" hidden="false" name="IQ_AR_BR" vbProcedure="false">"c41"</definedName>
    <definedName function="false" hidden="false" name="IQ_AR_LT" vbProcedure="false">"c42"</definedName>
    <definedName function="false" hidden="false" name="IQ_AR_REIT" vbProcedure="false">"c43"</definedName>
    <definedName function="false" hidden="false" name="IQ_AR_TURNS" vbProcedure="false">"c44"</definedName>
    <definedName function="false" hidden="false" name="IQ_AR_UTI" vbProcedure="false">"c45"</definedName>
    <definedName function="false" hidden="false" name="IQ_ASSETS_CAP_LEASE_DEPR" vbProcedure="false">"c2068"</definedName>
    <definedName function="false" hidden="false" name="IQ_ASSETS_CAP_LEASE_GROSS" vbProcedure="false">"c2069"</definedName>
    <definedName function="false" hidden="false" name="IQ_ASSETS_OPER_LEASE_DEPR" vbProcedure="false">"c2070"</definedName>
    <definedName function="false" hidden="false" name="IQ_ASSETS_OPER_LEASE_GROSS" vbProcedure="false">"c2071"</definedName>
    <definedName function="false" hidden="false" name="IQ_ASSET_MGMT_FEE" vbProcedure="false">"c46"</definedName>
    <definedName function="false" hidden="false" name="IQ_ASSET_TURNS" vbProcedure="false">"c47"</definedName>
    <definedName function="false" hidden="false" name="IQ_ASSET_WRITEDOWN" vbProcedure="false">"c48"</definedName>
    <definedName function="false" hidden="false" name="IQ_ASSET_WRITEDOWN_BNK" vbProcedure="false">"c49"</definedName>
    <definedName function="false" hidden="false" name="IQ_ASSET_WRITEDOWN_BR" vbProcedure="false">"c50"</definedName>
    <definedName function="false" hidden="false" name="IQ_ASSET_WRITEDOWN_CF" vbProcedure="false">"c51"</definedName>
    <definedName function="false" hidden="false" name="IQ_ASSET_WRITEDOWN_CF_BNK" vbProcedure="false">"c52"</definedName>
    <definedName function="false" hidden="false" name="IQ_ASSET_WRITEDOWN_CF_BR" vbProcedure="false">"c53"</definedName>
    <definedName function="false" hidden="false" name="IQ_ASSET_WRITEDOWN_CF_FIN" vbProcedure="false">"c54"</definedName>
    <definedName function="false" hidden="false" name="IQ_ASSET_WRITEDOWN_CF_INS" vbProcedure="false">"c55"</definedName>
    <definedName function="false" hidden="false" name="IQ_ASSET_WRITEDOWN_CF_REIT" vbProcedure="false">"c56"</definedName>
    <definedName function="false" hidden="false" name="IQ_ASSET_WRITEDOWN_CF_UTI" vbProcedure="false">"c57"</definedName>
    <definedName function="false" hidden="false" name="IQ_ASSET_WRITEDOWN_FIN" vbProcedure="false">"c58"</definedName>
    <definedName function="false" hidden="false" name="IQ_ASSET_WRITEDOWN_INS" vbProcedure="false">"c59"</definedName>
    <definedName function="false" hidden="false" name="IQ_ASSET_WRITEDOWN_REIT" vbProcedure="false">"c60"</definedName>
    <definedName function="false" hidden="false" name="IQ_ASSET_WRITEDOWN_UTI" vbProcedure="false">"c61"</definedName>
    <definedName function="false" hidden="false" name="IQ_AUDITOR_NAME" vbProcedure="false">"c1539"</definedName>
    <definedName function="false" hidden="false" name="IQ_AUDITOR_OPINION" vbProcedure="false">"c1540"</definedName>
    <definedName function="false" hidden="false" name="IQ_AUTO_WRITTEN" vbProcedure="false">"c62"</definedName>
    <definedName function="false" hidden="false" name="IQ_AVG_BANK_ASSETS" vbProcedure="false">"c2072"</definedName>
    <definedName function="false" hidden="false" name="IQ_AVG_BANK_LOANS" vbProcedure="false">"c2073"</definedName>
    <definedName function="false" hidden="false" name="IQ_AVG_BROKER_REC" vbProcedure="false">"c63"</definedName>
    <definedName function="false" hidden="false" name="IQ_AVG_BROKER_REC_NO" vbProcedure="false">"c64"</definedName>
    <definedName function="false" hidden="false" name="IQ_AVG_DAILY_VOL" vbProcedure="false">"c65"</definedName>
    <definedName function="false" hidden="false" name="IQ_AVG_INT_BEAR_LIAB" vbProcedure="false">"c66"</definedName>
    <definedName function="false" hidden="false" name="IQ_AVG_INT_BEAR_LIAB_10YR_ANN_GROWTH" vbProcedure="false">"c67"</definedName>
    <definedName function="false" hidden="false" name="IQ_AVG_INT_BEAR_LIAB_1YR_ANN_GROWTH" vbProcedure="false">"c68"</definedName>
    <definedName function="false" hidden="false" name="IQ_AVG_INT_BEAR_LIAB_2YR_ANN_GROWTH" vbProcedure="false">"c69"</definedName>
    <definedName function="false" hidden="false" name="IQ_AVG_INT_BEAR_LIAB_3YR_ANN_GROWTH" vbProcedure="false">"c70"</definedName>
    <definedName function="false" hidden="false" name="IQ_AVG_INT_BEAR_LIAB_5YR_ANN_GROWTH" vbProcedure="false">"c71"</definedName>
    <definedName function="false" hidden="false" name="IQ_AVG_INT_BEAR_LIAB_7YR_ANN_GROWTH" vbProcedure="false">"c72"</definedName>
    <definedName function="false" hidden="false" name="IQ_AVG_INT_EARN_ASSETS" vbProcedure="false">"c73"</definedName>
    <definedName function="false" hidden="false" name="IQ_AVG_INT_EARN_ASSETS_10YR_ANN_GROWTH" vbProcedure="false">"c74"</definedName>
    <definedName function="false" hidden="false" name="IQ_AVG_INT_EARN_ASSETS_1YR_ANN_GROWTH" vbProcedure="false">"c75"</definedName>
    <definedName function="false" hidden="false" name="IQ_AVG_INT_EARN_ASSETS_2YR_ANN_GROWTH" vbProcedure="false">"c76"</definedName>
    <definedName function="false" hidden="false" name="IQ_AVG_INT_EARN_ASSETS_3YR_ANN_GROWTH" vbProcedure="false">"c77"</definedName>
    <definedName function="false" hidden="false" name="IQ_AVG_INT_EARN_ASSETS_5YR_ANN_GROWTH" vbProcedure="false">"c78"</definedName>
    <definedName function="false" hidden="false" name="IQ_AVG_INT_EARN_ASSETS_7YR_ANN_GROWTH" vbProcedure="false">"c79"</definedName>
    <definedName function="false" hidden="false" name="IQ_AVG_MKTCAP" vbProcedure="false">"c80"</definedName>
    <definedName function="false" hidden="false" name="IQ_AVG_PRICE" vbProcedure="false">"c81"</definedName>
    <definedName function="false" hidden="false" name="IQ_AVG_SHAREOUTSTANDING" vbProcedure="false">"c83"</definedName>
    <definedName function="false" hidden="false" name="IQ_AVG_TEV" vbProcedure="false">"c84"</definedName>
    <definedName function="false" hidden="false" name="IQ_AVG_VOLUME" vbProcedure="false">"c1346"</definedName>
    <definedName function="false" hidden="false" name="IQ_BASIC_EPS_EXCL" vbProcedure="false">"c85"</definedName>
    <definedName function="false" hidden="false" name="IQ_BASIC_EPS_INCL" vbProcedure="false">"c86"</definedName>
    <definedName function="false" hidden="false" name="IQ_BASIC_NORMAL_EPS" vbProcedure="false">"c1592"</definedName>
    <definedName function="false" hidden="false" name="IQ_BASIC_WEIGHT" vbProcedure="false">"c87"</definedName>
    <definedName function="false" hidden="false" name="IQ_BETA" vbProcedure="false">"c2133"</definedName>
    <definedName function="false" hidden="false" name="IQ_BETA_1YR" vbProcedure="false">"c1966"</definedName>
    <definedName function="false" hidden="false" name="IQ_BETA_1YR_RSQ" vbProcedure="false">"c2132"</definedName>
    <definedName function="false" hidden="false" name="IQ_BETA_2YR" vbProcedure="false">"c1965"</definedName>
    <definedName function="false" hidden="false" name="IQ_BETA_2YR_RSQ" vbProcedure="false">"c2131"</definedName>
    <definedName function="false" hidden="false" name="IQ_BETA_5YR" vbProcedure="false">"c88"</definedName>
    <definedName function="false" hidden="false" name="IQ_BETA_5YR_RSQ" vbProcedure="false">"c2130"</definedName>
    <definedName function="false" hidden="false" name="IQ_BIG_INT_BEAR_CD" vbProcedure="false">"c89"</definedName>
    <definedName function="false" hidden="false" name="IQ_BOARD_MEMBER" vbProcedure="false">"c96"</definedName>
    <definedName function="false" hidden="false" name="IQ_BOARD_MEMBER_BACKGROUND" vbProcedure="false">"c2101"</definedName>
    <definedName function="false" hidden="false" name="IQ_BOARD_MEMBER_TITLE" vbProcedure="false">"c97"</definedName>
    <definedName function="false" hidden="false" name="IQ_BROK_COMISSION" vbProcedure="false">"c98"</definedName>
    <definedName function="false" hidden="false" name="IQ_BUILDINGS" vbProcedure="false">"c99"</definedName>
    <definedName function="false" hidden="false" name="IQ_BUSINESS_DESCRIPTION" vbProcedure="false">"c322"</definedName>
    <definedName function="false" hidden="false" name="IQ_BV_OVER_SHARES" vbProcedure="false">"c1349"</definedName>
    <definedName function="false" hidden="false" name="IQ_BV_SHARE" vbProcedure="false">"c100"</definedName>
    <definedName function="false" hidden="false" name="IQ_CAL_Q" vbProcedure="false">"c101"</definedName>
    <definedName function="false" hidden="false" name="IQ_CAL_Y" vbProcedure="false">"c102"</definedName>
    <definedName function="false" hidden="false" name="IQ_CAPEX" vbProcedure="false">"c103"</definedName>
    <definedName function="false" hidden="false" name="IQ_CAPEX_10YR_ANN_GROWTH" vbProcedure="false">"c104"</definedName>
    <definedName function="false" hidden="false" name="IQ_CAPEX_1YR_ANN_GROWTH" vbProcedure="false">"c105"</definedName>
    <definedName function="false" hidden="false" name="IQ_CAPEX_2YR_ANN_GROWTH" vbProcedure="false">"c106"</definedName>
    <definedName function="false" hidden="false" name="IQ_CAPEX_3YR_ANN_GROWTH" vbProcedure="false">"c107"</definedName>
    <definedName function="false" hidden="false" name="IQ_CAPEX_5YR_ANN_GROWTH" vbProcedure="false">"c108"</definedName>
    <definedName function="false" hidden="false" name="IQ_CAPEX_7YR_ANN_GROWTH" vbProcedure="false">"c109"</definedName>
    <definedName function="false" hidden="false" name="IQ_CAPEX_BNK" vbProcedure="false">"c110"</definedName>
    <definedName function="false" hidden="false" name="IQ_CAPEX_BR" vbProcedure="false">"c111"</definedName>
    <definedName function="false" hidden="false" name="IQ_CAPEX_FIN" vbProcedure="false">"c112"</definedName>
    <definedName function="false" hidden="false" name="IQ_CAPEX_INS" vbProcedure="false">"c113"</definedName>
    <definedName function="false" hidden="false" name="IQ_CAPEX_UTI" vbProcedure="false">"c114"</definedName>
    <definedName function="false" hidden="false" name="IQ_CAPITALIZED_INTEREST" vbProcedure="false">"c2076"</definedName>
    <definedName function="false" hidden="false" name="IQ_CAPITAL_LEASE" vbProcedure="false">"c1350"</definedName>
    <definedName function="false" hidden="false" name="IQ_CAPITAL_LEASES" vbProcedure="false">"c115"</definedName>
    <definedName function="false" hidden="false" name="IQ_CASH" vbProcedure="false">"c1458"</definedName>
    <definedName function="false" hidden="false" name="IQ_CASH_ACQUIRE_CF" vbProcedure="false">"c1630"</definedName>
    <definedName function="false" hidden="false" name="IQ_CASH_CONVERSION" vbProcedure="false">"c117"</definedName>
    <definedName function="false" hidden="false" name="IQ_CASH_DUE_BANKS" vbProcedure="false">"c1351"</definedName>
    <definedName function="false" hidden="false" name="IQ_CASH_EQUIV" vbProcedure="false">"c118"</definedName>
    <definedName function="false" hidden="false" name="IQ_CASH_FINAN" vbProcedure="false">"c119"</definedName>
    <definedName function="false" hidden="false" name="IQ_CASH_INTEREST" vbProcedure="false">"c120"</definedName>
    <definedName function="false" hidden="false" name="IQ_CASH_INVEST" vbProcedure="false">"c121"</definedName>
    <definedName function="false" hidden="false" name="IQ_CASH_OPER" vbProcedure="false">"c122"</definedName>
    <definedName function="false" hidden="false" name="IQ_CASH_SEGREG" vbProcedure="false">"c123"</definedName>
    <definedName function="false" hidden="false" name="IQ_CASH_SHARE" vbProcedure="false">"c1911"</definedName>
    <definedName function="false" hidden="false" name="IQ_CASH_ST" vbProcedure="false">"c1355"</definedName>
    <definedName function="false" hidden="false" name="IQ_CASH_ST_INVEST" vbProcedure="false">"c124"</definedName>
    <definedName function="false" hidden="false" name="IQ_CASH_TAXES" vbProcedure="false">"c125"</definedName>
    <definedName function="false" hidden="false" name="IQ_CFO_10YR_ANN_GROWTH" vbProcedure="false">"c126"</definedName>
    <definedName function="false" hidden="false" name="IQ_CFO_1YR_ANN_GROWTH" vbProcedure="false">"c127"</definedName>
    <definedName function="false" hidden="false" name="IQ_CFO_2YR_ANN_GROWTH" vbProcedure="false">"c128"</definedName>
    <definedName function="false" hidden="false" name="IQ_CFO_3YR_ANN_GROWTH" vbProcedure="false">"c129"</definedName>
    <definedName function="false" hidden="false" name="IQ_CFO_5YR_ANN_GROWTH" vbProcedure="false">"c130"</definedName>
    <definedName function="false" hidden="false" name="IQ_CFO_7YR_ANN_GROWTH" vbProcedure="false">"c131"</definedName>
    <definedName function="false" hidden="false" name="IQ_CFO_CURRENT_LIAB" vbProcedure="false">"c132"</definedName>
    <definedName function="false" hidden="false" name="IQ_CFPS_EST" vbProcedure="false">"c1667"</definedName>
    <definedName function="false" hidden="false" name="IQ_CFPS_HIGH_EST" vbProcedure="false">"c1669"</definedName>
    <definedName function="false" hidden="false" name="IQ_CFPS_LOW_EST" vbProcedure="false">"c1670"</definedName>
    <definedName function="false" hidden="false" name="IQ_CFPS_MEDIAN_EST" vbProcedure="false">"c1668"</definedName>
    <definedName function="false" hidden="false" name="IQ_CFPS_NUM_EST" vbProcedure="false">"c1671"</definedName>
    <definedName function="false" hidden="false" name="IQ_CFPS_STDDEV_EST" vbProcedure="false">"c1672"</definedName>
    <definedName function="false" hidden="false" name="IQ_CH" vbProcedure="false">110000</definedName>
    <definedName function="false" hidden="false" name="IQ_CHANGES_WORK_CAP" vbProcedure="false">"c1357"</definedName>
    <definedName function="false" hidden="false" name="IQ_CHANGE_AP" vbProcedure="false">"c133"</definedName>
    <definedName function="false" hidden="false" name="IQ_CHANGE_AP_BNK" vbProcedure="false">"c134"</definedName>
    <definedName function="false" hidden="false" name="IQ_CHANGE_AP_BR" vbProcedure="false">"c135"</definedName>
    <definedName function="false" hidden="false" name="IQ_CHANGE_AP_FIN" vbProcedure="false">"c136"</definedName>
    <definedName function="false" hidden="false" name="IQ_CHANGE_AP_INS" vbProcedure="false">"c137"</definedName>
    <definedName function="false" hidden="false" name="IQ_CHANGE_AP_REIT" vbProcedure="false">"c138"</definedName>
    <definedName function="false" hidden="false" name="IQ_CHANGE_AP_UTI" vbProcedure="false">"c139"</definedName>
    <definedName function="false" hidden="false" name="IQ_CHANGE_AR" vbProcedure="false">"c140"</definedName>
    <definedName function="false" hidden="false" name="IQ_CHANGE_AR_BNK" vbProcedure="false">"c141"</definedName>
    <definedName function="false" hidden="false" name="IQ_CHANGE_AR_BR" vbProcedure="false">"c142"</definedName>
    <definedName function="false" hidden="false" name="IQ_CHANGE_AR_FIN" vbProcedure="false">"c143"</definedName>
    <definedName function="false" hidden="false" name="IQ_CHANGE_AR_INS" vbProcedure="false">"c144"</definedName>
    <definedName function="false" hidden="false" name="IQ_CHANGE_AR_REIT" vbProcedure="false">"c145"</definedName>
    <definedName function="false" hidden="false" name="IQ_CHANGE_AR_UTI" vbProcedure="false">"c146"</definedName>
    <definedName function="false" hidden="false" name="IQ_CHANGE_DEF_TAX" vbProcedure="false">"c147"</definedName>
    <definedName function="false" hidden="false" name="IQ_CHANGE_DEPOSIT_ACCT" vbProcedure="false">"c148"</definedName>
    <definedName function="false" hidden="false" name="IQ_CHANGE_INC_TAX" vbProcedure="false">"c149"</definedName>
    <definedName function="false" hidden="false" name="IQ_CHANGE_INS_RES_LIAB" vbProcedure="false">"c150"</definedName>
    <definedName function="false" hidden="false" name="IQ_CHANGE_INVENTORY" vbProcedure="false">"c151"</definedName>
    <definedName function="false" hidden="false" name="IQ_CHANGE_NET_WORKING_CAPITAL" vbProcedure="false">"c1909"</definedName>
    <definedName function="false" hidden="false" name="IQ_CHANGE_OTHER_WORK_CAP" vbProcedure="false">"c152"</definedName>
    <definedName function="false" hidden="false" name="IQ_CHANGE_OTHER_WORK_CAP_BNK" vbProcedure="false">"c153"</definedName>
    <definedName function="false" hidden="false" name="IQ_CHANGE_OTHER_WORK_CAP_BR" vbProcedure="false">"c154"</definedName>
    <definedName function="false" hidden="false" name="IQ_CHANGE_OTHER_WORK_CAP_FIN" vbProcedure="false">"c155"</definedName>
    <definedName function="false" hidden="false" name="IQ_CHANGE_OTHER_WORK_CAP_INS" vbProcedure="false">"c156"</definedName>
    <definedName function="false" hidden="false" name="IQ_CHANGE_OTHER_WORK_CAP_REIT" vbProcedure="false">"c157"</definedName>
    <definedName function="false" hidden="false" name="IQ_CHANGE_OTHER_WORK_CAP_UTI" vbProcedure="false">"c158"</definedName>
    <definedName function="false" hidden="false" name="IQ_CHANGE_TRADING_ASSETS" vbProcedure="false">"c159"</definedName>
    <definedName function="false" hidden="false" name="IQ_CHANGE_UNEARN_REV" vbProcedure="false">"c160"</definedName>
    <definedName function="false" hidden="false" name="IQ_CHANGE_WORK_CAP" vbProcedure="false">"c161"</definedName>
    <definedName function="false" hidden="false" name="IQ_CHARGE_OFFS_GROSS" vbProcedure="false">"c162"</definedName>
    <definedName function="false" hidden="false" name="IQ_CHARGE_OFFS_NET" vbProcedure="false">"c163"</definedName>
    <definedName function="false" hidden="false" name="IQ_CHARGE_OFFS_RECOVERED" vbProcedure="false">"c164"</definedName>
    <definedName function="false" hidden="false" name="IQ_CHARGE_OFFS_TOTAL_AVG_LOANS" vbProcedure="false">"c165"</definedName>
    <definedName function="false" hidden="false" name="IQ_CITY" vbProcedure="false">"c166"</definedName>
    <definedName function="false" hidden="false" name="IQ_CLASSA_OUTSTANDING_BS_DATE" vbProcedure="false">"c1971"</definedName>
    <definedName function="false" hidden="false" name="IQ_CLASSA_OUTSTANDING_FILING_DATE" vbProcedure="false">"c1973"</definedName>
    <definedName function="false" hidden="false" name="IQ_CLOSEPRICE" vbProcedure="false">"c174"</definedName>
    <definedName function="false" hidden="false" name="IQ_CLOSEPRICE_ADJ" vbProcedure="false">"c2115"</definedName>
    <definedName function="false" hidden="false" name="IQ_CL_DUE_AFTER_FIVE" vbProcedure="false">"c167"</definedName>
    <definedName function="false" hidden="false" name="IQ_CL_DUE_CY" vbProcedure="false">"c168"</definedName>
    <definedName function="false" hidden="false" name="IQ_CL_DUE_CY1" vbProcedure="false">"c169"</definedName>
    <definedName function="false" hidden="false" name="IQ_CL_DUE_CY2" vbProcedure="false">"c170"</definedName>
    <definedName function="false" hidden="false" name="IQ_CL_DUE_CY3" vbProcedure="false">"c171"</definedName>
    <definedName function="false" hidden="false" name="IQ_CL_DUE_CY4" vbProcedure="false">"c172"</definedName>
    <definedName function="false" hidden="false" name="IQ_CL_DUE_NEXT_FIVE" vbProcedure="false">"c173"</definedName>
    <definedName function="false" hidden="false" name="IQ_COGS" vbProcedure="false">"c175"</definedName>
    <definedName function="false" hidden="false" name="IQ_COMBINED_RATIO" vbProcedure="false">"c176"</definedName>
    <definedName function="false" hidden="false" name="IQ_COMMERCIAL_DOM" vbProcedure="false">"c177"</definedName>
    <definedName function="false" hidden="false" name="IQ_COMMERCIAL_FIRE_WRITTEN" vbProcedure="false">"c178"</definedName>
    <definedName function="false" hidden="false" name="IQ_COMMERCIAL_MORT" vbProcedure="false">"c179"</definedName>
    <definedName function="false" hidden="false" name="IQ_COMMISSION_DEF" vbProcedure="false">"c181"</definedName>
    <definedName function="false" hidden="false" name="IQ_COMMISS_FEES" vbProcedure="false">"c180"</definedName>
    <definedName function="false" hidden="false" name="IQ_COMMON" vbProcedure="false">"c182"</definedName>
    <definedName function="false" hidden="false" name="IQ_COMMON_APIC" vbProcedure="false">"c183"</definedName>
    <definedName function="false" hidden="false" name="IQ_COMMON_APIC_BNK" vbProcedure="false">"c184"</definedName>
    <definedName function="false" hidden="false" name="IQ_COMMON_APIC_BR" vbProcedure="false">"c185"</definedName>
    <definedName function="false" hidden="false" name="IQ_COMMON_APIC_FIN" vbProcedure="false">"c186"</definedName>
    <definedName function="false" hidden="false" name="IQ_COMMON_APIC_INS" vbProcedure="false">"c187"</definedName>
    <definedName function="false" hidden="false" name="IQ_COMMON_APIC_REIT" vbProcedure="false">"c188"</definedName>
    <definedName function="false" hidden="false" name="IQ_COMMON_APIC_UTI" vbProcedure="false">"c189"</definedName>
    <definedName function="false" hidden="false" name="IQ_COMMON_DIV_CF" vbProcedure="false">"c190"</definedName>
    <definedName function="false" hidden="false" name="IQ_COMMON_EQUITY_10YR_ANN_GROWTH" vbProcedure="false">"c191"</definedName>
    <definedName function="false" hidden="false" name="IQ_COMMON_EQUITY_1YR_ANN_GROWTH" vbProcedure="false">"c192"</definedName>
    <definedName function="false" hidden="false" name="IQ_COMMON_EQUITY_2YR_ANN_GROWTH" vbProcedure="false">"c193"</definedName>
    <definedName function="false" hidden="false" name="IQ_COMMON_EQUITY_3YR_ANN_GROWTH" vbProcedure="false">"c194"</definedName>
    <definedName function="false" hidden="false" name="IQ_COMMON_EQUITY_5YR_ANN_GROWTH" vbProcedure="false">"c195"</definedName>
    <definedName function="false" hidden="false" name="IQ_COMMON_EQUITY_7YR_ANN_GROWTH" vbProcedure="false">"c196"</definedName>
    <definedName function="false" hidden="false" name="IQ_COMMON_ISSUED" vbProcedure="false">"c197"</definedName>
    <definedName function="false" hidden="false" name="IQ_COMMON_ISSUED_BNK" vbProcedure="false">"c198"</definedName>
    <definedName function="false" hidden="false" name="IQ_COMMON_ISSUED_BR" vbProcedure="false">"c199"</definedName>
    <definedName function="false" hidden="false" name="IQ_COMMON_ISSUED_FIN" vbProcedure="false">"c200"</definedName>
    <definedName function="false" hidden="false" name="IQ_COMMON_ISSUED_INS" vbProcedure="false">"c201"</definedName>
    <definedName function="false" hidden="false" name="IQ_COMMON_ISSUED_REIT" vbProcedure="false">"c202"</definedName>
    <definedName function="false" hidden="false" name="IQ_COMMON_ISSUED_UTI" vbProcedure="false">"c203"</definedName>
    <definedName function="false" hidden="false" name="IQ_COMMON_PER_ADR" vbProcedure="false">"c204"</definedName>
    <definedName function="false" hidden="false" name="IQ_COMMON_PREF_DIV_CF" vbProcedure="false">"c205"</definedName>
    <definedName function="false" hidden="false" name="IQ_COMMON_REP" vbProcedure="false">"c206"</definedName>
    <definedName function="false" hidden="false" name="IQ_COMMON_REP_BNK" vbProcedure="false">"c207"</definedName>
    <definedName function="false" hidden="false" name="IQ_COMMON_REP_BR" vbProcedure="false">"c208"</definedName>
    <definedName function="false" hidden="false" name="IQ_COMMON_REP_FIN" vbProcedure="false">"c209"</definedName>
    <definedName function="false" hidden="false" name="IQ_COMMON_REP_INS" vbProcedure="false">"c210"</definedName>
    <definedName function="false" hidden="false" name="IQ_COMMON_REP_REIT" vbProcedure="false">"c211"</definedName>
    <definedName function="false" hidden="false" name="IQ_COMMON_REP_UTI" vbProcedure="false">"c212"</definedName>
    <definedName function="false" hidden="false" name="IQ_COMMON_STOCK" vbProcedure="false">"c1358"</definedName>
    <definedName function="false" hidden="false" name="IQ_COMPANY_ADDRESS" vbProcedure="false">"c214"</definedName>
    <definedName function="false" hidden="false" name="IQ_COMPANY_NAME" vbProcedure="false">"c215"</definedName>
    <definedName function="false" hidden="false" name="IQ_COMPANY_NAME_LONG" vbProcedure="false">"c1585"</definedName>
    <definedName function="false" hidden="false" name="IQ_COMPANY_PHONE" vbProcedure="false">"c216"</definedName>
    <definedName function="false" hidden="false" name="IQ_COMPANY_STATUS" vbProcedure="false">"c2097"</definedName>
    <definedName function="false" hidden="false" name="IQ_COMPANY_STREET1" vbProcedure="false">"c217"</definedName>
    <definedName function="false" hidden="false" name="IQ_COMPANY_STREET2" vbProcedure="false">"c218"</definedName>
    <definedName function="false" hidden="false" name="IQ_COMPANY_TICKER" vbProcedure="false">"c219"</definedName>
    <definedName function="false" hidden="false" name="IQ_COMPANY_TYPE" vbProcedure="false">"c2096"</definedName>
    <definedName function="false" hidden="false" name="IQ_COMPANY_WEBSITE" vbProcedure="false">"c220"</definedName>
    <definedName function="false" hidden="false" name="IQ_COMPANY_ZIP" vbProcedure="false">"c221"</definedName>
    <definedName function="false" hidden="false" name="IQ_COMP_BENEFITS" vbProcedure="false">"c213"</definedName>
    <definedName function="false" hidden="false" name="IQ_CONSTRUCTION_LOANS" vbProcedure="false">"c222"</definedName>
    <definedName function="false" hidden="false" name="IQ_CONSUMER_LOANS" vbProcedure="false">"c223"</definedName>
    <definedName function="false" hidden="false" name="IQ_COST_BORROWINGS" vbProcedure="false">"c225"</definedName>
    <definedName function="false" hidden="false" name="IQ_COST_REV" vbProcedure="false">"c226"</definedName>
    <definedName function="false" hidden="false" name="IQ_COST_REVENUE" vbProcedure="false">"c1359"</definedName>
    <definedName function="false" hidden="false" name="IQ_COST_SAVINGS" vbProcedure="false">"c227"</definedName>
    <definedName function="false" hidden="false" name="IQ_COST_SERVICE" vbProcedure="false">"c228"</definedName>
    <definedName function="false" hidden="false" name="IQ_COST_TOTAL_BORROWINGS" vbProcedure="false">"c229"</definedName>
    <definedName function="false" hidden="false" name="IQ_COUNTRY_NAME" vbProcedure="false">"c230"</definedName>
    <definedName function="false" hidden="false" name="IQ_COVERED_POPS" vbProcedure="false">"c2124"</definedName>
    <definedName function="false" hidden="false" name="IQ_CQ" vbProcedure="false">5000</definedName>
    <definedName function="false" hidden="false" name="IQ_CREDIT_CARD_FEE_BNK" vbProcedure="false">"c231"</definedName>
    <definedName function="false" hidden="false" name="IQ_CREDIT_CARD_FEE_FIN" vbProcedure="false">"c1583"</definedName>
    <definedName function="false" hidden="false" name="IQ_CREDIT_LOSS_CF" vbProcedure="false">"c232"</definedName>
    <definedName function="false" hidden="false" name="IQ_CUMULATIVE_SPLIT_FACTOR" vbProcedure="false">"c2094"</definedName>
    <definedName function="false" hidden="false" name="IQ_CURRENCY_FACTOR_BS" vbProcedure="false">"c233"</definedName>
    <definedName function="false" hidden="false" name="IQ_CURRENCY_FACTOR_IS" vbProcedure="false">"c234"</definedName>
    <definedName function="false" hidden="false" name="IQ_CURRENCY_GAIN" vbProcedure="false">"c235"</definedName>
    <definedName function="false" hidden="false" name="IQ_CURRENCY_GAIN_BR" vbProcedure="false">"c236"</definedName>
    <definedName function="false" hidden="false" name="IQ_CURRENCY_GAIN_FIN" vbProcedure="false">"c237"</definedName>
    <definedName function="false" hidden="false" name="IQ_CURRENCY_GAIN_INS" vbProcedure="false">"c238"</definedName>
    <definedName function="false" hidden="false" name="IQ_CURRENCY_GAIN_REIT" vbProcedure="false">"c239"</definedName>
    <definedName function="false" hidden="false" name="IQ_CURRENCY_GAIN_UTI" vbProcedure="false">"c240"</definedName>
    <definedName function="false" hidden="false" name="IQ_CURRENT_PORT" vbProcedure="false">"c241"</definedName>
    <definedName function="false" hidden="false" name="IQ_CURRENT_PORT_BNK" vbProcedure="false">"c242"</definedName>
    <definedName function="false" hidden="false" name="IQ_CURRENT_PORT_DEBT" vbProcedure="false">"c243"</definedName>
    <definedName function="false" hidden="false" name="IQ_CURRENT_PORT_DEBT_BNK" vbProcedure="false">"c244"</definedName>
    <definedName function="false" hidden="false" name="IQ_CURRENT_PORT_DEBT_BR" vbProcedure="false">"c1567"</definedName>
    <definedName function="false" hidden="false" name="IQ_CURRENT_PORT_DEBT_FIN" vbProcedure="false">"c1568"</definedName>
    <definedName function="false" hidden="false" name="IQ_CURRENT_PORT_DEBT_INS" vbProcedure="false">"c1569"</definedName>
    <definedName function="false" hidden="false" name="IQ_CURRENT_PORT_DEBT_REIT" vbProcedure="false">"c1570"</definedName>
    <definedName function="false" hidden="false" name="IQ_CURRENT_PORT_DEBT_UTI" vbProcedure="false">"c1571"</definedName>
    <definedName function="false" hidden="false" name="IQ_CURRENT_PORT_LEASES" vbProcedure="false">"c245"</definedName>
    <definedName function="false" hidden="false" name="IQ_CURRENT_RATIO" vbProcedure="false">"c246"</definedName>
    <definedName function="false" hidden="false" name="IQ_CURR_DOMESTIC_TAXES" vbProcedure="false">"c2074"</definedName>
    <definedName function="false" hidden="false" name="IQ_CURR_FOREIGN_TAXES" vbProcedure="false">"c2075"</definedName>
    <definedName function="false" hidden="false" name="IQ_CY" vbProcedure="false">10000</definedName>
    <definedName function="false" hidden="false" name="IQ_DA" vbProcedure="false">"c247"</definedName>
    <definedName function="false" hidden="false" name="IQ_DAILY" vbProcedure="false">500000</definedName>
    <definedName function="false" hidden="false" name="IQ_DAYS_COVER_SHORT" vbProcedure="false">"c1578"</definedName>
    <definedName function="false" hidden="false" name="IQ_DAYS_INVENTORY_OUT" vbProcedure="false">"c273"</definedName>
    <definedName function="false" hidden="false" name="IQ_DAYS_PAYABLE_OUT" vbProcedure="false">"c274"</definedName>
    <definedName function="false" hidden="false" name="IQ_DAYS_PAY_OUTST" vbProcedure="false">"c1362"</definedName>
    <definedName function="false" hidden="false" name="IQ_DAYS_SALES_OUT" vbProcedure="false">"c275"</definedName>
    <definedName function="false" hidden="false" name="IQ_DAYS_SALES_OUTST" vbProcedure="false">"c1363"</definedName>
    <definedName function="false" hidden="false" name="IQ_DA_BR" vbProcedure="false">"c248"</definedName>
    <definedName function="false" hidden="false" name="IQ_DA_CF" vbProcedure="false">"c249"</definedName>
    <definedName function="false" hidden="false" name="IQ_DA_CF_BNK" vbProcedure="false">"c250"</definedName>
    <definedName function="false" hidden="false" name="IQ_DA_CF_BR" vbProcedure="false">"c251"</definedName>
    <definedName function="false" hidden="false" name="IQ_DA_CF_FIN" vbProcedure="false">"c252"</definedName>
    <definedName function="false" hidden="false" name="IQ_DA_CF_INS" vbProcedure="false">"c253"</definedName>
    <definedName function="false" hidden="false" name="IQ_DA_CF_REIT" vbProcedure="false">"c254"</definedName>
    <definedName function="false" hidden="false" name="IQ_DA_CF_UTI" vbProcedure="false">"c255"</definedName>
    <definedName function="false" hidden="false" name="IQ_DA_FIN" vbProcedure="false">"c256"</definedName>
    <definedName function="false" hidden="false" name="IQ_DA_INS" vbProcedure="false">"c257"</definedName>
    <definedName function="false" hidden="false" name="IQ_DA_REIT" vbProcedure="false">"c258"</definedName>
    <definedName function="false" hidden="false" name="IQ_DA_SUPPL" vbProcedure="false">"c259"</definedName>
    <definedName function="false" hidden="false" name="IQ_DA_SUPPL_BR" vbProcedure="false">"c260"</definedName>
    <definedName function="false" hidden="false" name="IQ_DA_SUPPL_CF" vbProcedure="false">"c261"</definedName>
    <definedName function="false" hidden="false" name="IQ_DA_SUPPL_CF_BNK" vbProcedure="false">"c262"</definedName>
    <definedName function="false" hidden="false" name="IQ_DA_SUPPL_CF_BR" vbProcedure="false">"c263"</definedName>
    <definedName function="false" hidden="false" name="IQ_DA_SUPPL_CF_FIN" vbProcedure="false">"c264"</definedName>
    <definedName function="false" hidden="false" name="IQ_DA_SUPPL_CF_INS" vbProcedure="false">"c265"</definedName>
    <definedName function="false" hidden="false" name="IQ_DA_SUPPL_CF_REIT" vbProcedure="false">"c266"</definedName>
    <definedName function="false" hidden="false" name="IQ_DA_SUPPL_CF_UTI" vbProcedure="false">"c267"</definedName>
    <definedName function="false" hidden="false" name="IQ_DA_SUPPL_FIN" vbProcedure="false">"c268"</definedName>
    <definedName function="false" hidden="false" name="IQ_DA_SUPPL_INS" vbProcedure="false">"c269"</definedName>
    <definedName function="false" hidden="false" name="IQ_DA_SUPPL_REIT" vbProcedure="false">"c270"</definedName>
    <definedName function="false" hidden="false" name="IQ_DA_SUPPL_UTI" vbProcedure="false">"c271"</definedName>
    <definedName function="false" hidden="false" name="IQ_DA_UTI" vbProcedure="false">"c272"</definedName>
    <definedName function="false" hidden="false" name="IQ_DEFERRED_DOMESTIC_TAXES" vbProcedure="false">"c2077"</definedName>
    <definedName function="false" hidden="false" name="IQ_DEFERRED_FOREIGN_TAXES" vbProcedure="false">"c2078"</definedName>
    <definedName function="false" hidden="false" name="IQ_DEFERRED_INC_TAX" vbProcedure="false">"c1447"</definedName>
    <definedName function="false" hidden="false" name="IQ_DEFERRED_TAXES" vbProcedure="false">"c1356"</definedName>
    <definedName function="false" hidden="false" name="IQ_DEF_ACQ_CST" vbProcedure="false">"c1364"</definedName>
    <definedName function="false" hidden="false" name="IQ_DEF_AMORT" vbProcedure="false">"c276"</definedName>
    <definedName function="false" hidden="false" name="IQ_DEF_AMORT_BNK" vbProcedure="false">"c277"</definedName>
    <definedName function="false" hidden="false" name="IQ_DEF_AMORT_BR" vbProcedure="false">"c278"</definedName>
    <definedName function="false" hidden="false" name="IQ_DEF_AMORT_FIN" vbProcedure="false">"c279"</definedName>
    <definedName function="false" hidden="false" name="IQ_DEF_AMORT_INS" vbProcedure="false">"c280"</definedName>
    <definedName function="false" hidden="false" name="IQ_DEF_AMORT_REIT" vbProcedure="false">"c281"</definedName>
    <definedName function="false" hidden="false" name="IQ_DEF_AMORT_UTI" vbProcedure="false">"c282"</definedName>
    <definedName function="false" hidden="false" name="IQ_DEF_BENEFIT_INTEREST_COST" vbProcedure="false">"c283"</definedName>
    <definedName function="false" hidden="false" name="IQ_DEF_BENEFIT_OTHER_COST" vbProcedure="false">"c284"</definedName>
    <definedName function="false" hidden="false" name="IQ_DEF_BENEFIT_ROA" vbProcedure="false">"c285"</definedName>
    <definedName function="false" hidden="false" name="IQ_DEF_BENEFIT_SERVICE_COST" vbProcedure="false">"c286"</definedName>
    <definedName function="false" hidden="false" name="IQ_DEF_BENEFIT_TOTAL_COST" vbProcedure="false">"c287"</definedName>
    <definedName function="false" hidden="false" name="IQ_DEF_CHARGES_BR" vbProcedure="false">"c288"</definedName>
    <definedName function="false" hidden="false" name="IQ_DEF_CHARGES_CF" vbProcedure="false">"c289"</definedName>
    <definedName function="false" hidden="false" name="IQ_DEF_CHARGES_FIN" vbProcedure="false">"c290"</definedName>
    <definedName function="false" hidden="false" name="IQ_DEF_CHARGES_INS" vbProcedure="false">"c291"</definedName>
    <definedName function="false" hidden="false" name="IQ_DEF_CHARGES_LT" vbProcedure="false">"c292"</definedName>
    <definedName function="false" hidden="false" name="IQ_DEF_CHARGES_LT_BNK" vbProcedure="false">"c293"</definedName>
    <definedName function="false" hidden="false" name="IQ_DEF_CHARGES_LT_BR" vbProcedure="false">"c294"</definedName>
    <definedName function="false" hidden="false" name="IQ_DEF_CHARGES_LT_FIN" vbProcedure="false">"c295"</definedName>
    <definedName function="false" hidden="false" name="IQ_DEF_CHARGES_LT_INS" vbProcedure="false">"c296"</definedName>
    <definedName function="false" hidden="false" name="IQ_DEF_CHARGES_LT_REIT" vbProcedure="false">"c297"</definedName>
    <definedName function="false" hidden="false" name="IQ_DEF_CHARGES_LT_UTI" vbProcedure="false">"c298"</definedName>
    <definedName function="false" hidden="false" name="IQ_DEF_CHARGES_REIT" vbProcedure="false">"c299"</definedName>
    <definedName function="false" hidden="false" name="IQ_DEF_CONTRIBUTION_TOTAL_COST" vbProcedure="false">"c300"</definedName>
    <definedName function="false" hidden="false" name="IQ_DEF_INC_TAX" vbProcedure="false">"c1365"</definedName>
    <definedName function="false" hidden="false" name="IQ_DEF_POLICY_ACQ_COSTS" vbProcedure="false">"c301"</definedName>
    <definedName function="false" hidden="false" name="IQ_DEF_POLICY_ACQ_COSTS_CF" vbProcedure="false">"c302"</definedName>
    <definedName function="false" hidden="false" name="IQ_DEF_POLICY_AMORT" vbProcedure="false">"c303"</definedName>
    <definedName function="false" hidden="false" name="IQ_DEF_TAX_ASSETS_CURRENT" vbProcedure="false">"c309"</definedName>
    <definedName function="false" hidden="false" name="IQ_DEF_TAX_ASSETS_LT" vbProcedure="false">"c310"</definedName>
    <definedName function="false" hidden="false" name="IQ_DEF_TAX_ASSETS_LT_BNK" vbProcedure="false">"c311"</definedName>
    <definedName function="false" hidden="false" name="IQ_DEF_TAX_ASSET_LT_BR" vbProcedure="false">"c304"</definedName>
    <definedName function="false" hidden="false" name="IQ_DEF_TAX_ASSET_LT_FIN" vbProcedure="false">"c305"</definedName>
    <definedName function="false" hidden="false" name="IQ_DEF_TAX_ASSET_LT_INS" vbProcedure="false">"c306"</definedName>
    <definedName function="false" hidden="false" name="IQ_DEF_TAX_ASSET_LT_REIT" vbProcedure="false">"c307"</definedName>
    <definedName function="false" hidden="false" name="IQ_DEF_TAX_ASSET_LT_UTI" vbProcedure="false">"c308"</definedName>
    <definedName function="false" hidden="false" name="IQ_DEF_TAX_LIAB_CURRENT" vbProcedure="false">"c312"</definedName>
    <definedName function="false" hidden="false" name="IQ_DEF_TAX_LIAB_LT" vbProcedure="false">"c313"</definedName>
    <definedName function="false" hidden="false" name="IQ_DEF_TAX_LIAB_LT_BNK" vbProcedure="false">"c314"</definedName>
    <definedName function="false" hidden="false" name="IQ_DEF_TAX_LIAB_LT_BR" vbProcedure="false">"c315"</definedName>
    <definedName function="false" hidden="false" name="IQ_DEF_TAX_LIAB_LT_FIN" vbProcedure="false">"c316"</definedName>
    <definedName function="false" hidden="false" name="IQ_DEF_TAX_LIAB_LT_INS" vbProcedure="false">"c317"</definedName>
    <definedName function="false" hidden="false" name="IQ_DEF_TAX_LIAB_LT_REIT" vbProcedure="false">"c318"</definedName>
    <definedName function="false" hidden="false" name="IQ_DEF_TAX_LIAB_LT_UTI" vbProcedure="false">"c319"</definedName>
    <definedName function="false" hidden="false" name="IQ_DEMAND_DEP" vbProcedure="false">"c320"</definedName>
    <definedName function="false" hidden="false" name="IQ_DEPOSITS_FIN" vbProcedure="false">"c321"</definedName>
    <definedName function="false" hidden="false" name="IQ_DEPRE_AMORT" vbProcedure="false">"c1360"</definedName>
    <definedName function="false" hidden="false" name="IQ_DEPRE_AMORT_SUPPL" vbProcedure="false">"c1593"</definedName>
    <definedName function="false" hidden="false" name="IQ_DEPRE_DEPLE" vbProcedure="false">"c1361"</definedName>
    <definedName function="false" hidden="false" name="IQ_DEPRE_SUPP" vbProcedure="false">"c1443"</definedName>
    <definedName function="false" hidden="false" name="IQ_DESCRIPTION_LONG" vbProcedure="false">"c1520"</definedName>
    <definedName function="false" hidden="false" name="IQ_DEVELOP_LAND" vbProcedure="false">"c323"</definedName>
    <definedName function="false" hidden="false" name="IQ_DIFF_LASTCLOSE_TARGET_PRICE" vbProcedure="false">"c1854"</definedName>
    <definedName function="false" hidden="false" name="IQ_DILUT_ADJUST" vbProcedure="false">"c1621"</definedName>
    <definedName function="false" hidden="false" name="IQ_DILUT_EPS_EXCL" vbProcedure="false">"c324"</definedName>
    <definedName function="false" hidden="false" name="IQ_DILUT_EPS_INCL" vbProcedure="false">"c325"</definedName>
    <definedName function="false" hidden="false" name="IQ_DILUT_EPS_NORM" vbProcedure="false">"c1903"</definedName>
    <definedName function="false" hidden="false" name="IQ_DILUT_NI" vbProcedure="false">"c2079"</definedName>
    <definedName function="false" hidden="false" name="IQ_DILUT_NORMAL_EPS" vbProcedure="false">"c1594"</definedName>
    <definedName function="false" hidden="false" name="IQ_DILUT_WEIGHT" vbProcedure="false">"c326"</definedName>
    <definedName function="false" hidden="false" name="IQ_DISCONT_OPER" vbProcedure="false">"c1367"</definedName>
    <definedName function="false" hidden="false" name="IQ_DISCOUNT_RATE_PENSION_DOMESTIC" vbProcedure="false">"c327"</definedName>
    <definedName function="false" hidden="false" name="IQ_DISCOUNT_RATE_PENSION_FOREIGN" vbProcedure="false">"c328"</definedName>
    <definedName function="false" hidden="false" name="IQ_DISTR_EXCESS_EARN" vbProcedure="false">"c329"</definedName>
    <definedName function="false" hidden="false" name="IQ_DIVEST_CF" vbProcedure="false">"c331"</definedName>
    <definedName function="false" hidden="false" name="IQ_DIVIDEND_YIELD" vbProcedure="false">"c332"</definedName>
    <definedName function="false" hidden="false" name="IQ_DIVID_SHARE" vbProcedure="false">"c1366"</definedName>
    <definedName function="false" hidden="false" name="IQ_DIV_PAYMENT_DATE" vbProcedure="false">"c2106"</definedName>
    <definedName function="false" hidden="false" name="IQ_DIV_RECORD_DATE" vbProcedure="false">"c2105"</definedName>
    <definedName function="false" hidden="false" name="IQ_DIV_SHARE" vbProcedure="false">"c330"</definedName>
    <definedName function="false" hidden="false" name="IQ_DNTM" vbProcedure="false">700000</definedName>
    <definedName function="false" hidden="false" name="IQ_DO" vbProcedure="false">"c333"</definedName>
    <definedName function="false" hidden="false" name="IQ_DO_ASSETS_CURRENT" vbProcedure="false">"c334"</definedName>
    <definedName function="false" hidden="false" name="IQ_DO_ASSETS_LT" vbProcedure="false">"c335"</definedName>
    <definedName function="false" hidden="false" name="IQ_DO_CF" vbProcedure="false">"c336"</definedName>
    <definedName function="false" hidden="false" name="IQ_DPS_10YR_ANN_GROWTH" vbProcedure="false">"c337"</definedName>
    <definedName function="false" hidden="false" name="IQ_DPS_1YR_ANN_GROWTH" vbProcedure="false">"c338"</definedName>
    <definedName function="false" hidden="false" name="IQ_DPS_2YR_ANN_GROWTH" vbProcedure="false">"c339"</definedName>
    <definedName function="false" hidden="false" name="IQ_DPS_3YR_ANN_GROWTH" vbProcedure="false">"c340"</definedName>
    <definedName function="false" hidden="false" name="IQ_DPS_5YR_ANN_GROWTH" vbProcedure="false">"c341"</definedName>
    <definedName function="false" hidden="false" name="IQ_DPS_7YR_ANN_GROWTH" vbProcedure="false">"c342"</definedName>
    <definedName function="false" hidden="false" name="IQ_DPS_EST" vbProcedure="false">"c1674"</definedName>
    <definedName function="false" hidden="false" name="IQ_DPS_HIGH_EST" vbProcedure="false">"c1676"</definedName>
    <definedName function="false" hidden="false" name="IQ_DPS_LOW_EST" vbProcedure="false">"c1677"</definedName>
    <definedName function="false" hidden="false" name="IQ_DPS_MEDIAN_EST" vbProcedure="false">"c1675"</definedName>
    <definedName function="false" hidden="false" name="IQ_DPS_NUM_EST" vbProcedure="false">"c1678"</definedName>
    <definedName function="false" hidden="false" name="IQ_DPS_STDDEV_EST" vbProcedure="false">"c1679"</definedName>
    <definedName function="false" hidden="false" name="IQ_EARNINGS_ANNOUNCE_DATE" vbProcedure="false">"c1649"</definedName>
    <definedName function="false" hidden="false" name="IQ_EARNING_ASSET_YIELD" vbProcedure="false">"c343"</definedName>
    <definedName function="false" hidden="false" name="IQ_EARNING_CO" vbProcedure="false">"c344"</definedName>
    <definedName function="false" hidden="false" name="IQ_EARNING_CO_10YR_ANN_GROWTH" vbProcedure="false">"c345"</definedName>
    <definedName function="false" hidden="false" name="IQ_EARNING_CO_1YR_ANN_GROWTH" vbProcedure="false">"c346"</definedName>
    <definedName function="false" hidden="false" name="IQ_EARNING_CO_2YR_ANN_GROWTH" vbProcedure="false">"c347"</definedName>
    <definedName function="false" hidden="false" name="IQ_EARNING_CO_3YR_ANN_GROWTH" vbProcedure="false">"c348"</definedName>
    <definedName function="false" hidden="false" name="IQ_EARNING_CO_5YR_ANN_GROWTH" vbProcedure="false">"c349"</definedName>
    <definedName function="false" hidden="false" name="IQ_EARNING_CO_7YR_ANN_GROWTH" vbProcedure="false">"c350"</definedName>
    <definedName function="false" hidden="false" name="IQ_EARNING_CO_MARGIN" vbProcedure="false">"c351"</definedName>
    <definedName function="false" hidden="false" name="IQ_EBIT" vbProcedure="false">"c352"</definedName>
    <definedName function="false" hidden="false" name="IQ_EBITA" vbProcedure="false">"c1910"</definedName>
    <definedName function="false" hidden="false" name="IQ_EBITA_10YR_ANN_GROWTH" vbProcedure="false">"c1954"</definedName>
    <definedName function="false" hidden="false" name="IQ_EBITA_1YR_ANN_GROWTH" vbProcedure="false">"c1949"</definedName>
    <definedName function="false" hidden="false" name="IQ_EBITA_2YR_ANN_GROWTH" vbProcedure="false">"c1950"</definedName>
    <definedName function="false" hidden="false" name="IQ_EBITA_3YR_ANN_GROWTH" vbProcedure="false">"c1951"</definedName>
    <definedName function="false" hidden="false" name="IQ_EBITA_5YR_ANN_GROWTH" vbProcedure="false">"c1952"</definedName>
    <definedName function="false" hidden="false" name="IQ_EBITA_7YR_ANN_GROWTH" vbProcedure="false">"c1953"</definedName>
    <definedName function="false" hidden="false" name="IQ_EBITA_MARGIN" vbProcedure="false">"c1963"</definedName>
    <definedName function="false" hidden="false" name="IQ_EBITDA" vbProcedure="false">"c361"</definedName>
    <definedName function="false" hidden="false" name="IQ_EBITDA_10YR_ANN_GROWTH" vbProcedure="false">"c362"</definedName>
    <definedName function="false" hidden="false" name="IQ_EBITDA_1YR_ANN_GROWTH" vbProcedure="false">"c363"</definedName>
    <definedName function="false" hidden="false" name="IQ_EBITDA_2YR_ANN_GROWTH" vbProcedure="false">"c364"</definedName>
    <definedName function="false" hidden="false" name="IQ_EBITDA_3YR_ANN_GROWTH" vbProcedure="false">"c365"</definedName>
    <definedName function="false" hidden="false" name="IQ_EBITDA_5YR_ANN_GROWTH" vbProcedure="false">"c366"</definedName>
    <definedName function="false" hidden="false" name="IQ_EBITDA_7YR_ANN_GROWTH" vbProcedure="false">"c367"</definedName>
    <definedName function="false" hidden="false" name="IQ_EBITDA_CAPEX_INT" vbProcedure="false">"c368"</definedName>
    <definedName function="false" hidden="false" name="IQ_EBITDA_CAPEX_OVER_TOTAL_IE" vbProcedure="false">"c1370"</definedName>
    <definedName function="false" hidden="false" name="IQ_EBITDA_EST" vbProcedure="false">"c369"</definedName>
    <definedName function="false" hidden="false" name="IQ_EBITDA_HIGH_EST" vbProcedure="false">"c370"</definedName>
    <definedName function="false" hidden="false" name="IQ_EBITDA_INT" vbProcedure="false">"c373"</definedName>
    <definedName function="false" hidden="false" name="IQ_EBITDA_LOW_EST" vbProcedure="false">"c371"</definedName>
    <definedName function="false" hidden="false" name="IQ_EBITDA_MARGIN" vbProcedure="false">"c372"</definedName>
    <definedName function="false" hidden="false" name="IQ_EBITDA_MEDIAN_EST" vbProcedure="false">"c1663"</definedName>
    <definedName function="false" hidden="false" name="IQ_EBITDA_NUM_EST" vbProcedure="false">"c374"</definedName>
    <definedName function="false" hidden="false" name="IQ_EBITDA_OVER_TOTAL_IE" vbProcedure="false">"c1371"</definedName>
    <definedName function="false" hidden="false" name="IQ_EBITDA_STDDEV_EST" vbProcedure="false">"c375"</definedName>
    <definedName function="false" hidden="false" name="IQ_EBIT_10YR_ANN_GROWTH" vbProcedure="false">"c353"</definedName>
    <definedName function="false" hidden="false" name="IQ_EBIT_1YR_ANN_GROWTH" vbProcedure="false">"c354"</definedName>
    <definedName function="false" hidden="false" name="IQ_EBIT_2YR_ANN_GROWTH" vbProcedure="false">"c355"</definedName>
    <definedName function="false" hidden="false" name="IQ_EBIT_3YR_ANN_GROWTH" vbProcedure="false">"c356"</definedName>
    <definedName function="false" hidden="false" name="IQ_EBIT_5YR_ANN_GROWTH" vbProcedure="false">"c357"</definedName>
    <definedName function="false" hidden="false" name="IQ_EBIT_7YR_ANN_GROWTH" vbProcedure="false">"c358"</definedName>
    <definedName function="false" hidden="false" name="IQ_EBIT_EST" vbProcedure="false">"c1681"</definedName>
    <definedName function="false" hidden="false" name="IQ_EBIT_HIGH_EST" vbProcedure="false">"c1683"</definedName>
    <definedName function="false" hidden="false" name="IQ_EBIT_INT" vbProcedure="false">"c360"</definedName>
    <definedName function="false" hidden="false" name="IQ_EBIT_LOW_EST" vbProcedure="false">"c1684"</definedName>
    <definedName function="false" hidden="false" name="IQ_EBIT_MARGIN" vbProcedure="false">"c359"</definedName>
    <definedName function="false" hidden="false" name="IQ_EBIT_MEDIAN_EST" vbProcedure="false">"c1682"</definedName>
    <definedName function="false" hidden="false" name="IQ_EBIT_NUM_EST" vbProcedure="false">"c1685"</definedName>
    <definedName function="false" hidden="false" name="IQ_EBIT_OVER_IE" vbProcedure="false">"c1369"</definedName>
    <definedName function="false" hidden="false" name="IQ_EBIT_STDDEV_EST" vbProcedure="false">"c1686"</definedName>
    <definedName function="false" hidden="false" name="IQ_EBT" vbProcedure="false">"c376"</definedName>
    <definedName function="false" hidden="false" name="IQ_EBT_BNK" vbProcedure="false">"c377"</definedName>
    <definedName function="false" hidden="false" name="IQ_EBT_BR" vbProcedure="false">"c378"</definedName>
    <definedName function="false" hidden="false" name="IQ_EBT_EXCL" vbProcedure="false">"c379"</definedName>
    <definedName function="false" hidden="false" name="IQ_EBT_EXCL_BNK" vbProcedure="false">"c380"</definedName>
    <definedName function="false" hidden="false" name="IQ_EBT_EXCL_BR" vbProcedure="false">"c381"</definedName>
    <definedName function="false" hidden="false" name="IQ_EBT_EXCL_FIN" vbProcedure="false">"c382"</definedName>
    <definedName function="false" hidden="false" name="IQ_EBT_EXCL_INS" vbProcedure="false">"c383"</definedName>
    <definedName function="false" hidden="false" name="IQ_EBT_EXCL_MARGIN" vbProcedure="false">"c1462"</definedName>
    <definedName function="false" hidden="false" name="IQ_EBT_EXCL_REIT" vbProcedure="false">"c384"</definedName>
    <definedName function="false" hidden="false" name="IQ_EBT_EXCL_UTI" vbProcedure="false">"c385"</definedName>
    <definedName function="false" hidden="false" name="IQ_EBT_FIN" vbProcedure="false">"c386"</definedName>
    <definedName function="false" hidden="false" name="IQ_EBT_INCL_MARGIN" vbProcedure="false">"c387"</definedName>
    <definedName function="false" hidden="false" name="IQ_EBT_INS" vbProcedure="false">"c388"</definedName>
    <definedName function="false" hidden="false" name="IQ_EBT_REIT" vbProcedure="false">"c389"</definedName>
    <definedName function="false" hidden="false" name="IQ_EBT_UTI" vbProcedure="false">"c390"</definedName>
    <definedName function="false" hidden="false" name="IQ_EFFECT_SPECIAL_CHARGE" vbProcedure="false">"c1595"</definedName>
    <definedName function="false" hidden="false" name="IQ_EFFECT_TAX_RATE" vbProcedure="false">"c1899"</definedName>
    <definedName function="false" hidden="false" name="IQ_EFFICIENCY_RATIO" vbProcedure="false">"c391"</definedName>
    <definedName function="false" hidden="false" name="IQ_EMPLOYEES" vbProcedure="false">"c392"</definedName>
    <definedName function="false" hidden="false" name="IQ_ENTERPRISE_VALUE" vbProcedure="false">"c1348"</definedName>
    <definedName function="false" hidden="false" name="IQ_EPS_10YR_ANN_GROWTH" vbProcedure="false">"c393"</definedName>
    <definedName function="false" hidden="false" name="IQ_EPS_1YR_ANN_GROWTH" vbProcedure="false">"c394"</definedName>
    <definedName function="false" hidden="false" name="IQ_EPS_2YR_ANN_GROWTH" vbProcedure="false">"c395"</definedName>
    <definedName function="false" hidden="false" name="IQ_EPS_3YR_ANN_GROWTH" vbProcedure="false">"c396"</definedName>
    <definedName function="false" hidden="false" name="IQ_EPS_5YR_ANN_GROWTH" vbProcedure="false">"c397"</definedName>
    <definedName function="false" hidden="false" name="IQ_EPS_7YR_ANN_GROWTH" vbProcedure="false">"c398"</definedName>
    <definedName function="false" hidden="false" name="IQ_EPS_EST" vbProcedure="false">"c399"</definedName>
    <definedName function="false" hidden="false" name="IQ_EPS_GW_EST" vbProcedure="false">"c1737"</definedName>
    <definedName function="false" hidden="false" name="IQ_EPS_GW_HIGH_EST" vbProcedure="false">"c1739"</definedName>
    <definedName function="false" hidden="false" name="IQ_EPS_GW_LOW_EST" vbProcedure="false">"c1740"</definedName>
    <definedName function="false" hidden="false" name="IQ_EPS_GW_MEDIAN_EST" vbProcedure="false">"c1738"</definedName>
    <definedName function="false" hidden="false" name="IQ_EPS_GW_NUM_EST" vbProcedure="false">"c1741"</definedName>
    <definedName function="false" hidden="false" name="IQ_EPS_GW_STDDEV_EST" vbProcedure="false">"c1742"</definedName>
    <definedName function="false" hidden="false" name="IQ_EPS_HIGH_EST" vbProcedure="false">"c400"</definedName>
    <definedName function="false" hidden="false" name="IQ_EPS_LOW_EST" vbProcedure="false">"c401"</definedName>
    <definedName function="false" hidden="false" name="IQ_EPS_MEDIAN_EST" vbProcedure="false">"c1661"</definedName>
    <definedName function="false" hidden="false" name="IQ_EPS_NORM" vbProcedure="false">"c1902"</definedName>
    <definedName function="false" hidden="false" name="IQ_EPS_NUM_EST" vbProcedure="false">"c402"</definedName>
    <definedName function="false" hidden="false" name="IQ_EPS_REPORTED_EST" vbProcedure="false">"c1744"</definedName>
    <definedName function="false" hidden="false" name="IQ_EPS_REPORTED_HIGH_EST" vbProcedure="false">"c1746"</definedName>
    <definedName function="false" hidden="false" name="IQ_EPS_REPORTED_LOW_EST" vbProcedure="false">"c1747"</definedName>
    <definedName function="false" hidden="false" name="IQ_EPS_REPORTED_MEDIAN_EST" vbProcedure="false">"c1745"</definedName>
    <definedName function="false" hidden="false" name="IQ_EPS_REPORTED_NUM_EST" vbProcedure="false">"c1748"</definedName>
    <definedName function="false" hidden="false" name="IQ_EPS_REPORTED_STDDEV_EST" vbProcedure="false">"c1749"</definedName>
    <definedName function="false" hidden="false" name="IQ_EPS_STDDEV_EST" vbProcedure="false">"c403"</definedName>
    <definedName function="false" hidden="false" name="IQ_EQUITY_AFFIL" vbProcedure="false">"c1451"</definedName>
    <definedName function="false" hidden="false" name="IQ_EQUITY_METHOD" vbProcedure="false">"c404"</definedName>
    <definedName function="false" hidden="false" name="IQ_EQV_OVER_BV" vbProcedure="false">"c1596"</definedName>
    <definedName function="false" hidden="false" name="IQ_EQV_OVER_LTM_PRETAX_INC" vbProcedure="false">"c1390"</definedName>
    <definedName function="false" hidden="false" name="IQ_ESOP_DEBT" vbProcedure="false">"c1597"</definedName>
    <definedName function="false" hidden="false" name="IQ_EST_ACT_CFPS" vbProcedure="false">"c1673"</definedName>
    <definedName function="false" hidden="false" name="IQ_EST_ACT_DPS" vbProcedure="false">"c1680"</definedName>
    <definedName function="false" hidden="false" name="IQ_EST_ACT_EBIT" vbProcedure="false">"c1687"</definedName>
    <definedName function="false" hidden="false" name="IQ_EST_ACT_EBITDA" vbProcedure="false">"c1664"</definedName>
    <definedName function="false" hidden="false" name="IQ_EST_ACT_EPS" vbProcedure="false">"c1648"</definedName>
    <definedName function="false" hidden="false" name="IQ_EST_ACT_EPS_GW" vbProcedure="false">"c1743"</definedName>
    <definedName function="false" hidden="false" name="IQ_EST_ACT_EPS_REPORTED" vbProcedure="false">"c1750"</definedName>
    <definedName function="false" hidden="false" name="IQ_EST_ACT_FFO" vbProcedure="false">"c1666"</definedName>
    <definedName function="false" hidden="false" name="IQ_EST_ACT_NAV" vbProcedure="false">"c1757"</definedName>
    <definedName function="false" hidden="false" name="IQ_EST_ACT_NI" vbProcedure="false">"c1722"</definedName>
    <definedName function="false" hidden="false" name="IQ_EST_ACT_NI_GW" vbProcedure="false">"c1729"</definedName>
    <definedName function="false" hidden="false" name="IQ_EST_ACT_NI_REPORTED" vbProcedure="false">"c1736"</definedName>
    <definedName function="false" hidden="false" name="IQ_EST_ACT_OPER_INC" vbProcedure="false">"c1694"</definedName>
    <definedName function="false" hidden="false" name="IQ_EST_ACT_PRETAX_GW_INC" vbProcedure="false">"c1708"</definedName>
    <definedName function="false" hidden="false" name="IQ_EST_ACT_PRETAX_INC" vbProcedure="false">"c1701"</definedName>
    <definedName function="false" hidden="false" name="IQ_EST_ACT_PRETAX_REPORT_INC" vbProcedure="false">"c1715"</definedName>
    <definedName function="false" hidden="false" name="IQ_EST_ACT_REV" vbProcedure="false">"c2113"</definedName>
    <definedName function="false" hidden="false" name="IQ_EST_CFPS_DIFF" vbProcedure="false">"c1871"</definedName>
    <definedName function="false" hidden="false" name="IQ_EST_CFPS_GROWTH_1YR" vbProcedure="false">"c1774"</definedName>
    <definedName function="false" hidden="false" name="IQ_EST_CFPS_GROWTH_2YR" vbProcedure="false">"c1775"</definedName>
    <definedName function="false" hidden="false" name="IQ_EST_CFPS_GROWTH_Q_1YR" vbProcedure="false">"c1776"</definedName>
    <definedName function="false" hidden="false" name="IQ_EST_CFPS_SEQ_GROWTH_Q" vbProcedure="false">"c1777"</definedName>
    <definedName function="false" hidden="false" name="IQ_EST_CFPS_SURPRISE_PERCENT" vbProcedure="false">"c1872"</definedName>
    <definedName function="false" hidden="false" name="IQ_EST_CURRENCY" vbProcedure="false">"c2140"</definedName>
    <definedName function="false" hidden="false" name="IQ_EST_DATE" vbProcedure="false">"c1634"</definedName>
    <definedName function="false" hidden="false" name="IQ_EST_DPS_DIFF" vbProcedure="false">"c1873"</definedName>
    <definedName function="false" hidden="false" name="IQ_EST_DPS_GROWTH_1YR" vbProcedure="false">"c1778"</definedName>
    <definedName function="false" hidden="false" name="IQ_EST_DPS_GROWTH_2YR" vbProcedure="false">"c1779"</definedName>
    <definedName function="false" hidden="false" name="IQ_EST_DPS_GROWTH_Q_1YR" vbProcedure="false">"c1780"</definedName>
    <definedName function="false" hidden="false" name="IQ_EST_DPS_SEQ_GROWTH_Q" vbProcedure="false">"c1781"</definedName>
    <definedName function="false" hidden="false" name="IQ_EST_DPS_SURPRISE_PERCENT" vbProcedure="false">"c1874"</definedName>
    <definedName function="false" hidden="false" name="IQ_EST_EBITDA_DIFF" vbProcedure="false">"c1867"</definedName>
    <definedName function="false" hidden="false" name="IQ_EST_EBITDA_GROWTH_1YR" vbProcedure="false">"c1766"</definedName>
    <definedName function="false" hidden="false" name="IQ_EST_EBITDA_GROWTH_2YR" vbProcedure="false">"c1767"</definedName>
    <definedName function="false" hidden="false" name="IQ_EST_EBITDA_GROWTH_Q_1YR" vbProcedure="false">"c1768"</definedName>
    <definedName function="false" hidden="false" name="IQ_EST_EBITDA_SEQ_GROWTH_Q" vbProcedure="false">"c1769"</definedName>
    <definedName function="false" hidden="false" name="IQ_EST_EBITDA_SURPRISE_PERCENT" vbProcedure="false">"c1868"</definedName>
    <definedName function="false" hidden="false" name="IQ_EST_EBIT_DIFF" vbProcedure="false">"c1875"</definedName>
    <definedName function="false" hidden="false" name="IQ_EST_EBIT_SURPRISE_PERCENT" vbProcedure="false">"c1876"</definedName>
    <definedName function="false" hidden="false" name="IQ_EST_EPS_DIFF" vbProcedure="false">"c1864"</definedName>
    <definedName function="false" hidden="false" name="IQ_EST_EPS_GROWTH_1YR" vbProcedure="false">"c1636"</definedName>
    <definedName function="false" hidden="false" name="IQ_EST_EPS_GROWTH_2YR" vbProcedure="false">"c1637"</definedName>
    <definedName function="false" hidden="false" name="IQ_EST_EPS_GROWTH_5YR" vbProcedure="false">"c1655"</definedName>
    <definedName function="false" hidden="false" name="IQ_EST_EPS_GROWTH_5YR_HIGH" vbProcedure="false">"c1657"</definedName>
    <definedName function="false" hidden="false" name="IQ_EST_EPS_GROWTH_5YR_LOW" vbProcedure="false">"c1658"</definedName>
    <definedName function="false" hidden="false" name="IQ_EST_EPS_GROWTH_5YR_MEDIAN" vbProcedure="false">"c1656"</definedName>
    <definedName function="false" hidden="false" name="IQ_EST_EPS_GROWTH_5YR_NUM" vbProcedure="false">"c1659"</definedName>
    <definedName function="false" hidden="false" name="IQ_EST_EPS_GROWTH_5YR_STDDEV" vbProcedure="false">"c1660"</definedName>
    <definedName function="false" hidden="false" name="IQ_EST_EPS_GROWTH_Q_1YR" vbProcedure="false">"c1641"</definedName>
    <definedName function="false" hidden="false" name="IQ_EST_EPS_GW_DIFF" vbProcedure="false">"c1891"</definedName>
    <definedName function="false" hidden="false" name="IQ_EST_EPS_GW_SURPRISE_PERCENT" vbProcedure="false">"c1892"</definedName>
    <definedName function="false" hidden="false" name="IQ_EST_EPS_REPORT_DIFF" vbProcedure="false">"c1893"</definedName>
    <definedName function="false" hidden="false" name="IQ_EST_EPS_REPORT_SURPRISE_PERCENT" vbProcedure="false">"c1894"</definedName>
    <definedName function="false" hidden="false" name="IQ_EST_EPS_SEQ_GROWTH_Q" vbProcedure="false">"c1764"</definedName>
    <definedName function="false" hidden="false" name="IQ_EST_EPS_SURPRISE_PERCENT" vbProcedure="false">"c1635"</definedName>
    <definedName function="false" hidden="false" name="IQ_EST_FFO_DIFF" vbProcedure="false">"c1869"</definedName>
    <definedName function="false" hidden="false" name="IQ_EST_FFO_GROWTH_1YR" vbProcedure="false">"c1770"</definedName>
    <definedName function="false" hidden="false" name="IQ_EST_FFO_GROWTH_2YR" vbProcedure="false">"c1771"</definedName>
    <definedName function="false" hidden="false" name="IQ_EST_FFO_GROWTH_Q_1YR" vbProcedure="false">"c1772"</definedName>
    <definedName function="false" hidden="false" name="IQ_EST_FFO_SEQ_GROWTH_Q" vbProcedure="false">"c1773"</definedName>
    <definedName function="false" hidden="false" name="IQ_EST_FFO_SURPRISE_PERCENT" vbProcedure="false">"c1870"</definedName>
    <definedName function="false" hidden="false" name="IQ_EST_NAV_DIFF" vbProcedure="false">"c1895"</definedName>
    <definedName function="false" hidden="false" name="IQ_EST_NAV_SURPRISE_PERCENT" vbProcedure="false">"c1896"</definedName>
    <definedName function="false" hidden="false" name="IQ_EST_NI_DIFF" vbProcedure="false">"c1885"</definedName>
    <definedName function="false" hidden="false" name="IQ_EST_NI_GW_DIFF" vbProcedure="false">"c1887"</definedName>
    <definedName function="false" hidden="false" name="IQ_EST_NI_GW_SURPRISE_PERCENT" vbProcedure="false">"c1888"</definedName>
    <definedName function="false" hidden="false" name="IQ_EST_NI_REPORT_DIFF" vbProcedure="false">"c1889"</definedName>
    <definedName function="false" hidden="false" name="IQ_EST_NI_REPORT_SURPRISE_PERCENT" vbProcedure="false">"c1890"</definedName>
    <definedName function="false" hidden="false" name="IQ_EST_NI_SURPRISE_PERCENT" vbProcedure="false">"c1886"</definedName>
    <definedName function="false" hidden="false" name="IQ_EST_NUM_BUY" vbProcedure="false">"c1759"</definedName>
    <definedName function="false" hidden="false" name="IQ_EST_NUM_HOLD" vbProcedure="false">"c1761"</definedName>
    <definedName function="false" hidden="false" name="IQ_EST_NUM_NO_OPINION" vbProcedure="false">"c1758"</definedName>
    <definedName function="false" hidden="false" name="IQ_EST_NUM_OUTPERFORM" vbProcedure="false">"c1760"</definedName>
    <definedName function="false" hidden="false" name="IQ_EST_NUM_SELL" vbProcedure="false">"c1763"</definedName>
    <definedName function="false" hidden="false" name="IQ_EST_NUM_UNDERPERFORM" vbProcedure="false">"c1762"</definedName>
    <definedName function="false" hidden="false" name="IQ_EST_OPER_INC_DIFF" vbProcedure="false">"c1877"</definedName>
    <definedName function="false" hidden="false" name="IQ_EST_OPER_INC_SURPRISE_PERCENT" vbProcedure="false">"c1878"</definedName>
    <definedName function="false" hidden="false" name="IQ_EST_PRE_TAX_DIFF" vbProcedure="false">"c1879"</definedName>
    <definedName function="false" hidden="false" name="IQ_EST_PRE_TAX_GW_DIFF" vbProcedure="false">"c1881"</definedName>
    <definedName function="false" hidden="false" name="IQ_EST_PRE_TAX_GW_SURPRISE_PERCENT" vbProcedure="false">"c1882"</definedName>
    <definedName function="false" hidden="false" name="IQ_EST_PRE_TAX_REPORT_DIFF" vbProcedure="false">"c1883"</definedName>
    <definedName function="false" hidden="false" name="IQ_EST_PRE_TAX_REPORT_SURPRISE_PERCENT" vbProcedure="false">"c1884"</definedName>
    <definedName function="false" hidden="false" name="IQ_EST_PRE_TAX_SURPRISE_PERCENT" vbProcedure="false">"c1880"</definedName>
    <definedName function="false" hidden="false" name="IQ_EST_REV_DIFF" vbProcedure="false">"c1865"</definedName>
    <definedName function="false" hidden="false" name="IQ_EST_REV_GROWTH_1YR" vbProcedure="false">"c1638"</definedName>
    <definedName function="false" hidden="false" name="IQ_EST_REV_GROWTH_2YR" vbProcedure="false">"c1639"</definedName>
    <definedName function="false" hidden="false" name="IQ_EST_REV_GROWTH_Q_1YR" vbProcedure="false">"c1640"</definedName>
    <definedName function="false" hidden="false" name="IQ_EST_REV_SEQ_GROWTH_Q" vbProcedure="false">"c1765"</definedName>
    <definedName function="false" hidden="false" name="IQ_EST_REV_SURPRISE_PERCENT" vbProcedure="false">"c1866"</definedName>
    <definedName function="false" hidden="false" name="IQ_EV_OVER_EMPLOYEE" vbProcedure="false">"c1428"</definedName>
    <definedName function="false" hidden="false" name="IQ_EV_OVER_LTM_EBIT" vbProcedure="false">"c1426"</definedName>
    <definedName function="false" hidden="false" name="IQ_EV_OVER_LTM_EBITDA" vbProcedure="false">"c1427"</definedName>
    <definedName function="false" hidden="false" name="IQ_EV_OVER_LTM_REVENUE" vbProcedure="false">"c1429"</definedName>
    <definedName function="false" hidden="false" name="IQ_EXCHANGE" vbProcedure="false">"c405"</definedName>
    <definedName function="false" hidden="false" name="IQ_EXERCISED" vbProcedure="false">"c406"</definedName>
    <definedName function="false" hidden="false" name="IQ_EXERCISE_PRICE" vbProcedure="false">"c1897"</definedName>
    <definedName function="false" hidden="false" name="IQ_EXPENSE_CODE_" vbProcedure="false">"3033525 New Business"</definedName>
    <definedName function="false" hidden="false" name="IQ_EXPLORE_DRILL" vbProcedure="false">"c409"</definedName>
    <definedName function="false" hidden="false" name="IQ_EXP_RETURN_PENSION_DOMESTIC" vbProcedure="false">"c407"</definedName>
    <definedName function="false" hidden="false" name="IQ_EXP_RETURN_PENSION_FOREIGN" vbProcedure="false">"c408"</definedName>
    <definedName function="false" hidden="false" name="IQ_EXTRA_ACC_ITEMS" vbProcedure="false">"c410"</definedName>
    <definedName function="false" hidden="false" name="IQ_EXTRA_ACC_ITEMS_BNK" vbProcedure="false">"c411"</definedName>
    <definedName function="false" hidden="false" name="IQ_EXTRA_ACC_ITEMS_BR" vbProcedure="false">"c412"</definedName>
    <definedName function="false" hidden="false" name="IQ_EXTRA_ACC_ITEMS_FIN" vbProcedure="false">"c413"</definedName>
    <definedName function="false" hidden="false" name="IQ_EXTRA_ACC_ITEMS_INS" vbProcedure="false">"c414"</definedName>
    <definedName function="false" hidden="false" name="IQ_EXTRA_ACC_ITEMS_REIT" vbProcedure="false">"c415"</definedName>
    <definedName function="false" hidden="false" name="IQ_EXTRA_ACC_ITEMS_UTI" vbProcedure="false">"c416"</definedName>
    <definedName function="false" hidden="false" name="IQ_EXTRA_ITEMS" vbProcedure="false">"c1459"</definedName>
    <definedName function="false" hidden="false" name="IQ_FDIC" vbProcedure="false">"c417"</definedName>
    <definedName function="false" hidden="false" name="IQ_FFO" vbProcedure="false">"c1574"</definedName>
    <definedName function="false" hidden="false" name="IQ_FFO_EST" vbProcedure="false">"c418"</definedName>
    <definedName function="false" hidden="false" name="IQ_FFO_HIGH_EST" vbProcedure="false">"c419"</definedName>
    <definedName function="false" hidden="false" name="IQ_FFO_LOW_EST" vbProcedure="false">"c420"</definedName>
    <definedName function="false" hidden="false" name="IQ_FFO_MEDIAN_EST" vbProcedure="false">"c1665"</definedName>
    <definedName function="false" hidden="false" name="IQ_FFO_NUM_EST" vbProcedure="false">"c421"</definedName>
    <definedName function="false" hidden="false" name="IQ_FFO_STDDEV_EST" vbProcedure="false">"c422"</definedName>
    <definedName function="false" hidden="false" name="IQ_FH" vbProcedure="false">100000</definedName>
    <definedName function="false" hidden="false" name="IQ_FHLB_DEBT" vbProcedure="false">"c423"</definedName>
    <definedName function="false" hidden="false" name="IQ_FHLB_DUE_CY" vbProcedure="false">"c2080"</definedName>
    <definedName function="false" hidden="false" name="IQ_FHLB_DUE_CY1" vbProcedure="false">"c2081"</definedName>
    <definedName function="false" hidden="false" name="IQ_FHLB_DUE_CY2" vbProcedure="false">"c2082"</definedName>
    <definedName function="false" hidden="false" name="IQ_FHLB_DUE_CY3" vbProcedure="false">"c2083"</definedName>
    <definedName function="false" hidden="false" name="IQ_FHLB_DUE_CY4" vbProcedure="false">"c2084"</definedName>
    <definedName function="false" hidden="false" name="IQ_FHLB_DUE_NEXT_FIVE" vbProcedure="false">"c2085"</definedName>
    <definedName function="false" hidden="false" name="IQ_FILINGDATE_BS" vbProcedure="false">"c424"</definedName>
    <definedName function="false" hidden="false" name="IQ_FILINGDATE_CF" vbProcedure="false">"c425"</definedName>
    <definedName function="false" hidden="false" name="IQ_FILINGDATE_IS" vbProcedure="false">"c426"</definedName>
    <definedName function="false" hidden="false" name="IQ_FILING_CURRENCY" vbProcedure="false">"c2129"</definedName>
    <definedName function="false" hidden="false" name="IQ_FINANCING_CASH" vbProcedure="false">"c1405"</definedName>
    <definedName function="false" hidden="false" name="IQ_FINANCING_CASH_SUPPL" vbProcedure="false">"c1406"</definedName>
    <definedName function="false" hidden="false" name="IQ_FINISHED_INV" vbProcedure="false">"c438"</definedName>
    <definedName function="false" hidden="false" name="IQ_FIN_DIV_ASSETS_CURRENT" vbProcedure="false">"c427"</definedName>
    <definedName function="false" hidden="false" name="IQ_FIN_DIV_ASSETS_LT" vbProcedure="false">"c428"</definedName>
    <definedName function="false" hidden="false" name="IQ_FIN_DIV_DEBT_CURRENT" vbProcedure="false">"c429"</definedName>
    <definedName function="false" hidden="false" name="IQ_FIN_DIV_DEBT_LT" vbProcedure="false">"c430"</definedName>
    <definedName function="false" hidden="false" name="IQ_FIN_DIV_EXP" vbProcedure="false">"c431"</definedName>
    <definedName function="false" hidden="false" name="IQ_FIN_DIV_INT_EXP" vbProcedure="false">"c432"</definedName>
    <definedName function="false" hidden="false" name="IQ_FIN_DIV_LIAB_CURRENT" vbProcedure="false">"c433"</definedName>
    <definedName function="false" hidden="false" name="IQ_FIN_DIV_LIAB_LT" vbProcedure="false">"c434"</definedName>
    <definedName function="false" hidden="false" name="IQ_FIN_DIV_LOANS_CURRENT" vbProcedure="false">"c435"</definedName>
    <definedName function="false" hidden="false" name="IQ_FIN_DIV_LOANS_LT" vbProcedure="false">"c436"</definedName>
    <definedName function="false" hidden="false" name="IQ_FIN_DIV_REV" vbProcedure="false">"c437"</definedName>
    <definedName function="false" hidden="false" name="IQ_FIRST_YEAR_LIFE" vbProcedure="false">"c439"</definedName>
    <definedName function="false" hidden="false" name="IQ_FISCAL_Q" vbProcedure="false">"c440"</definedName>
    <definedName function="false" hidden="false" name="IQ_FISCAL_Y" vbProcedure="false">"c441"</definedName>
    <definedName function="false" hidden="false" name="IQ_FIVEPERCENT_PERCENT" vbProcedure="false">"c443"</definedName>
    <definedName function="false" hidden="false" name="IQ_FIVEPERCENT_SHARES" vbProcedure="false">"c444"</definedName>
    <definedName function="false" hidden="false" name="IQ_FIVE_PERCENT_OWNER" vbProcedure="false">"c442"</definedName>
    <definedName function="false" hidden="false" name="IQ_FIXED_ASSET_TURNS" vbProcedure="false">"c445"</definedName>
    <definedName function="false" hidden="false" name="IQ_FLOAT_PERCENT" vbProcedure="false">"c1575"</definedName>
    <definedName function="false" hidden="false" name="IQ_FOREIGN_DEP_IB" vbProcedure="false">"c446"</definedName>
    <definedName function="false" hidden="false" name="IQ_FOREIGN_DEP_NON_IB" vbProcedure="false">"c447"</definedName>
    <definedName function="false" hidden="false" name="IQ_FOREIGN_EXCHANGE" vbProcedure="false">"c1376"</definedName>
    <definedName function="false" hidden="false" name="IQ_FOREIGN_LOANS" vbProcedure="false">"c448"</definedName>
    <definedName function="false" hidden="false" name="IQ_FQ" vbProcedure="false">500</definedName>
    <definedName function="false" hidden="false" name="IQ_FUEL" vbProcedure="false">"c449"</definedName>
    <definedName function="false" hidden="false" name="IQ_FULL_TIME" vbProcedure="false">"c450"</definedName>
    <definedName function="false" hidden="false" name="IQ_FWD_CY" vbProcedure="false">10001</definedName>
    <definedName function="false" hidden="false" name="IQ_FWD_CY1" vbProcedure="false">10002</definedName>
    <definedName function="false" hidden="false" name="IQ_FWD_CY2" vbProcedure="false">10003</definedName>
    <definedName function="false" hidden="false" name="IQ_FWD_FY" vbProcedure="false">1001</definedName>
    <definedName function="false" hidden="false" name="IQ_FWD_FY1" vbProcedure="false">1002</definedName>
    <definedName function="false" hidden="false" name="IQ_FWD_FY2" vbProcedure="false">1003</definedName>
    <definedName function="false" hidden="false" name="IQ_FWD_Q" vbProcedure="false">501</definedName>
    <definedName function="false" hidden="false" name="IQ_FWD_Q1" vbProcedure="false">502</definedName>
    <definedName function="false" hidden="false" name="IQ_FWD_Q2" vbProcedure="false">503</definedName>
    <definedName function="false" hidden="false" name="IQ_FX" vbProcedure="false">"c451"</definedName>
    <definedName function="false" hidden="false" name="IQ_FY" vbProcedure="false">1000</definedName>
    <definedName function="false" hidden="false" name="IQ_GAIN_ASSETS" vbProcedure="false">"c452"</definedName>
    <definedName function="false" hidden="false" name="IQ_GAIN_ASSETS_BNK" vbProcedure="false">"c453"</definedName>
    <definedName function="false" hidden="false" name="IQ_GAIN_ASSETS_BR" vbProcedure="false">"c454"</definedName>
    <definedName function="false" hidden="false" name="IQ_GAIN_ASSETS_CF" vbProcedure="false">"c455"</definedName>
    <definedName function="false" hidden="false" name="IQ_GAIN_ASSETS_CF_BNK" vbProcedure="false">"c456"</definedName>
    <definedName function="false" hidden="false" name="IQ_GAIN_ASSETS_CF_BR" vbProcedure="false">"c457"</definedName>
    <definedName function="false" hidden="false" name="IQ_GAIN_ASSETS_CF_FIN" vbProcedure="false">"c458"</definedName>
    <definedName function="false" hidden="false" name="IQ_GAIN_ASSETS_CF_INS" vbProcedure="false">"c459"</definedName>
    <definedName function="false" hidden="false" name="IQ_GAIN_ASSETS_CF_REIT" vbProcedure="false">"c460"</definedName>
    <definedName function="false" hidden="false" name="IQ_GAIN_ASSETS_CF_UTI" vbProcedure="false">"c461"</definedName>
    <definedName function="false" hidden="false" name="IQ_GAIN_ASSETS_FIN" vbProcedure="false">"c462"</definedName>
    <definedName function="false" hidden="false" name="IQ_GAIN_ASSETS_INS" vbProcedure="false">"c463"</definedName>
    <definedName function="false" hidden="false" name="IQ_GAIN_ASSETS_REIT" vbProcedure="false">"c471"</definedName>
    <definedName function="false" hidden="false" name="IQ_GAIN_ASSETS_REV" vbProcedure="false">"c472"</definedName>
    <definedName function="false" hidden="false" name="IQ_GAIN_ASSETS_REV_BNK" vbProcedure="false">"c473"</definedName>
    <definedName function="false" hidden="false" name="IQ_GAIN_ASSETS_REV_BR" vbProcedure="false">"c474"</definedName>
    <definedName function="false" hidden="false" name="IQ_GAIN_ASSETS_REV_FIN" vbProcedure="false">"c475"</definedName>
    <definedName function="false" hidden="false" name="IQ_GAIN_ASSETS_REV_INS" vbProcedure="false">"c476"</definedName>
    <definedName function="false" hidden="false" name="IQ_GAIN_ASSETS_REV_REIT" vbProcedure="false">"c477"</definedName>
    <definedName function="false" hidden="false" name="IQ_GAIN_ASSETS_REV_UTI" vbProcedure="false">"c478"</definedName>
    <definedName function="false" hidden="false" name="IQ_GAIN_ASSETS_UTI" vbProcedure="false">"c479"</definedName>
    <definedName function="false" hidden="false" name="IQ_GAIN_INVEST" vbProcedure="false">"c1463"</definedName>
    <definedName function="false" hidden="false" name="IQ_GAIN_INVEST_BNK" vbProcedure="false">"c1582"</definedName>
    <definedName function="false" hidden="false" name="IQ_GAIN_INVEST_BR" vbProcedure="false">"c1464"</definedName>
    <definedName function="false" hidden="false" name="IQ_GAIN_INVEST_CF" vbProcedure="false">"c480"</definedName>
    <definedName function="false" hidden="false" name="IQ_GAIN_INVEST_CF_BNK" vbProcedure="false">"c481"</definedName>
    <definedName function="false" hidden="false" name="IQ_GAIN_INVEST_CF_BR" vbProcedure="false">"c482"</definedName>
    <definedName function="false" hidden="false" name="IQ_GAIN_INVEST_CF_FIN" vbProcedure="false">"c483"</definedName>
    <definedName function="false" hidden="false" name="IQ_GAIN_INVEST_CF_INS" vbProcedure="false">"c484"</definedName>
    <definedName function="false" hidden="false" name="IQ_GAIN_INVEST_CF_REIT" vbProcedure="false">"c485"</definedName>
    <definedName function="false" hidden="false" name="IQ_GAIN_INVEST_CF_UTI" vbProcedure="false">"c486"</definedName>
    <definedName function="false" hidden="false" name="IQ_GAIN_INVEST_FIN" vbProcedure="false">"c1465"</definedName>
    <definedName function="false" hidden="false" name="IQ_GAIN_INVEST_INS" vbProcedure="false">"c1466"</definedName>
    <definedName function="false" hidden="false" name="IQ_GAIN_INVEST_REIT" vbProcedure="false">"c1467"</definedName>
    <definedName function="false" hidden="false" name="IQ_GAIN_INVEST_REV" vbProcedure="false">"c494"</definedName>
    <definedName function="false" hidden="false" name="IQ_GAIN_INVEST_REV_BNK" vbProcedure="false">"c495"</definedName>
    <definedName function="false" hidden="false" name="IQ_GAIN_INVEST_REV_BR" vbProcedure="false">"c496"</definedName>
    <definedName function="false" hidden="false" name="IQ_GAIN_INVEST_REV_FIN" vbProcedure="false">"c497"</definedName>
    <definedName function="false" hidden="false" name="IQ_GAIN_INVEST_REV_INS" vbProcedure="false">"c498"</definedName>
    <definedName function="false" hidden="false" name="IQ_GAIN_INVEST_REV_REIT" vbProcedure="false">"c499"</definedName>
    <definedName function="false" hidden="false" name="IQ_GAIN_INVEST_REV_UTI" vbProcedure="false">"c500"</definedName>
    <definedName function="false" hidden="false" name="IQ_GAIN_INVEST_UTI" vbProcedure="false">"c1468"</definedName>
    <definedName function="false" hidden="false" name="IQ_GAIN_LOANS_REC" vbProcedure="false">"c501"</definedName>
    <definedName function="false" hidden="false" name="IQ_GAIN_LOANS_RECEIV" vbProcedure="false">"c502"</definedName>
    <definedName function="false" hidden="false" name="IQ_GAIN_LOANS_RECEIV_REV_FIN" vbProcedure="false">"c503"</definedName>
    <definedName function="false" hidden="false" name="IQ_GAIN_LOANS_REV" vbProcedure="false">"c504"</definedName>
    <definedName function="false" hidden="false" name="IQ_GAIN_SALE_ASSETS" vbProcedure="false">"c1377"</definedName>
    <definedName function="false" hidden="false" name="IQ_GOODWILL_NET" vbProcedure="false">"c1380"</definedName>
    <definedName function="false" hidden="false" name="IQ_GP" vbProcedure="false">"c511"</definedName>
    <definedName function="false" hidden="false" name="IQ_GPPE" vbProcedure="false">"c518"</definedName>
    <definedName function="false" hidden="false" name="IQ_GP_10YR_ANN_GROWTH" vbProcedure="false">"c512"</definedName>
    <definedName function="false" hidden="false" name="IQ_GP_1YR_ANN_GROWTH" vbProcedure="false">"c513"</definedName>
    <definedName function="false" hidden="false" name="IQ_GP_2YR_ANN_GROWTH" vbProcedure="false">"c514"</definedName>
    <definedName function="false" hidden="false" name="IQ_GP_3YR_ANN_GROWTH" vbProcedure="false">"c515"</definedName>
    <definedName function="false" hidden="false" name="IQ_GP_5YR_ANN_GROWTH" vbProcedure="false">"c516"</definedName>
    <definedName function="false" hidden="false" name="IQ_GP_7YR_ANN_GROWTH" vbProcedure="false">"c517"</definedName>
    <definedName function="false" hidden="false" name="IQ_GROSS_DIVID" vbProcedure="false">"c1446"</definedName>
    <definedName function="false" hidden="false" name="IQ_GROSS_LOANS" vbProcedure="false">"c521"</definedName>
    <definedName function="false" hidden="false" name="IQ_GROSS_LOANS_10YR_ANN_GROWTH" vbProcedure="false">"c522"</definedName>
    <definedName function="false" hidden="false" name="IQ_GROSS_LOANS_1YR_ANN_GROWTH" vbProcedure="false">"c523"</definedName>
    <definedName function="false" hidden="false" name="IQ_GROSS_LOANS_2YR_ANN_GROWTH" vbProcedure="false">"c524"</definedName>
    <definedName function="false" hidden="false" name="IQ_GROSS_LOANS_3YR_ANN_GROWTH" vbProcedure="false">"c525"</definedName>
    <definedName function="false" hidden="false" name="IQ_GROSS_LOANS_5YR_ANN_GROWTH" vbProcedure="false">"c526"</definedName>
    <definedName function="false" hidden="false" name="IQ_GROSS_LOANS_7YR_ANN_GROWTH" vbProcedure="false">"c527"</definedName>
    <definedName function="false" hidden="false" name="IQ_GROSS_LOANS_TOTAL_DEPOSITS" vbProcedure="false">"c528"</definedName>
    <definedName function="false" hidden="false" name="IQ_GROSS_MARGIN" vbProcedure="false">"c529"</definedName>
    <definedName function="false" hidden="false" name="IQ_GROSS_PROFIT" vbProcedure="false">"c1378"</definedName>
    <definedName function="false" hidden="false" name="IQ_GW" vbProcedure="false">"c530"</definedName>
    <definedName function="false" hidden="false" name="IQ_GW_AMORT_BR" vbProcedure="false">"c532"</definedName>
    <definedName function="false" hidden="false" name="IQ_GW_AMORT_FIN" vbProcedure="false">"c540"</definedName>
    <definedName function="false" hidden="false" name="IQ_GW_AMORT_INS" vbProcedure="false">"c541"</definedName>
    <definedName function="false" hidden="false" name="IQ_GW_AMORT_REIT" vbProcedure="false">"c542"</definedName>
    <definedName function="false" hidden="false" name="IQ_GW_AMORT_UTI" vbProcedure="false">"c543"</definedName>
    <definedName function="false" hidden="false" name="IQ_GW_INTAN_AMORT" vbProcedure="false">"c1469"</definedName>
    <definedName function="false" hidden="false" name="IQ_GW_INTAN_AMORT_BNK" vbProcedure="false">"c544"</definedName>
    <definedName function="false" hidden="false" name="IQ_GW_INTAN_AMORT_BR" vbProcedure="false">"c1470"</definedName>
    <definedName function="false" hidden="false" name="IQ_GW_INTAN_AMORT_CF" vbProcedure="false">"c1471"</definedName>
    <definedName function="false" hidden="false" name="IQ_GW_INTAN_AMORT_CF_BNK" vbProcedure="false">"c1472"</definedName>
    <definedName function="false" hidden="false" name="IQ_GW_INTAN_AMORT_CF_BR" vbProcedure="false">"c1473"</definedName>
    <definedName function="false" hidden="false" name="IQ_GW_INTAN_AMORT_CF_FIN" vbProcedure="false">"c1474"</definedName>
    <definedName function="false" hidden="false" name="IQ_GW_INTAN_AMORT_CF_INS" vbProcedure="false">"c1475"</definedName>
    <definedName function="false" hidden="false" name="IQ_GW_INTAN_AMORT_CF_REIT" vbProcedure="false">"c1476"</definedName>
    <definedName function="false" hidden="false" name="IQ_GW_INTAN_AMORT_CF_UTI" vbProcedure="false">"c1477"</definedName>
    <definedName function="false" hidden="false" name="IQ_GW_INTAN_AMORT_FIN" vbProcedure="false">"c1478"</definedName>
    <definedName function="false" hidden="false" name="IQ_GW_INTAN_AMORT_INS" vbProcedure="false">"c1479"</definedName>
    <definedName function="false" hidden="false" name="IQ_GW_INTAN_AMORT_REIT" vbProcedure="false">"c1480"</definedName>
    <definedName function="false" hidden="false" name="IQ_GW_INTAN_AMORT_UTI" vbProcedure="false">"c1481"</definedName>
    <definedName function="false" hidden="false" name="IQ_HIGHPRICE" vbProcedure="false">"c545"</definedName>
    <definedName function="false" hidden="false" name="IQ_HIGH_TARGET_PRICE" vbProcedure="false">"c1651"</definedName>
    <definedName function="false" hidden="false" name="IQ_HOMEOWNERS_WRITTEN" vbProcedure="false">"c546"</definedName>
    <definedName function="false" hidden="false" name="IQ_IMPAIRMENT_GW" vbProcedure="false">"c548"</definedName>
    <definedName function="false" hidden="false" name="IQ_IMPAIR_OIL" vbProcedure="false">"c547"</definedName>
    <definedName function="false" hidden="false" name="IQ_INC_AFTER_TAX" vbProcedure="false">"c1598"</definedName>
    <definedName function="false" hidden="false" name="IQ_INC_AVAIL_EXCL" vbProcedure="false">"c1395"</definedName>
    <definedName function="false" hidden="false" name="IQ_INC_AVAIL_INCL" vbProcedure="false">"c1396"</definedName>
    <definedName function="false" hidden="false" name="IQ_INC_BEFORE_TAX" vbProcedure="false">"c1375"</definedName>
    <definedName function="false" hidden="false" name="IQ_INC_EQUITY" vbProcedure="false">"c549"</definedName>
    <definedName function="false" hidden="false" name="IQ_INC_EQUITY_BR" vbProcedure="false">"c550"</definedName>
    <definedName function="false" hidden="false" name="IQ_INC_EQUITY_CF" vbProcedure="false">"c551"</definedName>
    <definedName function="false" hidden="false" name="IQ_INC_EQUITY_FIN" vbProcedure="false">"c552"</definedName>
    <definedName function="false" hidden="false" name="IQ_INC_EQUITY_INS" vbProcedure="false">"c553"</definedName>
    <definedName function="false" hidden="false" name="IQ_INC_EQUITY_REC_BNK" vbProcedure="false">"c554"</definedName>
    <definedName function="false" hidden="false" name="IQ_INC_EQUITY_REIT" vbProcedure="false">"c555"</definedName>
    <definedName function="false" hidden="false" name="IQ_INC_EQUITY_REV_BNK" vbProcedure="false">"c556"</definedName>
    <definedName function="false" hidden="false" name="IQ_INC_EQUITY_UTI" vbProcedure="false">"c557"</definedName>
    <definedName function="false" hidden="false" name="IQ_INC_REAL_ESTATE_REC" vbProcedure="false">"c558"</definedName>
    <definedName function="false" hidden="false" name="IQ_INC_REAL_ESTATE_REV" vbProcedure="false">"c559"</definedName>
    <definedName function="false" hidden="false" name="IQ_INC_TAX" vbProcedure="false">"c560"</definedName>
    <definedName function="false" hidden="false" name="IQ_INC_TAX_EXCL" vbProcedure="false">"c1599"</definedName>
    <definedName function="false" hidden="false" name="IQ_INC_TAX_PAY_CURRENT" vbProcedure="false">"c561"</definedName>
    <definedName function="false" hidden="false" name="IQ_INC_TRADE_ACT" vbProcedure="false">"c562"</definedName>
    <definedName function="false" hidden="false" name="IQ_INSIDER_3MTH_BOUGHT_PCT" vbProcedure="false">"c1534"</definedName>
    <definedName function="false" hidden="false" name="IQ_INSIDER_3MTH_NET_PCT" vbProcedure="false">"c1535"</definedName>
    <definedName function="false" hidden="false" name="IQ_INSIDER_3MTH_SOLD_PCT" vbProcedure="false">"c1533"</definedName>
    <definedName function="false" hidden="false" name="IQ_INSIDER_6MTH_BOUGHT_PCT" vbProcedure="false">"c1537"</definedName>
    <definedName function="false" hidden="false" name="IQ_INSIDER_6MTH_NET_PCT" vbProcedure="false">"c1538"</definedName>
    <definedName function="false" hidden="false" name="IQ_INSIDER_6MTH_SOLD_PCT" vbProcedure="false">"c1536"</definedName>
    <definedName function="false" hidden="false" name="IQ_INSIDER_OVER_TOTAL" vbProcedure="false">"c1581"</definedName>
    <definedName function="false" hidden="false" name="IQ_INSIDER_OWNER" vbProcedure="false">"c577"</definedName>
    <definedName function="false" hidden="false" name="IQ_INSIDER_PERCENT" vbProcedure="false">"c578"</definedName>
    <definedName function="false" hidden="false" name="IQ_INSIDER_SHARES" vbProcedure="false">"c579"</definedName>
    <definedName function="false" hidden="false" name="IQ_INSTITUTIONAL_OVER_TOTAL" vbProcedure="false">"c1580"</definedName>
    <definedName function="false" hidden="false" name="IQ_INSTITUTIONAL_OWNER" vbProcedure="false">"c580"</definedName>
    <definedName function="false" hidden="false" name="IQ_INSTITUTIONAL_PERCENT" vbProcedure="false">"c581"</definedName>
    <definedName function="false" hidden="false" name="IQ_INSTITUTIONAL_SHARES" vbProcedure="false">"c582"</definedName>
    <definedName function="false" hidden="false" name="IQ_INSUR_RECEIV" vbProcedure="false">"c1600"</definedName>
    <definedName function="false" hidden="false" name="IQ_INS_ANNUITY_LIAB" vbProcedure="false">"c563"</definedName>
    <definedName function="false" hidden="false" name="IQ_INS_DIV_EXP" vbProcedure="false">"c564"</definedName>
    <definedName function="false" hidden="false" name="IQ_INS_DIV_REV" vbProcedure="false">"c565"</definedName>
    <definedName function="false" hidden="false" name="IQ_INS_IN_FORCE" vbProcedure="false">"c566"</definedName>
    <definedName function="false" hidden="false" name="IQ_INS_LIAB" vbProcedure="false">"c567"</definedName>
    <definedName function="false" hidden="false" name="IQ_INS_POLICY_EXP" vbProcedure="false">"c568"</definedName>
    <definedName function="false" hidden="false" name="IQ_INS_REV" vbProcedure="false">"c569"</definedName>
    <definedName function="false" hidden="false" name="IQ_INS_SETTLE" vbProcedure="false">"c570"</definedName>
    <definedName function="false" hidden="false" name="IQ_INS_SETTLE_BNK" vbProcedure="false">"c571"</definedName>
    <definedName function="false" hidden="false" name="IQ_INS_SETTLE_BR" vbProcedure="false">"c572"</definedName>
    <definedName function="false" hidden="false" name="IQ_INS_SETTLE_FIN" vbProcedure="false">"c573"</definedName>
    <definedName function="false" hidden="false" name="IQ_INS_SETTLE_INS" vbProcedure="false">"c574"</definedName>
    <definedName function="false" hidden="false" name="IQ_INS_SETTLE_REIT" vbProcedure="false">"c575"</definedName>
    <definedName function="false" hidden="false" name="IQ_INS_SETTLE_UTI" vbProcedure="false">"c576"</definedName>
    <definedName function="false" hidden="false" name="IQ_INTANGIBLES_NET" vbProcedure="false">"c1407"</definedName>
    <definedName function="false" hidden="false" name="IQ_INTEREST_EXP" vbProcedure="false">"c618"</definedName>
    <definedName function="false" hidden="false" name="IQ_INTEREST_EXP_NET" vbProcedure="false">"c1450"</definedName>
    <definedName function="false" hidden="false" name="IQ_INTEREST_EXP_NON" vbProcedure="false">"c1383"</definedName>
    <definedName function="false" hidden="false" name="IQ_INTEREST_EXP_SUPPL" vbProcedure="false">"c1460"</definedName>
    <definedName function="false" hidden="false" name="IQ_INTEREST_INC" vbProcedure="false">"c1393"</definedName>
    <definedName function="false" hidden="false" name="IQ_INTEREST_INC_NON" vbProcedure="false">"c1384"</definedName>
    <definedName function="false" hidden="false" name="IQ_INTEREST_INVEST_INC" vbProcedure="false">"c619"</definedName>
    <definedName function="false" hidden="false" name="IQ_INT_BORROW" vbProcedure="false">"c583"</definedName>
    <definedName function="false" hidden="false" name="IQ_INT_DEPOSITS" vbProcedure="false">"c584"</definedName>
    <definedName function="false" hidden="false" name="IQ_INT_DIV_INC" vbProcedure="false">"c585"</definedName>
    <definedName function="false" hidden="false" name="IQ_INT_EXP_BR" vbProcedure="false">"c586"</definedName>
    <definedName function="false" hidden="false" name="IQ_INT_EXP_COVERAGE" vbProcedure="false">"c587"</definedName>
    <definedName function="false" hidden="false" name="IQ_INT_EXP_FIN" vbProcedure="false">"c588"</definedName>
    <definedName function="false" hidden="false" name="IQ_INT_EXP_INS" vbProcedure="false">"c589"</definedName>
    <definedName function="false" hidden="false" name="IQ_INT_EXP_LTD" vbProcedure="false">"c2086"</definedName>
    <definedName function="false" hidden="false" name="IQ_INT_EXP_REIT" vbProcedure="false">"c590"</definedName>
    <definedName function="false" hidden="false" name="IQ_INT_EXP_TOTAL" vbProcedure="false">"c591"</definedName>
    <definedName function="false" hidden="false" name="IQ_INT_EXP_UTI" vbProcedure="false">"c592"</definedName>
    <definedName function="false" hidden="false" name="IQ_INT_INC_BR" vbProcedure="false">"c593"</definedName>
    <definedName function="false" hidden="false" name="IQ_INT_INC_FIN" vbProcedure="false">"c594"</definedName>
    <definedName function="false" hidden="false" name="IQ_INT_INC_INVEST" vbProcedure="false">"c595"</definedName>
    <definedName function="false" hidden="false" name="IQ_INT_INC_LOANS" vbProcedure="false">"c596"</definedName>
    <definedName function="false" hidden="false" name="IQ_INT_INC_REIT" vbProcedure="false">"c597"</definedName>
    <definedName function="false" hidden="false" name="IQ_INT_INC_TOTAL" vbProcedure="false">"c598"</definedName>
    <definedName function="false" hidden="false" name="IQ_INT_INC_UTI" vbProcedure="false">"c599"</definedName>
    <definedName function="false" hidden="false" name="IQ_INT_INV_INC" vbProcedure="false">"c600"</definedName>
    <definedName function="false" hidden="false" name="IQ_INT_INV_INC_REIT" vbProcedure="false">"c601"</definedName>
    <definedName function="false" hidden="false" name="IQ_INT_INV_INC_UTI" vbProcedure="false">"c602"</definedName>
    <definedName function="false" hidden="false" name="IQ_INT_ON_BORROWING_COVERAGE" vbProcedure="false">"c603"</definedName>
    <definedName function="false" hidden="false" name="IQ_INT_RATE_SPREAD" vbProcedure="false">"c604"</definedName>
    <definedName function="false" hidden="false" name="IQ_INVENTORY" vbProcedure="false">"c622"</definedName>
    <definedName function="false" hidden="false" name="IQ_INVENTORY_TURNS" vbProcedure="false">"c623"</definedName>
    <definedName function="false" hidden="false" name="IQ_INVENTORY_UTI" vbProcedure="false">"c624"</definedName>
    <definedName function="false" hidden="false" name="IQ_INVEST_DEBT" vbProcedure="false">"c625"</definedName>
    <definedName function="false" hidden="false" name="IQ_INVEST_EQUITY_PREF" vbProcedure="false">"c626"</definedName>
    <definedName function="false" hidden="false" name="IQ_INVEST_FHLB" vbProcedure="false">"c627"</definedName>
    <definedName function="false" hidden="false" name="IQ_INVEST_LOANS_CF" vbProcedure="false">"c628"</definedName>
    <definedName function="false" hidden="false" name="IQ_INVEST_LOANS_CF_BNK" vbProcedure="false">"c629"</definedName>
    <definedName function="false" hidden="false" name="IQ_INVEST_LOANS_CF_BR" vbProcedure="false">"c630"</definedName>
    <definedName function="false" hidden="false" name="IQ_INVEST_LOANS_CF_FIN" vbProcedure="false">"c631"</definedName>
    <definedName function="false" hidden="false" name="IQ_INVEST_LOANS_CF_INS" vbProcedure="false">"c632"</definedName>
    <definedName function="false" hidden="false" name="IQ_INVEST_LOANS_CF_REIT" vbProcedure="false">"c633"</definedName>
    <definedName function="false" hidden="false" name="IQ_INVEST_LOANS_CF_UTI" vbProcedure="false">"c634"</definedName>
    <definedName function="false" hidden="false" name="IQ_INVEST_REAL_ESTATE" vbProcedure="false">"c635"</definedName>
    <definedName function="false" hidden="false" name="IQ_INVEST_SECURITY" vbProcedure="false">"c636"</definedName>
    <definedName function="false" hidden="false" name="IQ_INVEST_SECURITY_CF" vbProcedure="false">"c637"</definedName>
    <definedName function="false" hidden="false" name="IQ_INVEST_SECURITY_CF_BNK" vbProcedure="false">"c638"</definedName>
    <definedName function="false" hidden="false" name="IQ_INVEST_SECURITY_CF_BR" vbProcedure="false">"c639"</definedName>
    <definedName function="false" hidden="false" name="IQ_INVEST_SECURITY_CF_FIN" vbProcedure="false">"c640"</definedName>
    <definedName function="false" hidden="false" name="IQ_INVEST_SECURITY_CF_INS" vbProcedure="false">"c641"</definedName>
    <definedName function="false" hidden="false" name="IQ_INVEST_SECURITY_CF_REIT" vbProcedure="false">"c642"</definedName>
    <definedName function="false" hidden="false" name="IQ_INVEST_SECURITY_CF_UTI" vbProcedure="false">"c643"</definedName>
    <definedName function="false" hidden="false" name="IQ_INV_10YR_ANN_GROWTH" vbProcedure="false">"c1930"</definedName>
    <definedName function="false" hidden="false" name="IQ_INV_1YR_ANN_GROWTH" vbProcedure="false">"c1925"</definedName>
    <definedName function="false" hidden="false" name="IQ_INV_2YR_ANN_GROWTH" vbProcedure="false">"c1926"</definedName>
    <definedName function="false" hidden="false" name="IQ_INV_3YR_ANN_GROWTH" vbProcedure="false">"c1927"</definedName>
    <definedName function="false" hidden="false" name="IQ_INV_5YR_ANN_GROWTH" vbProcedure="false">"c1928"</definedName>
    <definedName function="false" hidden="false" name="IQ_INV_7YR_ANN_GROWTH" vbProcedure="false">"c1929"</definedName>
    <definedName function="false" hidden="false" name="IQ_INV_BANKING_FEE" vbProcedure="false">"c620"</definedName>
    <definedName function="false" hidden="false" name="IQ_INV_METHOD" vbProcedure="false">"c621"</definedName>
    <definedName function="false" hidden="false" name="IQ_IPRD" vbProcedure="false">"c644"</definedName>
    <definedName function="false" hidden="false" name="IQ_ISS_DEBT_NET" vbProcedure="false">"c1391"</definedName>
    <definedName function="false" hidden="false" name="IQ_ISS_STOCK_NET" vbProcedure="false">"c1601"</definedName>
    <definedName function="false" hidden="false" name="IQ_LAND" vbProcedure="false">"c645"</definedName>
    <definedName function="false" hidden="false" name="IQ_LASTSALEPRICE" vbProcedure="false">"c646"</definedName>
    <definedName function="false" hidden="false" name="IQ_LASTSALEPRICE_DATE" vbProcedure="false">"c2109"</definedName>
    <definedName function="false" hidden="false" name="IQ_LAST_SPLIT_DATE" vbProcedure="false">"c2095"</definedName>
    <definedName function="false" hidden="false" name="IQ_LAST_SPLIT_FACTOR" vbProcedure="false">"c2093"</definedName>
    <definedName function="false" hidden="false" name="IQ_LATESTK" vbProcedure="false">1000</definedName>
    <definedName function="false" hidden="false" name="IQ_LATESTQ" vbProcedure="false">500</definedName>
    <definedName function="false" hidden="false" name="IQ_LEGAL_SETTLE" vbProcedure="false">"c647"</definedName>
    <definedName function="false" hidden="false" name="IQ_LEGAL_SETTLE_BNK" vbProcedure="false">"c648"</definedName>
    <definedName function="false" hidden="false" name="IQ_LEGAL_SETTLE_BR" vbProcedure="false">"c649"</definedName>
    <definedName function="false" hidden="false" name="IQ_LEGAL_SETTLE_FIN" vbProcedure="false">"c650"</definedName>
    <definedName function="false" hidden="false" name="IQ_LEGAL_SETTLE_INS" vbProcedure="false">"c651"</definedName>
    <definedName function="false" hidden="false" name="IQ_LEGAL_SETTLE_REIT" vbProcedure="false">"c652"</definedName>
    <definedName function="false" hidden="false" name="IQ_LEGAL_SETTLE_UTI" vbProcedure="false">"c653"</definedName>
    <definedName function="false" hidden="false" name="IQ_LEVERAGE_RATIO" vbProcedure="false">"c654"</definedName>
    <definedName function="false" hidden="false" name="IQ_LEVERED_FCF" vbProcedure="false">"c1907"</definedName>
    <definedName function="false" hidden="false" name="IQ_LFCF_10YR_ANN_GROWTH" vbProcedure="false">"c1942"</definedName>
    <definedName function="false" hidden="false" name="IQ_LFCF_1YR_ANN_GROWTH" vbProcedure="false">"c1937"</definedName>
    <definedName function="false" hidden="false" name="IQ_LFCF_2YR_ANN_GROWTH" vbProcedure="false">"c1938"</definedName>
    <definedName function="false" hidden="false" name="IQ_LFCF_3YR_ANN_GROWTH" vbProcedure="false">"c1939"</definedName>
    <definedName function="false" hidden="false" name="IQ_LFCF_5YR_ANN_GROWTH" vbProcedure="false">"c1940"</definedName>
    <definedName function="false" hidden="false" name="IQ_LFCF_7YR_ANN_GROWTH" vbProcedure="false">"c1941"</definedName>
    <definedName function="false" hidden="false" name="IQ_LFCF_MARGIN" vbProcedure="false">"c1961"</definedName>
    <definedName function="false" hidden="false" name="IQ_LICENSED_POPS" vbProcedure="false">"c2123"</definedName>
    <definedName function="false" hidden="false" name="IQ_LIFOR" vbProcedure="false">"c655"</definedName>
    <definedName function="false" hidden="false" name="IQ_LL" vbProcedure="false">"c656"</definedName>
    <definedName function="false" hidden="false" name="IQ_LOANS_CF" vbProcedure="false">"c659"</definedName>
    <definedName function="false" hidden="false" name="IQ_LOANS_CF_BNK" vbProcedure="false">"c660"</definedName>
    <definedName function="false" hidden="false" name="IQ_LOANS_CF_BR" vbProcedure="false">"c661"</definedName>
    <definedName function="false" hidden="false" name="IQ_LOANS_CF_FIN" vbProcedure="false">"c662"</definedName>
    <definedName function="false" hidden="false" name="IQ_LOANS_CF_INS" vbProcedure="false">"c663"</definedName>
    <definedName function="false" hidden="false" name="IQ_LOANS_CF_REIT" vbProcedure="false">"c664"</definedName>
    <definedName function="false" hidden="false" name="IQ_LOANS_CF_UTI" vbProcedure="false">"c665"</definedName>
    <definedName function="false" hidden="false" name="IQ_LOANS_FOR_SALE" vbProcedure="false">"c666"</definedName>
    <definedName function="false" hidden="false" name="IQ_LOANS_PAST_DUE" vbProcedure="false">"c667"</definedName>
    <definedName function="false" hidden="false" name="IQ_LOANS_RECEIV_CURRENT" vbProcedure="false">"c668"</definedName>
    <definedName function="false" hidden="false" name="IQ_LOANS_RECEIV_LT" vbProcedure="false">"c669"</definedName>
    <definedName function="false" hidden="false" name="IQ_LOANS_RECEIV_LT_UTI" vbProcedure="false">"c670"</definedName>
    <definedName function="false" hidden="false" name="IQ_LOAN_LEASE_RECEIV" vbProcedure="false">"c657"</definedName>
    <definedName function="false" hidden="false" name="IQ_LOAN_LOSS" vbProcedure="false">"c1386"</definedName>
    <definedName function="false" hidden="false" name="IQ_LOAN_SERVICE_REV" vbProcedure="false">"c658"</definedName>
    <definedName function="false" hidden="false" name="IQ_LONG_TERM_DEBT" vbProcedure="false">"c1387"</definedName>
    <definedName function="false" hidden="false" name="IQ_LONG_TERM_DEBT_OVER_TOTAL_CAP" vbProcedure="false">"c1388"</definedName>
    <definedName function="false" hidden="false" name="IQ_LONG_TERM_GROWTH" vbProcedure="false">"c671"</definedName>
    <definedName function="false" hidden="false" name="IQ_LONG_TERM_INV" vbProcedure="false">"c1389"</definedName>
    <definedName function="false" hidden="false" name="IQ_LOSS_LOSS_EXP" vbProcedure="false">"c672"</definedName>
    <definedName function="false" hidden="false" name="IQ_LOWPRICE" vbProcedure="false">"c673"</definedName>
    <definedName function="false" hidden="false" name="IQ_LOW_TARGET_PRICE" vbProcedure="false">"c1652"</definedName>
    <definedName function="false" hidden="false" name="IQ_LTD_DUE_AFTER_FIVE" vbProcedure="false">"c704"</definedName>
    <definedName function="false" hidden="false" name="IQ_LTD_DUE_CY" vbProcedure="false">"c705"</definedName>
    <definedName function="false" hidden="false" name="IQ_LTD_DUE_CY1" vbProcedure="false">"c706"</definedName>
    <definedName function="false" hidden="false" name="IQ_LTD_DUE_CY2" vbProcedure="false">"c707"</definedName>
    <definedName function="false" hidden="false" name="IQ_LTD_DUE_CY3" vbProcedure="false">"c708"</definedName>
    <definedName function="false" hidden="false" name="IQ_LTD_DUE_CY4" vbProcedure="false">"c709"</definedName>
    <definedName function="false" hidden="false" name="IQ_LTD_DUE_NEXT_FIVE" vbProcedure="false">"c710"</definedName>
    <definedName function="false" hidden="false" name="IQ_LTM" vbProcedure="false">2000</definedName>
    <definedName function="false" hidden="false" name="IQ_LTMMONTH" vbProcedure="false">120000</definedName>
    <definedName function="false" hidden="false" name="IQ_LTM_REVENUE_OVER_EMPLOYEES" vbProcedure="false">"c1437"</definedName>
    <definedName function="false" hidden="false" name="IQ_LT_DEBT" vbProcedure="false">"c674"</definedName>
    <definedName function="false" hidden="false" name="IQ_LT_DEBT_BNK" vbProcedure="false">"c675"</definedName>
    <definedName function="false" hidden="false" name="IQ_LT_DEBT_BR" vbProcedure="false">"c676"</definedName>
    <definedName function="false" hidden="false" name="IQ_LT_DEBT_CAPITAL" vbProcedure="false">"c677"</definedName>
    <definedName function="false" hidden="false" name="IQ_LT_DEBT_EQUITY" vbProcedure="false">"c678"</definedName>
    <definedName function="false" hidden="false" name="IQ_LT_DEBT_FIN" vbProcedure="false">"c679"</definedName>
    <definedName function="false" hidden="false" name="IQ_LT_DEBT_INS" vbProcedure="false">"c680"</definedName>
    <definedName function="false" hidden="false" name="IQ_LT_DEBT_ISSUED" vbProcedure="false">"c681"</definedName>
    <definedName function="false" hidden="false" name="IQ_LT_DEBT_ISSUED_BNK" vbProcedure="false">"c682"</definedName>
    <definedName function="false" hidden="false" name="IQ_LT_DEBT_ISSUED_BR" vbProcedure="false">"c683"</definedName>
    <definedName function="false" hidden="false" name="IQ_LT_DEBT_ISSUED_FIN" vbProcedure="false">"c684"</definedName>
    <definedName function="false" hidden="false" name="IQ_LT_DEBT_ISSUED_INS" vbProcedure="false">"c685"</definedName>
    <definedName function="false" hidden="false" name="IQ_LT_DEBT_ISSUED_REIT" vbProcedure="false">"c686"</definedName>
    <definedName function="false" hidden="false" name="IQ_LT_DEBT_ISSUED_UTI" vbProcedure="false">"c687"</definedName>
    <definedName function="false" hidden="false" name="IQ_LT_DEBT_REIT" vbProcedure="false">"c688"</definedName>
    <definedName function="false" hidden="false" name="IQ_LT_DEBT_REPAID" vbProcedure="false">"c689"</definedName>
    <definedName function="false" hidden="false" name="IQ_LT_DEBT_REPAID_BNK" vbProcedure="false">"c690"</definedName>
    <definedName function="false" hidden="false" name="IQ_LT_DEBT_REPAID_BR" vbProcedure="false">"c691"</definedName>
    <definedName function="false" hidden="false" name="IQ_LT_DEBT_REPAID_FIN" vbProcedure="false">"c692"</definedName>
    <definedName function="false" hidden="false" name="IQ_LT_DEBT_REPAID_INS" vbProcedure="false">"c693"</definedName>
    <definedName function="false" hidden="false" name="IQ_LT_DEBT_REPAID_REIT" vbProcedure="false">"c694"</definedName>
    <definedName function="false" hidden="false" name="IQ_LT_DEBT_REPAID_UTI" vbProcedure="false">"c695"</definedName>
    <definedName function="false" hidden="false" name="IQ_LT_DEBT_UTI" vbProcedure="false">"c696"</definedName>
    <definedName function="false" hidden="false" name="IQ_LT_INVEST" vbProcedure="false">"c697"</definedName>
    <definedName function="false" hidden="false" name="IQ_LT_INVEST_BR" vbProcedure="false">"c698"</definedName>
    <definedName function="false" hidden="false" name="IQ_LT_INVEST_FIN" vbProcedure="false">"c699"</definedName>
    <definedName function="false" hidden="false" name="IQ_LT_INVEST_REIT" vbProcedure="false">"c700"</definedName>
    <definedName function="false" hidden="false" name="IQ_LT_INVEST_UTI" vbProcedure="false">"c701"</definedName>
    <definedName function="false" hidden="false" name="IQ_LT_NOTE_RECEIV" vbProcedure="false">"c1602"</definedName>
    <definedName function="false" hidden="false" name="IQ_MACHINERY" vbProcedure="false">"c711"</definedName>
    <definedName function="false" hidden="false" name="IQ_MAINT_REPAIR" vbProcedure="false">"c2087"</definedName>
    <definedName function="false" hidden="false" name="IQ_MARKETCAP" vbProcedure="false">"c712"</definedName>
    <definedName function="false" hidden="false" name="IQ_MEDIAN_TARGET_PRICE" vbProcedure="false">"c1650"</definedName>
    <definedName function="false" hidden="false" name="IQ_MERGER" vbProcedure="false">"c713"</definedName>
    <definedName function="false" hidden="false" name="IQ_MERGER_BNK" vbProcedure="false">"c714"</definedName>
    <definedName function="false" hidden="false" name="IQ_MERGER_BR" vbProcedure="false">"c715"</definedName>
    <definedName function="false" hidden="false" name="IQ_MERGER_FIN" vbProcedure="false">"c716"</definedName>
    <definedName function="false" hidden="false" name="IQ_MERGER_INS" vbProcedure="false">"c717"</definedName>
    <definedName function="false" hidden="false" name="IQ_MERGER_REIT" vbProcedure="false">"c718"</definedName>
    <definedName function="false" hidden="false" name="IQ_MERGER_RESTRUCTURE" vbProcedure="false">"c719"</definedName>
    <definedName function="false" hidden="false" name="IQ_MERGER_RESTRUCTURE_BNK" vbProcedure="false">"c720"</definedName>
    <definedName function="false" hidden="false" name="IQ_MERGER_RESTRUCTURE_BR" vbProcedure="false">"c721"</definedName>
    <definedName function="false" hidden="false" name="IQ_MERGER_RESTRUCTURE_FIN" vbProcedure="false">"c722"</definedName>
    <definedName function="false" hidden="false" name="IQ_MERGER_RESTRUCTURE_INS" vbProcedure="false">"c723"</definedName>
    <definedName function="false" hidden="false" name="IQ_MERGER_RESTRUCTURE_REIT" vbProcedure="false">"c724"</definedName>
    <definedName function="false" hidden="false" name="IQ_MERGER_RESTRUCTURE_UTI" vbProcedure="false">"c725"</definedName>
    <definedName function="false" hidden="false" name="IQ_MERGER_UTI" vbProcedure="false">"c726"</definedName>
    <definedName function="false" hidden="false" name="IQ_MINORITY_INTEREST" vbProcedure="false">"c727"</definedName>
    <definedName function="false" hidden="false" name="IQ_MINORITY_INTEREST_BNK" vbProcedure="false">"c728"</definedName>
    <definedName function="false" hidden="false" name="IQ_MINORITY_INTEREST_BR" vbProcedure="false">"c729"</definedName>
    <definedName function="false" hidden="false" name="IQ_MINORITY_INTEREST_CF" vbProcedure="false">"c730"</definedName>
    <definedName function="false" hidden="false" name="IQ_MINORITY_INTEREST_FIN" vbProcedure="false">"c731"</definedName>
    <definedName function="false" hidden="false" name="IQ_MINORITY_INTEREST_INS" vbProcedure="false">"c732"</definedName>
    <definedName function="false" hidden="false" name="IQ_MINORITY_INTEREST_IS" vbProcedure="false">"c733"</definedName>
    <definedName function="false" hidden="false" name="IQ_MINORITY_INTEREST_REIT" vbProcedure="false">"c734"</definedName>
    <definedName function="false" hidden="false" name="IQ_MINORITY_INTEREST_TOTAL" vbProcedure="false">"c1905"</definedName>
    <definedName function="false" hidden="false" name="IQ_MINORITY_INTEREST_UTI" vbProcedure="false">"c735"</definedName>
    <definedName function="false" hidden="false" name="IQ_MISC_ADJUST_CF" vbProcedure="false">"c736"</definedName>
    <definedName function="false" hidden="false" name="IQ_MISC_EARN_ADJ" vbProcedure="false">"c1603"</definedName>
    <definedName function="false" hidden="false" name="IQ_MKTCAP_EBT_EXCL" vbProcedure="false">"c737"</definedName>
    <definedName function="false" hidden="false" name="IQ_MKTCAP_EBT_EXCL_AVG" vbProcedure="false">"c738"</definedName>
    <definedName function="false" hidden="false" name="IQ_MKTCAP_EBT_INCL_AVG" vbProcedure="false">"c739"</definedName>
    <definedName function="false" hidden="false" name="IQ_MKTCAP_TOTAL_REV" vbProcedure="false">"c740"</definedName>
    <definedName function="false" hidden="false" name="IQ_MKTCAP_TOTAL_REV_AVG" vbProcedure="false">"c741"</definedName>
    <definedName function="false" hidden="false" name="IQ_MKTCAP_TOTAL_REV_FWD" vbProcedure="false">"c742"</definedName>
    <definedName function="false" hidden="false" name="IQ_MM_ACCOUNT" vbProcedure="false">"c743"</definedName>
    <definedName function="false" hidden="false" name="IQ_MONTH" vbProcedure="false">15000</definedName>
    <definedName function="false" hidden="false" name="IQ_MORT_BANKING_FEE" vbProcedure="false">"c745"</definedName>
    <definedName function="false" hidden="false" name="IQ_MORT_BANK_ACT" vbProcedure="false">"c744"</definedName>
    <definedName function="false" hidden="false" name="IQ_MORT_INT_INC" vbProcedure="false">"c746"</definedName>
    <definedName function="false" hidden="false" name="IQ_MORT_LOANS" vbProcedure="false">"c747"</definedName>
    <definedName function="false" hidden="false" name="IQ_MORT_SECURITY" vbProcedure="false">"c748"</definedName>
    <definedName function="false" hidden="false" name="IQ_MTD" vbProcedure="false">800000</definedName>
    <definedName function="false" hidden="false" name="IQ_NAMES_REVISION_DATE_" vbProcedure="false">41184.4952662037</definedName>
    <definedName function="false" hidden="false" name="IQ_NAV_EST" vbProcedure="false">"c1751"</definedName>
    <definedName function="false" hidden="false" name="IQ_NAV_HIGH_EST" vbProcedure="false">"c1753"</definedName>
    <definedName function="false" hidden="false" name="IQ_NAV_LOW_EST" vbProcedure="false">"c1754"</definedName>
    <definedName function="false" hidden="false" name="IQ_NAV_MEDIAN_EST" vbProcedure="false">"c1752"</definedName>
    <definedName function="false" hidden="false" name="IQ_NAV_NUM_EST" vbProcedure="false">"c1755"</definedName>
    <definedName function="false" hidden="false" name="IQ_NAV_STDDEV_EST" vbProcedure="false">"c1756"</definedName>
    <definedName function="false" hidden="false" name="IQ_NET_CHANGE" vbProcedure="false">"c749"</definedName>
    <definedName function="false" hidden="false" name="IQ_NET_DEBT" vbProcedure="false">"c1584"</definedName>
    <definedName function="false" hidden="false" name="IQ_NET_DEBT_EBITDA" vbProcedure="false">"c750"</definedName>
    <definedName function="false" hidden="false" name="IQ_NET_DEBT_ISSUED" vbProcedure="false">"c751"</definedName>
    <definedName function="false" hidden="false" name="IQ_NET_DEBT_ISSUED_BNK" vbProcedure="false">"c752"</definedName>
    <definedName function="false" hidden="false" name="IQ_NET_DEBT_ISSUED_BR" vbProcedure="false">"c753"</definedName>
    <definedName function="false" hidden="false" name="IQ_NET_DEBT_ISSUED_FIN" vbProcedure="false">"c754"</definedName>
    <definedName function="false" hidden="false" name="IQ_NET_DEBT_ISSUED_INS" vbProcedure="false">"c755"</definedName>
    <definedName function="false" hidden="false" name="IQ_NET_DEBT_ISSUED_REIT" vbProcedure="false">"c756"</definedName>
    <definedName function="false" hidden="false" name="IQ_NET_DEBT_ISSUED_UTI" vbProcedure="false">"c757"</definedName>
    <definedName function="false" hidden="false" name="IQ_NET_INC" vbProcedure="false">"c1394"</definedName>
    <definedName function="false" hidden="false" name="IQ_NET_INC_BEFORE" vbProcedure="false">"c1368"</definedName>
    <definedName function="false" hidden="false" name="IQ_NET_INC_CF" vbProcedure="false">"c1397"</definedName>
    <definedName function="false" hidden="false" name="IQ_NET_INC_MARGIN" vbProcedure="false">"c1398"</definedName>
    <definedName function="false" hidden="false" name="IQ_NET_INTEREST_EXP" vbProcedure="false">"c769"</definedName>
    <definedName function="false" hidden="false" name="IQ_NET_INTEREST_EXP_REIT" vbProcedure="false">"c770"</definedName>
    <definedName function="false" hidden="false" name="IQ_NET_INTEREST_EXP_UTI" vbProcedure="false">"c771"</definedName>
    <definedName function="false" hidden="false" name="IQ_NET_INTEREST_INC" vbProcedure="false">"c1392"</definedName>
    <definedName function="false" hidden="false" name="IQ_NET_INTEREST_INC_AFTER_LL" vbProcedure="false">"c1604"</definedName>
    <definedName function="false" hidden="false" name="IQ_NET_INT_INC_10YR_ANN_GROWTH" vbProcedure="false">"c758"</definedName>
    <definedName function="false" hidden="false" name="IQ_NET_INT_INC_1YR_ANN_GROWTH" vbProcedure="false">"c759"</definedName>
    <definedName function="false" hidden="false" name="IQ_NET_INT_INC_2YR_ANN_GROWTH" vbProcedure="false">"c760"</definedName>
    <definedName function="false" hidden="false" name="IQ_NET_INT_INC_3YR_ANN_GROWTH" vbProcedure="false">"c761"</definedName>
    <definedName function="false" hidden="false" name="IQ_NET_INT_INC_5YR_ANN_GROWTH" vbProcedure="false">"c762"</definedName>
    <definedName function="false" hidden="false" name="IQ_NET_INT_INC_7YR_ANN_GROWTH" vbProcedure="false">"c763"</definedName>
    <definedName function="false" hidden="false" name="IQ_NET_INT_INC_BNK" vbProcedure="false">"c764"</definedName>
    <definedName function="false" hidden="false" name="IQ_NET_INT_INC_BR" vbProcedure="false">"c765"</definedName>
    <definedName function="false" hidden="false" name="IQ_NET_INT_INC_FIN" vbProcedure="false">"c766"</definedName>
    <definedName function="false" hidden="false" name="IQ_NET_INT_INC_TOTAL_REV" vbProcedure="false">"c767"</definedName>
    <definedName function="false" hidden="false" name="IQ_NET_INT_MARGIN" vbProcedure="false">"c768"</definedName>
    <definedName function="false" hidden="false" name="IQ_NET_LOANS" vbProcedure="false">"c772"</definedName>
    <definedName function="false" hidden="false" name="IQ_NET_LOANS_10YR_ANN_GROWTH" vbProcedure="false">"c773"</definedName>
    <definedName function="false" hidden="false" name="IQ_NET_LOANS_1YR_ANN_GROWTH" vbProcedure="false">"c774"</definedName>
    <definedName function="false" hidden="false" name="IQ_NET_LOANS_2YR_ANN_GROWTH" vbProcedure="false">"c775"</definedName>
    <definedName function="false" hidden="false" name="IQ_NET_LOANS_3YR_ANN_GROWTH" vbProcedure="false">"c776"</definedName>
    <definedName function="false" hidden="false" name="IQ_NET_LOANS_5YR_ANN_GROWTH" vbProcedure="false">"c777"</definedName>
    <definedName function="false" hidden="false" name="IQ_NET_LOANS_7YR_ANN_GROWTH" vbProcedure="false">"c778"</definedName>
    <definedName function="false" hidden="false" name="IQ_NET_LOANS_TOTAL_DEPOSITS" vbProcedure="false">"c779"</definedName>
    <definedName function="false" hidden="false" name="IQ_NET_RENTAL_EXP_FN" vbProcedure="false">"c780"</definedName>
    <definedName function="false" hidden="false" name="IQ_NI" vbProcedure="false">"c781"</definedName>
    <definedName function="false" hidden="false" name="IQ_NI_10YR_ANN_GROWTH" vbProcedure="false">"c782"</definedName>
    <definedName function="false" hidden="false" name="IQ_NI_1YR_ANN_GROWTH" vbProcedure="false">"c783"</definedName>
    <definedName function="false" hidden="false" name="IQ_NI_2YR_ANN_GROWTH" vbProcedure="false">"c784"</definedName>
    <definedName function="false" hidden="false" name="IQ_NI_3YR_ANN_GROWTH" vbProcedure="false">"c785"</definedName>
    <definedName function="false" hidden="false" name="IQ_NI_5YR_ANN_GROWTH" vbProcedure="false">"c786"</definedName>
    <definedName function="false" hidden="false" name="IQ_NI_7YR_ANN_GROWTH" vbProcedure="false">"c787"</definedName>
    <definedName function="false" hidden="false" name="IQ_NI_AFTER_CAPITALIZED" vbProcedure="false">"c788"</definedName>
    <definedName function="false" hidden="false" name="IQ_NI_AVAIL_EXCL" vbProcedure="false">"c789"</definedName>
    <definedName function="false" hidden="false" name="IQ_NI_AVAIL_EXCL_MARGIN" vbProcedure="false">"c790"</definedName>
    <definedName function="false" hidden="false" name="IQ_NI_AVAIL_INCL" vbProcedure="false">"c791"</definedName>
    <definedName function="false" hidden="false" name="IQ_NI_BEFORE_CAPITALIZED" vbProcedure="false">"c792"</definedName>
    <definedName function="false" hidden="false" name="IQ_NI_CF" vbProcedure="false">"c793"</definedName>
    <definedName function="false" hidden="false" name="IQ_NI_EST" vbProcedure="false">"c1716"</definedName>
    <definedName function="false" hidden="false" name="IQ_NI_GW_EST" vbProcedure="false">"c1723"</definedName>
    <definedName function="false" hidden="false" name="IQ_NI_GW_HIGH_EST" vbProcedure="false">"c1725"</definedName>
    <definedName function="false" hidden="false" name="IQ_NI_GW_LOW_EST" vbProcedure="false">"c1726"</definedName>
    <definedName function="false" hidden="false" name="IQ_NI_GW_MEDIAN_EST" vbProcedure="false">"c1724"</definedName>
    <definedName function="false" hidden="false" name="IQ_NI_GW_NUM_EST" vbProcedure="false">"c1727"</definedName>
    <definedName function="false" hidden="false" name="IQ_NI_GW_STDDEV_EST" vbProcedure="false">"c1728"</definedName>
    <definedName function="false" hidden="false" name="IQ_NI_HIGH_EST" vbProcedure="false">"c1718"</definedName>
    <definedName function="false" hidden="false" name="IQ_NI_LOW_EST" vbProcedure="false">"c1719"</definedName>
    <definedName function="false" hidden="false" name="IQ_NI_MARGIN" vbProcedure="false">"c794"</definedName>
    <definedName function="false" hidden="false" name="IQ_NI_MEDIAN_EST" vbProcedure="false">"c1717"</definedName>
    <definedName function="false" hidden="false" name="IQ_NI_NORM" vbProcedure="false">"c1901"</definedName>
    <definedName function="false" hidden="false" name="IQ_NI_NORM_10YR_ANN_GROWTH" vbProcedure="false">"c1960"</definedName>
    <definedName function="false" hidden="false" name="IQ_NI_NORM_1YR_ANN_GROWTH" vbProcedure="false">"c1955"</definedName>
    <definedName function="false" hidden="false" name="IQ_NI_NORM_2YR_ANN_GROWTH" vbProcedure="false">"c1956"</definedName>
    <definedName function="false" hidden="false" name="IQ_NI_NORM_3YR_ANN_GROWTH" vbProcedure="false">"c1957"</definedName>
    <definedName function="false" hidden="false" name="IQ_NI_NORM_5YR_ANN_GROWTH" vbProcedure="false">"c1958"</definedName>
    <definedName function="false" hidden="false" name="IQ_NI_NORM_7YR_ANN_GROWTH" vbProcedure="false">"c1959"</definedName>
    <definedName function="false" hidden="false" name="IQ_NI_NORM_MARGIN" vbProcedure="false">"c1964"</definedName>
    <definedName function="false" hidden="false" name="IQ_NI_NUM_EST" vbProcedure="false">"c1720"</definedName>
    <definedName function="false" hidden="false" name="IQ_NI_REPORTED_EST" vbProcedure="false">"c1730"</definedName>
    <definedName function="false" hidden="false" name="IQ_NI_REPORTED_HIGH_EST" vbProcedure="false">"c1732"</definedName>
    <definedName function="false" hidden="false" name="IQ_NI_REPORTED_LOW_EST" vbProcedure="false">"c1733"</definedName>
    <definedName function="false" hidden="false" name="IQ_NI_REPORTED_MEDIAN_EST" vbProcedure="false">"c1731"</definedName>
    <definedName function="false" hidden="false" name="IQ_NI_REPORTED_NUM_EST" vbProcedure="false">"c1734"</definedName>
    <definedName function="false" hidden="false" name="IQ_NI_REPORTED_STDDEV_EST" vbProcedure="false">"c1735"</definedName>
    <definedName function="false" hidden="false" name="IQ_NI_SFAS" vbProcedure="false">"c795"</definedName>
    <definedName function="false" hidden="false" name="IQ_NI_STDDEV_EST" vbProcedure="false">"c1721"</definedName>
    <definedName function="false" hidden="false" name="IQ_NONUTIL_REV" vbProcedure="false">"c2089"</definedName>
    <definedName function="false" hidden="false" name="IQ_NON_ACCRUAL_LOANS" vbProcedure="false">"c796"</definedName>
    <definedName function="false" hidden="false" name="IQ_NON_CASH" vbProcedure="false">"c1399"</definedName>
    <definedName function="false" hidden="false" name="IQ_NON_CASH_ITEMS" vbProcedure="false">"c797"</definedName>
    <definedName function="false" hidden="false" name="IQ_NON_INS_EXP" vbProcedure="false">"c798"</definedName>
    <definedName function="false" hidden="false" name="IQ_NON_INS_REV" vbProcedure="false">"c799"</definedName>
    <definedName function="false" hidden="false" name="IQ_NON_INTEREST_EXP" vbProcedure="false">"c1400"</definedName>
    <definedName function="false" hidden="false" name="IQ_NON_INTEREST_INC" vbProcedure="false">"c1401"</definedName>
    <definedName function="false" hidden="false" name="IQ_NON_INT_BEAR_CD" vbProcedure="false">"c800"</definedName>
    <definedName function="false" hidden="false" name="IQ_NON_INT_EXP" vbProcedure="false">"c801"</definedName>
    <definedName function="false" hidden="false" name="IQ_NON_INT_INC" vbProcedure="false">"c802"</definedName>
    <definedName function="false" hidden="false" name="IQ_NON_INT_INC_10YR_ANN_GROWTH" vbProcedure="false">"c803"</definedName>
    <definedName function="false" hidden="false" name="IQ_NON_INT_INC_1YR_ANN_GROWTH" vbProcedure="false">"c804"</definedName>
    <definedName function="false" hidden="false" name="IQ_NON_INT_INC_2YR_ANN_GROWTH" vbProcedure="false">"c805"</definedName>
    <definedName function="false" hidden="false" name="IQ_NON_INT_INC_3YR_ANN_GROWTH" vbProcedure="false">"c806"</definedName>
    <definedName function="false" hidden="false" name="IQ_NON_INT_INC_5YR_ANN_GROWTH" vbProcedure="false">"c807"</definedName>
    <definedName function="false" hidden="false" name="IQ_NON_INT_INC_7YR_ANN_GROWTH" vbProcedure="false">"c808"</definedName>
    <definedName function="false" hidden="false" name="IQ_NON_OPER_EXP" vbProcedure="false">"c809"</definedName>
    <definedName function="false" hidden="false" name="IQ_NON_OPER_INC" vbProcedure="false">"c810"</definedName>
    <definedName function="false" hidden="false" name="IQ_NON_PERFORMING_ASSETS" vbProcedure="false">"c826"</definedName>
    <definedName function="false" hidden="false" name="IQ_NON_PERFORMING_LOANS" vbProcedure="false">"c827"</definedName>
    <definedName function="false" hidden="false" name="IQ_NON_PERF_ASSETS_10YR_ANN_GROWTH" vbProcedure="false">"c811"</definedName>
    <definedName function="false" hidden="false" name="IQ_NON_PERF_ASSETS_1YR_ANN_GROWTH" vbProcedure="false">"c812"</definedName>
    <definedName function="false" hidden="false" name="IQ_NON_PERF_ASSETS_2YR_ANN_GROWTH" vbProcedure="false">"c813"</definedName>
    <definedName function="false" hidden="false" name="IQ_NON_PERF_ASSETS_3YR_ANN_GROWTH" vbProcedure="false">"c814"</definedName>
    <definedName function="false" hidden="false" name="IQ_NON_PERF_ASSETS_5YR_ANN_GROWTH" vbProcedure="false">"c815"</definedName>
    <definedName function="false" hidden="false" name="IQ_NON_PERF_ASSETS_7YR_ANN_GROWTH" vbProcedure="false">"c816"</definedName>
    <definedName function="false" hidden="false" name="IQ_NON_PERF_ASSETS_TOTAL_ASSETS" vbProcedure="false">"c817"</definedName>
    <definedName function="false" hidden="false" name="IQ_NON_PERF_LOANS_10YR_ANN_GROWTH" vbProcedure="false">"c818"</definedName>
    <definedName function="false" hidden="false" name="IQ_NON_PERF_LOANS_1YR_ANN_GROWTH" vbProcedure="false">"c819"</definedName>
    <definedName function="false" hidden="false" name="IQ_NON_PERF_LOANS_2YR_ANN_GROWTH" vbProcedure="false">"c820"</definedName>
    <definedName function="false" hidden="false" name="IQ_NON_PERF_LOANS_3YR_ANN_GROWTH" vbProcedure="false">"c821"</definedName>
    <definedName function="false" hidden="false" name="IQ_NON_PERF_LOANS_5YR_ANN_GROWTH" vbProcedure="false">"c822"</definedName>
    <definedName function="false" hidden="false" name="IQ_NON_PERF_LOANS_7YR_ANN_GROWTH" vbProcedure="false">"c823"</definedName>
    <definedName function="false" hidden="false" name="IQ_NON_PERF_LOANS_TOTAL_ASSETS" vbProcedure="false">"c824"</definedName>
    <definedName function="false" hidden="false" name="IQ_NON_PERF_LOANS_TOTAL_LOANS" vbProcedure="false">"c825"</definedName>
    <definedName function="false" hidden="false" name="IQ_NORMAL_INC_AFTER" vbProcedure="false">"c1605"</definedName>
    <definedName function="false" hidden="false" name="IQ_NORMAL_INC_AVAIL" vbProcedure="false">"c1606"</definedName>
    <definedName function="false" hidden="false" name="IQ_NORMAL_INC_BEFORE" vbProcedure="false">"c1607"</definedName>
    <definedName function="false" hidden="false" name="IQ_NOTES_PAY" vbProcedure="false">"c1423"</definedName>
    <definedName function="false" hidden="false" name="IQ_NOW_ACCOUNT" vbProcedure="false">"c828"</definedName>
    <definedName function="false" hidden="false" name="IQ_NPPE" vbProcedure="false">"c829"</definedName>
    <definedName function="false" hidden="false" name="IQ_NPPE_10YR_ANN_GROWTH" vbProcedure="false">"c830"</definedName>
    <definedName function="false" hidden="false" name="IQ_NPPE_1YR_ANN_GROWTH" vbProcedure="false">"c831"</definedName>
    <definedName function="false" hidden="false" name="IQ_NPPE_2YR_ANN_GROWTH" vbProcedure="false">"c832"</definedName>
    <definedName function="false" hidden="false" name="IQ_NPPE_3YR_ANN_GROWTH" vbProcedure="false">"c833"</definedName>
    <definedName function="false" hidden="false" name="IQ_NPPE_5YR_ANN_GROWTH" vbProcedure="false">"c834"</definedName>
    <definedName function="false" hidden="false" name="IQ_NPPE_7YR_ANN_GROWTH" vbProcedure="false">"c835"</definedName>
    <definedName function="false" hidden="false" name="IQ_NTM" vbProcedure="false">6000</definedName>
    <definedName function="false" hidden="false" name="IQ_NUKE" vbProcedure="false">"c836"</definedName>
    <definedName function="false" hidden="false" name="IQ_NUKE_CF" vbProcedure="false">"c837"</definedName>
    <definedName function="false" hidden="false" name="IQ_NUKE_CONTR" vbProcedure="false">"c838"</definedName>
    <definedName function="false" hidden="false" name="IQ_NUMBER_ADRHOLDERS" vbProcedure="false">"c1970"</definedName>
    <definedName function="false" hidden="false" name="IQ_NUMBER_DAYS" vbProcedure="false">"c1904"</definedName>
    <definedName function="false" hidden="false" name="IQ_NUMBER_SHAREHOLDERS" vbProcedure="false">"c1967"</definedName>
    <definedName function="false" hidden="false" name="IQ_NUMBER_SHAREHOLDERS_CLASSA" vbProcedure="false">"c1968"</definedName>
    <definedName function="false" hidden="false" name="IQ_NUMBER_SHAREHOLDERS_OTHER" vbProcedure="false">"c1969"</definedName>
    <definedName function="false" hidden="false" name="IQ_NUM_BRANCHES" vbProcedure="false">"c2088"</definedName>
    <definedName function="false" hidden="false" name="IQ_OCCUPY_EXP" vbProcedure="false">"c839"</definedName>
    <definedName function="false" hidden="false" name="IQ_OG_10DISC" vbProcedure="false">"c1998"</definedName>
    <definedName function="false" hidden="false" name="IQ_OG_10DISC_GAS" vbProcedure="false">"c2018"</definedName>
    <definedName function="false" hidden="false" name="IQ_OG_10DISC_OIL" vbProcedure="false">"c2008"</definedName>
    <definedName function="false" hidden="false" name="IQ_OG_ACQ_COST_PROVED" vbProcedure="false">"c1975"</definedName>
    <definedName function="false" hidden="false" name="IQ_OG_ACQ_COST_PROVED_GAS" vbProcedure="false">"c1987"</definedName>
    <definedName function="false" hidden="false" name="IQ_OG_ACQ_COST_PROVED_OIL" vbProcedure="false">"c1981"</definedName>
    <definedName function="false" hidden="false" name="IQ_OG_ACQ_COST_UNPROVED" vbProcedure="false">"c1976"</definedName>
    <definedName function="false" hidden="false" name="IQ_OG_ACQ_COST_UNPROVED_GAS" vbProcedure="false">"c1988"</definedName>
    <definedName function="false" hidden="false" name="IQ_OG_ACQ_COST_UNPROVED_OIL" vbProcedure="false">"c1982"</definedName>
    <definedName function="false" hidden="false" name="IQ_OG_CLOSE_BALANCE_GAS" vbProcedure="false">"c2049"</definedName>
    <definedName function="false" hidden="false" name="IQ_OG_CLOSE_BALANCE_OIL" vbProcedure="false">"c2037"</definedName>
    <definedName function="false" hidden="false" name="IQ_OG_DCF_BEFORE_TAXES" vbProcedure="false">"c2023"</definedName>
    <definedName function="false" hidden="false" name="IQ_OG_DCF_BEFORE_TAXES_GAS" vbProcedure="false">"c2025"</definedName>
    <definedName function="false" hidden="false" name="IQ_OG_DCF_BEFORE_TAXES_OIL" vbProcedure="false">"c2024"</definedName>
    <definedName function="false" hidden="false" name="IQ_OG_DEVELOPED_RESERVES_GAS" vbProcedure="false">"c2053"</definedName>
    <definedName function="false" hidden="false" name="IQ_OG_DEVELOPED_RESERVES_OIL" vbProcedure="false">"c2054"</definedName>
    <definedName function="false" hidden="false" name="IQ_OG_DEVELOPMENT_COSTS" vbProcedure="false">"c1978"</definedName>
    <definedName function="false" hidden="false" name="IQ_OG_DEVELOPMENT_COSTS_GAS" vbProcedure="false">"c1990"</definedName>
    <definedName function="false" hidden="false" name="IQ_OG_DEVELOPMENT_COSTS_OIL" vbProcedure="false">"c1984"</definedName>
    <definedName function="false" hidden="false" name="IQ_OG_EQUITY_DCF" vbProcedure="false">"c2002"</definedName>
    <definedName function="false" hidden="false" name="IQ_OG_EQUITY_DCF_GAS" vbProcedure="false">"c2022"</definedName>
    <definedName function="false" hidden="false" name="IQ_OG_EQUITY_DCF_OIL" vbProcedure="false">"c2012"</definedName>
    <definedName function="false" hidden="false" name="IQ_OG_EQUTY_RESERVES_GAS" vbProcedure="false">"c2050"</definedName>
    <definedName function="false" hidden="false" name="IQ_OG_EQUTY_RESERVES_OIL" vbProcedure="false">"c2038"</definedName>
    <definedName function="false" hidden="false" name="IQ_OG_EXPLORATION_COSTS" vbProcedure="false">"c1977"</definedName>
    <definedName function="false" hidden="false" name="IQ_OG_EXPLORATION_COSTS_GAS" vbProcedure="false">"c1989"</definedName>
    <definedName function="false" hidden="false" name="IQ_OG_EXPLORATION_COSTS_OIL" vbProcedure="false">"c1983"</definedName>
    <definedName function="false" hidden="false" name="IQ_OG_EXT_DISC_GAS" vbProcedure="false">"c2043"</definedName>
    <definedName function="false" hidden="false" name="IQ_OG_EXT_DISC_OIL" vbProcedure="false">"c2031"</definedName>
    <definedName function="false" hidden="false" name="IQ_OG_FUTURE_CASH_INFLOWS" vbProcedure="false">"c1993"</definedName>
    <definedName function="false" hidden="false" name="IQ_OG_FUTURE_CASH_INFLOWS_GAS" vbProcedure="false">"c2013"</definedName>
    <definedName function="false" hidden="false" name="IQ_OG_FUTURE_CASH_INFLOWS_OIL" vbProcedure="false">"c2003"</definedName>
    <definedName function="false" hidden="false" name="IQ_OG_FUTURE_DEVELOPMENT_COSTS" vbProcedure="false">"c1995"</definedName>
    <definedName function="false" hidden="false" name="IQ_OG_FUTURE_DEVELOPMENT_COSTS_GAS" vbProcedure="false">"c2015"</definedName>
    <definedName function="false" hidden="false" name="IQ_OG_FUTURE_DEVELOPMENT_COSTS_OIL" vbProcedure="false">"c2005"</definedName>
    <definedName function="false" hidden="false" name="IQ_OG_FUTURE_INC_TAXES" vbProcedure="false">"c1997"</definedName>
    <definedName function="false" hidden="false" name="IQ_OG_FUTURE_INC_TAXES_GAS" vbProcedure="false">"c2017"</definedName>
    <definedName function="false" hidden="false" name="IQ_OG_FUTURE_INC_TAXES_OIL" vbProcedure="false">"c2007"</definedName>
    <definedName function="false" hidden="false" name="IQ_OG_FUTURE_PRODUCTION_COSTS" vbProcedure="false">"c1994"</definedName>
    <definedName function="false" hidden="false" name="IQ_OG_FUTURE_PRODUCTION_COSTS_GAS" vbProcedure="false">"c2014"</definedName>
    <definedName function="false" hidden="false" name="IQ_OG_FUTURE_PRODUCTION_COSTS_OIL" vbProcedure="false">"c2004"</definedName>
    <definedName function="false" hidden="false" name="IQ_OG_GAS_PRICE_HEDGED" vbProcedure="false">"c2056"</definedName>
    <definedName function="false" hidden="false" name="IQ_OG_GAS_PRICE_UNHEDGED" vbProcedure="false">"c2058"</definedName>
    <definedName function="false" hidden="false" name="IQ_OG_IMPROVED_RECOVERY_GAS" vbProcedure="false">"c2044"</definedName>
    <definedName function="false" hidden="false" name="IQ_OG_IMPROVED_RECOVERY_OIL" vbProcedure="false">"c2032"</definedName>
    <definedName function="false" hidden="false" name="IQ_OG_NET_FUTURE_CASH_FLOWS" vbProcedure="false">"c1996"</definedName>
    <definedName function="false" hidden="false" name="IQ_OG_NET_FUTURE_CASH_FLOWS_GAS" vbProcedure="false">"c2016"</definedName>
    <definedName function="false" hidden="false" name="IQ_OG_NET_FUTURE_CASH_FLOWS_OIL" vbProcedure="false">"c2006"</definedName>
    <definedName function="false" hidden="false" name="IQ_OG_OIL_PRICE_HEDGED" vbProcedure="false">"c2055"</definedName>
    <definedName function="false" hidden="false" name="IQ_OG_OIL_PRICE_UNHEDGED" vbProcedure="false">"c2057"</definedName>
    <definedName function="false" hidden="false" name="IQ_OG_OPEN_BALANCE_GAS" vbProcedure="false">"c2041"</definedName>
    <definedName function="false" hidden="false" name="IQ_OG_OPEN_BALANCE_OIL" vbProcedure="false">"c2029"</definedName>
    <definedName function="false" hidden="false" name="IQ_OG_OTHER_ADJ_FCF" vbProcedure="false">"c1999"</definedName>
    <definedName function="false" hidden="false" name="IQ_OG_OTHER_ADJ_FCF_GAS" vbProcedure="false">"c2019"</definedName>
    <definedName function="false" hidden="false" name="IQ_OG_OTHER_ADJ_FCF_OIL" vbProcedure="false">"c2009"</definedName>
    <definedName function="false" hidden="false" name="IQ_OG_OTHER_ADJ_GAS" vbProcedure="false">"c2048"</definedName>
    <definedName function="false" hidden="false" name="IQ_OG_OTHER_ADJ_OIL" vbProcedure="false">"c2036"</definedName>
    <definedName function="false" hidden="false" name="IQ_OG_OTHER_COSTS" vbProcedure="false">"c1979"</definedName>
    <definedName function="false" hidden="false" name="IQ_OG_OTHER_COSTS_GAS" vbProcedure="false">"c1991"</definedName>
    <definedName function="false" hidden="false" name="IQ_OG_OTHER_COSTS_OIL" vbProcedure="false">"c1985"</definedName>
    <definedName function="false" hidden="false" name="IQ_OG_PRODUCTION_GAS" vbProcedure="false">"c2047"</definedName>
    <definedName function="false" hidden="false" name="IQ_OG_PRODUCTION_OIL" vbProcedure="false">"c2035"</definedName>
    <definedName function="false" hidden="false" name="IQ_OG_PURCHASES_GAS" vbProcedure="false">"c2045"</definedName>
    <definedName function="false" hidden="false" name="IQ_OG_PURCHASES_OIL" vbProcedure="false">"c2033"</definedName>
    <definedName function="false" hidden="false" name="IQ_OG_REVISIONS_GAS" vbProcedure="false">"c2042"</definedName>
    <definedName function="false" hidden="false" name="IQ_OG_REVISIONS_OIL" vbProcedure="false">"c2030"</definedName>
    <definedName function="false" hidden="false" name="IQ_OG_SALES_IN_PLACE_GAS" vbProcedure="false">"c2046"</definedName>
    <definedName function="false" hidden="false" name="IQ_OG_SALES_IN_PLACE_OIL" vbProcedure="false">"c2034"</definedName>
    <definedName function="false" hidden="false" name="IQ_OG_STANDARDIZED_DCF" vbProcedure="false">"c2000"</definedName>
    <definedName function="false" hidden="false" name="IQ_OG_STANDARDIZED_DCF_GAS" vbProcedure="false">"c2020"</definedName>
    <definedName function="false" hidden="false" name="IQ_OG_STANDARDIZED_DCF_HEDGED" vbProcedure="false">"c2001"</definedName>
    <definedName function="false" hidden="false" name="IQ_OG_STANDARDIZED_DCF_HEDGED_GAS" vbProcedure="false">"c2021"</definedName>
    <definedName function="false" hidden="false" name="IQ_OG_STANDARDIZED_DCF_HEDGED_OIL" vbProcedure="false">"c2011"</definedName>
    <definedName function="false" hidden="false" name="IQ_OG_STANDARDIZED_DCF_OIL" vbProcedure="false">"c2010"</definedName>
    <definedName function="false" hidden="false" name="IQ_OG_TAXES" vbProcedure="false">"c2026"</definedName>
    <definedName function="false" hidden="false" name="IQ_OG_TAXES_GAS" vbProcedure="false">"c2028"</definedName>
    <definedName function="false" hidden="false" name="IQ_OG_TAXES_OIL" vbProcedure="false">"c2027"</definedName>
    <definedName function="false" hidden="false" name="IQ_OG_TOTAL_COSTS" vbProcedure="false">"c1980"</definedName>
    <definedName function="false" hidden="false" name="IQ_OG_TOTAL_COSTS_GAS" vbProcedure="false">"c1992"</definedName>
    <definedName function="false" hidden="false" name="IQ_OG_TOTAL_COSTS_OIL" vbProcedure="false">"c1986"</definedName>
    <definedName function="false" hidden="false" name="IQ_OG_TOTAL_EST_PROVED_RESERVES_GAS" vbProcedure="false">"c2052"</definedName>
    <definedName function="false" hidden="false" name="IQ_OG_TOTAL_GAS_PRODUCTION" vbProcedure="false">"c2060"</definedName>
    <definedName function="false" hidden="false" name="IQ_OG_TOTAL_OIL_PRODUCTON" vbProcedure="false">"c2059"</definedName>
    <definedName function="false" hidden="false" name="IQ_OG_UNDEVELOPED_RESERVES_GAS" vbProcedure="false">"c2051"</definedName>
    <definedName function="false" hidden="false" name="IQ_OG_UNDEVELOPED_RESERVES_OIL" vbProcedure="false">"c2039"</definedName>
    <definedName function="false" hidden="false" name="IQ_OIL_IMPAIR" vbProcedure="false">"c840"</definedName>
    <definedName function="false" hidden="false" name="IQ_OL_COMM_AFTER_FIVE" vbProcedure="false">"c841"</definedName>
    <definedName function="false" hidden="false" name="IQ_OL_COMM_CY" vbProcedure="false">"c842"</definedName>
    <definedName function="false" hidden="false" name="IQ_OL_COMM_CY1" vbProcedure="false">"c843"</definedName>
    <definedName function="false" hidden="false" name="IQ_OL_COMM_CY2" vbProcedure="false">"c844"</definedName>
    <definedName function="false" hidden="false" name="IQ_OL_COMM_CY3" vbProcedure="false">"c845"</definedName>
    <definedName function="false" hidden="false" name="IQ_OL_COMM_CY4" vbProcedure="false">"c846"</definedName>
    <definedName function="false" hidden="false" name="IQ_OL_COMM_NEXT_FIVE" vbProcedure="false">"c847"</definedName>
    <definedName function="false" hidden="false" name="IQ_OPENPRICE" vbProcedure="false">"c848"</definedName>
    <definedName function="false" hidden="false" name="IQ_OPERATIONS_EXP" vbProcedure="false">"c855"</definedName>
    <definedName function="false" hidden="false" name="IQ_OPER_INC" vbProcedure="false">"c849"</definedName>
    <definedName function="false" hidden="false" name="IQ_OPER_INC_BR" vbProcedure="false">"c850"</definedName>
    <definedName function="false" hidden="false" name="IQ_OPER_INC_EST" vbProcedure="false">"c1688"</definedName>
    <definedName function="false" hidden="false" name="IQ_OPER_INC_FIN" vbProcedure="false">"c851"</definedName>
    <definedName function="false" hidden="false" name="IQ_OPER_INC_HIGH_EST" vbProcedure="false">"c1690"</definedName>
    <definedName function="false" hidden="false" name="IQ_OPER_INC_INS" vbProcedure="false">"c852"</definedName>
    <definedName function="false" hidden="false" name="IQ_OPER_INC_LOW_EST" vbProcedure="false">"c1691"</definedName>
    <definedName function="false" hidden="false" name="IQ_OPER_INC_MARGIN" vbProcedure="false">"c1448"</definedName>
    <definedName function="false" hidden="false" name="IQ_OPER_INC_MEDIAN_EST" vbProcedure="false">"c1689"</definedName>
    <definedName function="false" hidden="false" name="IQ_OPER_INC_NUM_EST" vbProcedure="false">"c1692"</definedName>
    <definedName function="false" hidden="false" name="IQ_OPER_INC_REIT" vbProcedure="false">"c853"</definedName>
    <definedName function="false" hidden="false" name="IQ_OPER_INC_STDDEV_EST" vbProcedure="false">"c1693"</definedName>
    <definedName function="false" hidden="false" name="IQ_OPER_INC_UTI" vbProcedure="false">"c854"</definedName>
    <definedName function="false" hidden="false" name="IQ_OPTIONS_BEG_OS" vbProcedure="false">"c1572"</definedName>
    <definedName function="false" hidden="false" name="IQ_OPTIONS_CANCELLED" vbProcedure="false">"c856"</definedName>
    <definedName function="false" hidden="false" name="IQ_OPTIONS_END_OS" vbProcedure="false">"c1573"</definedName>
    <definedName function="false" hidden="false" name="IQ_OPTIONS_EXERCISED" vbProcedure="false">"c2116"</definedName>
    <definedName function="false" hidden="false" name="IQ_OPTIONS_ISSUED" vbProcedure="false">"c857"</definedName>
    <definedName function="false" hidden="false" name="IQ_ORDER_BACKLOG" vbProcedure="false">"c2090"</definedName>
    <definedName function="false" hidden="false" name="IQ_OTHER_ADJUST_GROSS_LOANS" vbProcedure="false">"c859"</definedName>
    <definedName function="false" hidden="false" name="IQ_OTHER_ASSETS" vbProcedure="false">"c860"</definedName>
    <definedName function="false" hidden="false" name="IQ_OTHER_ASSETS_BNK" vbProcedure="false">"c861"</definedName>
    <definedName function="false" hidden="false" name="IQ_OTHER_ASSETS_BR" vbProcedure="false">"c862"</definedName>
    <definedName function="false" hidden="false" name="IQ_OTHER_ASSETS_FIN" vbProcedure="false">"c863"</definedName>
    <definedName function="false" hidden="false" name="IQ_OTHER_ASSETS_INS" vbProcedure="false">"c864"</definedName>
    <definedName function="false" hidden="false" name="IQ_OTHER_ASSETS_REIT" vbProcedure="false">"c865"</definedName>
    <definedName function="false" hidden="false" name="IQ_OTHER_ASSETS_UTI" vbProcedure="false">"c866"</definedName>
    <definedName function="false" hidden="false" name="IQ_OTHER_BEARING_LIAB" vbProcedure="false">"c1608"</definedName>
    <definedName function="false" hidden="false" name="IQ_OTHER_BENEFITS_OBLIGATION" vbProcedure="false">"c867"</definedName>
    <definedName function="false" hidden="false" name="IQ_OTHER_CA" vbProcedure="false">"c868"</definedName>
    <definedName function="false" hidden="false" name="IQ_OTHER_CA_SUPPL" vbProcedure="false">"c869"</definedName>
    <definedName function="false" hidden="false" name="IQ_OTHER_CA_SUPPL_BNK" vbProcedure="false">"c870"</definedName>
    <definedName function="false" hidden="false" name="IQ_OTHER_CA_SUPPL_BR" vbProcedure="false">"c871"</definedName>
    <definedName function="false" hidden="false" name="IQ_OTHER_CA_SUPPL_FIN" vbProcedure="false">"c872"</definedName>
    <definedName function="false" hidden="false" name="IQ_OTHER_CA_SUPPL_INS" vbProcedure="false">"c873"</definedName>
    <definedName function="false" hidden="false" name="IQ_OTHER_CA_SUPPL_REIT" vbProcedure="false">"c874"</definedName>
    <definedName function="false" hidden="false" name="IQ_OTHER_CA_SUPPL_UTI" vbProcedure="false">"c875"</definedName>
    <definedName function="false" hidden="false" name="IQ_OTHER_CA_UTI" vbProcedure="false">"c876"</definedName>
    <definedName function="false" hidden="false" name="IQ_OTHER_CL" vbProcedure="false">"c877"</definedName>
    <definedName function="false" hidden="false" name="IQ_OTHER_CL_SUPPL" vbProcedure="false">"c878"</definedName>
    <definedName function="false" hidden="false" name="IQ_OTHER_CL_SUPPL_BNK" vbProcedure="false">"c879"</definedName>
    <definedName function="false" hidden="false" name="IQ_OTHER_CL_SUPPL_BR" vbProcedure="false">"c880"</definedName>
    <definedName function="false" hidden="false" name="IQ_OTHER_CL_SUPPL_FIN" vbProcedure="false">"c881"</definedName>
    <definedName function="false" hidden="false" name="IQ_OTHER_CL_SUPPL_REIT" vbProcedure="false">"c882"</definedName>
    <definedName function="false" hidden="false" name="IQ_OTHER_CL_SUPPL_UTI" vbProcedure="false">"c883"</definedName>
    <definedName function="false" hidden="false" name="IQ_OTHER_CL_UTI" vbProcedure="false">"c884"</definedName>
    <definedName function="false" hidden="false" name="IQ_OTHER_CURRENT_ASSETS" vbProcedure="false">"c1403"</definedName>
    <definedName function="false" hidden="false" name="IQ_OTHER_CURRENT_LIAB" vbProcedure="false">"c1404"</definedName>
    <definedName function="false" hidden="false" name="IQ_OTHER_DEP" vbProcedure="false">"c885"</definedName>
    <definedName function="false" hidden="false" name="IQ_OTHER_EARNING" vbProcedure="false">"c1609"</definedName>
    <definedName function="false" hidden="false" name="IQ_OTHER_EQUITY" vbProcedure="false">"c886"</definedName>
    <definedName function="false" hidden="false" name="IQ_OTHER_EQUITY_BNK" vbProcedure="false">"c887"</definedName>
    <definedName function="false" hidden="false" name="IQ_OTHER_EQUITY_BR" vbProcedure="false">"c888"</definedName>
    <definedName function="false" hidden="false" name="IQ_OTHER_EQUITY_FIN" vbProcedure="false">"c889"</definedName>
    <definedName function="false" hidden="false" name="IQ_OTHER_EQUITY_INS" vbProcedure="false">"c890"</definedName>
    <definedName function="false" hidden="false" name="IQ_OTHER_EQUITY_REIT" vbProcedure="false">"c891"</definedName>
    <definedName function="false" hidden="false" name="IQ_OTHER_EQUITY_UTI" vbProcedure="false">"c892"</definedName>
    <definedName function="false" hidden="false" name="IQ_OTHER_FINANCE_ACT" vbProcedure="false">"c893"</definedName>
    <definedName function="false" hidden="false" name="IQ_OTHER_FINANCE_ACT_BNK" vbProcedure="false">"c894"</definedName>
    <definedName function="false" hidden="false" name="IQ_OTHER_FINANCE_ACT_BR" vbProcedure="false">"c895"</definedName>
    <definedName function="false" hidden="false" name="IQ_OTHER_FINANCE_ACT_FIN" vbProcedure="false">"c896"</definedName>
    <definedName function="false" hidden="false" name="IQ_OTHER_FINANCE_ACT_INS" vbProcedure="false">"c897"</definedName>
    <definedName function="false" hidden="false" name="IQ_OTHER_FINANCE_ACT_REIT" vbProcedure="false">"c898"</definedName>
    <definedName function="false" hidden="false" name="IQ_OTHER_FINANCE_ACT_SUPPL" vbProcedure="false">"c899"</definedName>
    <definedName function="false" hidden="false" name="IQ_OTHER_FINANCE_ACT_SUPPL_BNK" vbProcedure="false">"c900"</definedName>
    <definedName function="false" hidden="false" name="IQ_OTHER_FINANCE_ACT_SUPPL_BR" vbProcedure="false">"c901"</definedName>
    <definedName function="false" hidden="false" name="IQ_OTHER_FINANCE_ACT_SUPPL_FIN" vbProcedure="false">"c902"</definedName>
    <definedName function="false" hidden="false" name="IQ_OTHER_FINANCE_ACT_SUPPL_INS" vbProcedure="false">"c903"</definedName>
    <definedName function="false" hidden="false" name="IQ_OTHER_FINANCE_ACT_SUPPL_REIT" vbProcedure="false">"c904"</definedName>
    <definedName function="false" hidden="false" name="IQ_OTHER_FINANCE_ACT_SUPPL_UTI" vbProcedure="false">"c905"</definedName>
    <definedName function="false" hidden="false" name="IQ_OTHER_FINANCE_ACT_UTI" vbProcedure="false">"c906"</definedName>
    <definedName function="false" hidden="false" name="IQ_OTHER_INTAN" vbProcedure="false">"c907"</definedName>
    <definedName function="false" hidden="false" name="IQ_OTHER_INTAN_BNK" vbProcedure="false">"c908"</definedName>
    <definedName function="false" hidden="false" name="IQ_OTHER_INTAN_BR" vbProcedure="false">"c909"</definedName>
    <definedName function="false" hidden="false" name="IQ_OTHER_INTAN_FIN" vbProcedure="false">"c910"</definedName>
    <definedName function="false" hidden="false" name="IQ_OTHER_INTAN_INS" vbProcedure="false">"c911"</definedName>
    <definedName function="false" hidden="false" name="IQ_OTHER_INTAN_REIT" vbProcedure="false">"c912"</definedName>
    <definedName function="false" hidden="false" name="IQ_OTHER_INTAN_UTI" vbProcedure="false">"c913"</definedName>
    <definedName function="false" hidden="false" name="IQ_OTHER_INV" vbProcedure="false">"c914"</definedName>
    <definedName function="false" hidden="false" name="IQ_OTHER_INVEST" vbProcedure="false">"c915"</definedName>
    <definedName function="false" hidden="false" name="IQ_OTHER_INVESTING" vbProcedure="false">"c1408"</definedName>
    <definedName function="false" hidden="false" name="IQ_OTHER_INVEST_ACT" vbProcedure="false">"c916"</definedName>
    <definedName function="false" hidden="false" name="IQ_OTHER_INVEST_ACT_BNK" vbProcedure="false">"c917"</definedName>
    <definedName function="false" hidden="false" name="IQ_OTHER_INVEST_ACT_BR" vbProcedure="false">"c918"</definedName>
    <definedName function="false" hidden="false" name="IQ_OTHER_INVEST_ACT_FIN" vbProcedure="false">"c919"</definedName>
    <definedName function="false" hidden="false" name="IQ_OTHER_INVEST_ACT_INS" vbProcedure="false">"c920"</definedName>
    <definedName function="false" hidden="false" name="IQ_OTHER_INVEST_ACT_REIT" vbProcedure="false">"c921"</definedName>
    <definedName function="false" hidden="false" name="IQ_OTHER_INVEST_ACT_SUPPL" vbProcedure="false">"c922"</definedName>
    <definedName function="false" hidden="false" name="IQ_OTHER_INVEST_ACT_SUPPL_BNK" vbProcedure="false">"c923"</definedName>
    <definedName function="false" hidden="false" name="IQ_OTHER_INVEST_ACT_SUPPL_BR" vbProcedure="false">"c924"</definedName>
    <definedName function="false" hidden="false" name="IQ_OTHER_INVEST_ACT_SUPPL_FIN" vbProcedure="false">"c925"</definedName>
    <definedName function="false" hidden="false" name="IQ_OTHER_INVEST_ACT_SUPPL_INS" vbProcedure="false">"c926"</definedName>
    <definedName function="false" hidden="false" name="IQ_OTHER_INVEST_ACT_SUPPL_REIT" vbProcedure="false">"c927"</definedName>
    <definedName function="false" hidden="false" name="IQ_OTHER_INVEST_ACT_SUPPL_UTI" vbProcedure="false">"c928"</definedName>
    <definedName function="false" hidden="false" name="IQ_OTHER_INVEST_ACT_UTI" vbProcedure="false">"c929"</definedName>
    <definedName function="false" hidden="false" name="IQ_OTHER_LIAB" vbProcedure="false">"c930"</definedName>
    <definedName function="false" hidden="false" name="IQ_OTHER_LIAB_BNK" vbProcedure="false">"c931"</definedName>
    <definedName function="false" hidden="false" name="IQ_OTHER_LIAB_BR" vbProcedure="false">"c932"</definedName>
    <definedName function="false" hidden="false" name="IQ_OTHER_LIAB_FIN" vbProcedure="false">"c933"</definedName>
    <definedName function="false" hidden="false" name="IQ_OTHER_LIAB_INS" vbProcedure="false">"c934"</definedName>
    <definedName function="false" hidden="false" name="IQ_OTHER_LIAB_LT" vbProcedure="false">"c935"</definedName>
    <definedName function="false" hidden="false" name="IQ_OTHER_LIAB_LT_BNK" vbProcedure="false">"c936"</definedName>
    <definedName function="false" hidden="false" name="IQ_OTHER_LIAB_LT_BR" vbProcedure="false">"c937"</definedName>
    <definedName function="false" hidden="false" name="IQ_OTHER_LIAB_LT_FIN" vbProcedure="false">"c938"</definedName>
    <definedName function="false" hidden="false" name="IQ_OTHER_LIAB_LT_INS" vbProcedure="false">"c939"</definedName>
    <definedName function="false" hidden="false" name="IQ_OTHER_LIAB_LT_REIT" vbProcedure="false">"c940"</definedName>
    <definedName function="false" hidden="false" name="IQ_OTHER_LIAB_LT_UTI" vbProcedure="false">"c941"</definedName>
    <definedName function="false" hidden="false" name="IQ_OTHER_LIAB_REIT" vbProcedure="false">"c942"</definedName>
    <definedName function="false" hidden="false" name="IQ_OTHER_LIAB_UTI" vbProcedure="false">"c943"</definedName>
    <definedName function="false" hidden="false" name="IQ_OTHER_LIAB_WRITTEN" vbProcedure="false">"c944"</definedName>
    <definedName function="false" hidden="false" name="IQ_OTHER_LOANS" vbProcedure="false">"c945"</definedName>
    <definedName function="false" hidden="false" name="IQ_OTHER_LONG_TERM" vbProcedure="false">"c1409"</definedName>
    <definedName function="false" hidden="false" name="IQ_OTHER_LT_ASSETS" vbProcedure="false">"c946"</definedName>
    <definedName function="false" hidden="false" name="IQ_OTHER_LT_ASSETS_BNK" vbProcedure="false">"c947"</definedName>
    <definedName function="false" hidden="false" name="IQ_OTHER_LT_ASSETS_BR" vbProcedure="false">"c948"</definedName>
    <definedName function="false" hidden="false" name="IQ_OTHER_LT_ASSETS_FIN" vbProcedure="false">"c949"</definedName>
    <definedName function="false" hidden="false" name="IQ_OTHER_LT_ASSETS_INS" vbProcedure="false">"c950"</definedName>
    <definedName function="false" hidden="false" name="IQ_OTHER_LT_ASSETS_REIT" vbProcedure="false">"c951"</definedName>
    <definedName function="false" hidden="false" name="IQ_OTHER_LT_ASSETS_UTI" vbProcedure="false">"c952"</definedName>
    <definedName function="false" hidden="false" name="IQ_OTHER_NET" vbProcedure="false">"c1453"</definedName>
    <definedName function="false" hidden="false" name="IQ_OTHER_NON_INT_EXP" vbProcedure="false">"c953"</definedName>
    <definedName function="false" hidden="false" name="IQ_OTHER_NON_INT_EXP_TOTAL" vbProcedure="false">"c954"</definedName>
    <definedName function="false" hidden="false" name="IQ_OTHER_NON_INT_INC" vbProcedure="false">"c955"</definedName>
    <definedName function="false" hidden="false" name="IQ_OTHER_NON_OPER_EXP" vbProcedure="false">"c956"</definedName>
    <definedName function="false" hidden="false" name="IQ_OTHER_NON_OPER_EXP_BR" vbProcedure="false">"c957"</definedName>
    <definedName function="false" hidden="false" name="IQ_OTHER_NON_OPER_EXP_FIN" vbProcedure="false">"c958"</definedName>
    <definedName function="false" hidden="false" name="IQ_OTHER_NON_OPER_EXP_INS" vbProcedure="false">"c959"</definedName>
    <definedName function="false" hidden="false" name="IQ_OTHER_NON_OPER_EXP_REIT" vbProcedure="false">"c960"</definedName>
    <definedName function="false" hidden="false" name="IQ_OTHER_NON_OPER_EXP_SUPPL" vbProcedure="false">"c961"</definedName>
    <definedName function="false" hidden="false" name="IQ_OTHER_NON_OPER_EXP_SUPPL_BR" vbProcedure="false">"c962"</definedName>
    <definedName function="false" hidden="false" name="IQ_OTHER_NON_OPER_EXP_SUPPL_FIN" vbProcedure="false">"c963"</definedName>
    <definedName function="false" hidden="false" name="IQ_OTHER_NON_OPER_EXP_SUPPL_INS" vbProcedure="false">"c964"</definedName>
    <definedName function="false" hidden="false" name="IQ_OTHER_NON_OPER_EXP_SUPPL_REIT" vbProcedure="false">"c965"</definedName>
    <definedName function="false" hidden="false" name="IQ_OTHER_NON_OPER_EXP_SUPPL_UTI" vbProcedure="false">"c966"</definedName>
    <definedName function="false" hidden="false" name="IQ_OTHER_NON_OPER_EXP_UTI" vbProcedure="false">"c967"</definedName>
    <definedName function="false" hidden="false" name="IQ_OTHER_OPER" vbProcedure="false">"c982"</definedName>
    <definedName function="false" hidden="false" name="IQ_OTHER_OPER_ACT" vbProcedure="false">"c983"</definedName>
    <definedName function="false" hidden="false" name="IQ_OTHER_OPER_ACT_BNK" vbProcedure="false">"c984"</definedName>
    <definedName function="false" hidden="false" name="IQ_OTHER_OPER_ACT_BR" vbProcedure="false">"c985"</definedName>
    <definedName function="false" hidden="false" name="IQ_OTHER_OPER_ACT_FIN" vbProcedure="false">"c986"</definedName>
    <definedName function="false" hidden="false" name="IQ_OTHER_OPER_ACT_INS" vbProcedure="false">"c987"</definedName>
    <definedName function="false" hidden="false" name="IQ_OTHER_OPER_ACT_REIT" vbProcedure="false">"c988"</definedName>
    <definedName function="false" hidden="false" name="IQ_OTHER_OPER_ACT_UTI" vbProcedure="false">"c989"</definedName>
    <definedName function="false" hidden="false" name="IQ_OTHER_OPER_BR" vbProcedure="false">"c990"</definedName>
    <definedName function="false" hidden="false" name="IQ_OTHER_OPER_FIN" vbProcedure="false">"c991"</definedName>
    <definedName function="false" hidden="false" name="IQ_OTHER_OPER_INS" vbProcedure="false">"c992"</definedName>
    <definedName function="false" hidden="false" name="IQ_OTHER_OPER_REIT" vbProcedure="false">"c993"</definedName>
    <definedName function="false" hidden="false" name="IQ_OTHER_OPER_SUPPL_BR" vbProcedure="false">"c994"</definedName>
    <definedName function="false" hidden="false" name="IQ_OTHER_OPER_SUPPL_FIN" vbProcedure="false">"c995"</definedName>
    <definedName function="false" hidden="false" name="IQ_OTHER_OPER_SUPPL_INS" vbProcedure="false">"c996"</definedName>
    <definedName function="false" hidden="false" name="IQ_OTHER_OPER_SUPPL_REIT" vbProcedure="false">"c997"</definedName>
    <definedName function="false" hidden="false" name="IQ_OTHER_OPER_SUPPL_UTI" vbProcedure="false">"c998"</definedName>
    <definedName function="false" hidden="false" name="IQ_OTHER_OPER_TOT_BNK" vbProcedure="false">"c999"</definedName>
    <definedName function="false" hidden="false" name="IQ_OTHER_OPER_TOT_BR" vbProcedure="false">"c1000"</definedName>
    <definedName function="false" hidden="false" name="IQ_OTHER_OPER_TOT_FIN" vbProcedure="false">"c1001"</definedName>
    <definedName function="false" hidden="false" name="IQ_OTHER_OPER_TOT_INS" vbProcedure="false">"c1002"</definedName>
    <definedName function="false" hidden="false" name="IQ_OTHER_OPER_TOT_REIT" vbProcedure="false">"c1003"</definedName>
    <definedName function="false" hidden="false" name="IQ_OTHER_OPER_TOT_UTI" vbProcedure="false">"c1004"</definedName>
    <definedName function="false" hidden="false" name="IQ_OTHER_OPER_UTI" vbProcedure="false">"c1005"</definedName>
    <definedName function="false" hidden="false" name="IQ_OTHER_OUTSTANDING_BS_DATE" vbProcedure="false">"c1972"</definedName>
    <definedName function="false" hidden="false" name="IQ_OTHER_OUTSTANDING_FILING_DATE" vbProcedure="false">"c1974"</definedName>
    <definedName function="false" hidden="false" name="IQ_OTHER_PC_WRITTEN" vbProcedure="false">"c1006"</definedName>
    <definedName function="false" hidden="false" name="IQ_OTHER_REAL_ESTATE" vbProcedure="false">"c1007"</definedName>
    <definedName function="false" hidden="false" name="IQ_OTHER_RECEIV" vbProcedure="false">"c1008"</definedName>
    <definedName function="false" hidden="false" name="IQ_OTHER_RECEIV_INS" vbProcedure="false">"c1009"</definedName>
    <definedName function="false" hidden="false" name="IQ_OTHER_REV" vbProcedure="false">"c1010"</definedName>
    <definedName function="false" hidden="false" name="IQ_OTHER_REVENUE" vbProcedure="false">"c1410"</definedName>
    <definedName function="false" hidden="false" name="IQ_OTHER_REV_BR" vbProcedure="false">"c1011"</definedName>
    <definedName function="false" hidden="false" name="IQ_OTHER_REV_FIN" vbProcedure="false">"c1012"</definedName>
    <definedName function="false" hidden="false" name="IQ_OTHER_REV_INS" vbProcedure="false">"c1013"</definedName>
    <definedName function="false" hidden="false" name="IQ_OTHER_REV_REIT" vbProcedure="false">"c1014"</definedName>
    <definedName function="false" hidden="false" name="IQ_OTHER_REV_SUPPL" vbProcedure="false">"c1015"</definedName>
    <definedName function="false" hidden="false" name="IQ_OTHER_REV_SUPPL_BR" vbProcedure="false">"c1016"</definedName>
    <definedName function="false" hidden="false" name="IQ_OTHER_REV_SUPPL_FIN" vbProcedure="false">"c1017"</definedName>
    <definedName function="false" hidden="false" name="IQ_OTHER_REV_SUPPL_INS" vbProcedure="false">"c1018"</definedName>
    <definedName function="false" hidden="false" name="IQ_OTHER_REV_SUPPL_REIT" vbProcedure="false">"c1019"</definedName>
    <definedName function="false" hidden="false" name="IQ_OTHER_REV_SUPPL_UTI" vbProcedure="false">"c1020"</definedName>
    <definedName function="false" hidden="false" name="IQ_OTHER_REV_UTI" vbProcedure="false">"c1021"</definedName>
    <definedName function="false" hidden="false" name="IQ_OTHER_UNUSUAL" vbProcedure="false">"c1488"</definedName>
    <definedName function="false" hidden="false" name="IQ_OTHER_UNUSUAL_BNK" vbProcedure="false">"c1560"</definedName>
    <definedName function="false" hidden="false" name="IQ_OTHER_UNUSUAL_BR" vbProcedure="false">"c1561"</definedName>
    <definedName function="false" hidden="false" name="IQ_OTHER_UNUSUAL_FIN" vbProcedure="false">"c1562"</definedName>
    <definedName function="false" hidden="false" name="IQ_OTHER_UNUSUAL_INS" vbProcedure="false">"c1563"</definedName>
    <definedName function="false" hidden="false" name="IQ_OTHER_UNUSUAL_REIT" vbProcedure="false">"c1564"</definedName>
    <definedName function="false" hidden="false" name="IQ_OTHER_UNUSUAL_SUPPL" vbProcedure="false">"c1494"</definedName>
    <definedName function="false" hidden="false" name="IQ_OTHER_UNUSUAL_SUPPL_BNK" vbProcedure="false">"c1495"</definedName>
    <definedName function="false" hidden="false" name="IQ_OTHER_UNUSUAL_SUPPL_BR" vbProcedure="false">"c1496"</definedName>
    <definedName function="false" hidden="false" name="IQ_OTHER_UNUSUAL_SUPPL_FIN" vbProcedure="false">"c1497"</definedName>
    <definedName function="false" hidden="false" name="IQ_OTHER_UNUSUAL_SUPPL_INS" vbProcedure="false">"c1498"</definedName>
    <definedName function="false" hidden="false" name="IQ_OTHER_UNUSUAL_SUPPL_REIT" vbProcedure="false">"c1499"</definedName>
    <definedName function="false" hidden="false" name="IQ_OTHER_UNUSUAL_SUPPL_UTI" vbProcedure="false">"c1500"</definedName>
    <definedName function="false" hidden="false" name="IQ_OTHER_UNUSUAL_UTI" vbProcedure="false">"c1565"</definedName>
    <definedName function="false" hidden="false" name="IQ_OUTSTANDING_BS_DATE" vbProcedure="false">"c2128"</definedName>
    <definedName function="false" hidden="false" name="IQ_OUTSTANDING_FILING_DATE" vbProcedure="false">"c2127"</definedName>
    <definedName function="false" hidden="false" name="IQ_PART_TIME" vbProcedure="false">"c1024"</definedName>
    <definedName function="false" hidden="false" name="IQ_PAYOUT_RATIO" vbProcedure="false">"c1900"</definedName>
    <definedName function="false" hidden="false" name="IQ_PAY_ACCRUED" vbProcedure="false">"c1457"</definedName>
    <definedName function="false" hidden="false" name="IQ_PBV" vbProcedure="false">"c1025"</definedName>
    <definedName function="false" hidden="false" name="IQ_PBV_AVG" vbProcedure="false">"c1026"</definedName>
    <definedName function="false" hidden="false" name="IQ_PC_WRITTEN" vbProcedure="false">"c1027"</definedName>
    <definedName function="false" hidden="false" name="IQ_PEG_FWD" vbProcedure="false">"c1863"</definedName>
    <definedName function="false" hidden="false" name="IQ_PENSION" vbProcedure="false">"c1031"</definedName>
    <definedName function="false" hidden="false" name="IQ_PERCENT_CHANGE_EST_5YR_GROWTH_RATE_12MONTHS" vbProcedure="false">"c1852"</definedName>
    <definedName function="false" hidden="false" name="IQ_PERCENT_CHANGE_EST_5YR_GROWTH_RATE_18MONTHS" vbProcedure="false">"c1853"</definedName>
    <definedName function="false" hidden="false" name="IQ_PERCENT_CHANGE_EST_5YR_GROWTH_RATE_3MONTHS" vbProcedure="false">"c1849"</definedName>
    <definedName function="false" hidden="false" name="IQ_PERCENT_CHANGE_EST_5YR_GROWTH_RATE_6MONTHS" vbProcedure="false">"c1850"</definedName>
    <definedName function="false" hidden="false" name="IQ_PERCENT_CHANGE_EST_5YR_GROWTH_RATE_9MONTHS" vbProcedure="false">"c1851"</definedName>
    <definedName function="false" hidden="false" name="IQ_PERCENT_CHANGE_EST_5YR_GROWTH_RATE_DAY" vbProcedure="false">"c1846"</definedName>
    <definedName function="false" hidden="false" name="IQ_PERCENT_CHANGE_EST_5YR_GROWTH_RATE_MONTH" vbProcedure="false">"c1848"</definedName>
    <definedName function="false" hidden="false" name="IQ_PERCENT_CHANGE_EST_5YR_GROWTH_RATE_WEEK" vbProcedure="false">"c1847"</definedName>
    <definedName function="false" hidden="false" name="IQ_PERCENT_CHANGE_EST_CFPS_12MONTHS" vbProcedure="false">"c1812"</definedName>
    <definedName function="false" hidden="false" name="IQ_PERCENT_CHANGE_EST_CFPS_18MONTHS" vbProcedure="false">"c1813"</definedName>
    <definedName function="false" hidden="false" name="IQ_PERCENT_CHANGE_EST_CFPS_3MONTHS" vbProcedure="false">"c1809"</definedName>
    <definedName function="false" hidden="false" name="IQ_PERCENT_CHANGE_EST_CFPS_6MONTHS" vbProcedure="false">"c1810"</definedName>
    <definedName function="false" hidden="false" name="IQ_PERCENT_CHANGE_EST_CFPS_9MONTHS" vbProcedure="false">"c1811"</definedName>
    <definedName function="false" hidden="false" name="IQ_PERCENT_CHANGE_EST_CFPS_DAY" vbProcedure="false">"c1806"</definedName>
    <definedName function="false" hidden="false" name="IQ_PERCENT_CHANGE_EST_CFPS_MONTH" vbProcedure="false">"c1808"</definedName>
    <definedName function="false" hidden="false" name="IQ_PERCENT_CHANGE_EST_CFPS_WEEK" vbProcedure="false">"c1807"</definedName>
    <definedName function="false" hidden="false" name="IQ_PERCENT_CHANGE_EST_DPS_12MONTHS" vbProcedure="false">"c1820"</definedName>
    <definedName function="false" hidden="false" name="IQ_PERCENT_CHANGE_EST_DPS_18MONTHS" vbProcedure="false">"c1821"</definedName>
    <definedName function="false" hidden="false" name="IQ_PERCENT_CHANGE_EST_DPS_3MONTHS" vbProcedure="false">"c1817"</definedName>
    <definedName function="false" hidden="false" name="IQ_PERCENT_CHANGE_EST_DPS_6MONTHS" vbProcedure="false">"c1818"</definedName>
    <definedName function="false" hidden="false" name="IQ_PERCENT_CHANGE_EST_DPS_9MONTHS" vbProcedure="false">"c1819"</definedName>
    <definedName function="false" hidden="false" name="IQ_PERCENT_CHANGE_EST_DPS_DAY" vbProcedure="false">"c1814"</definedName>
    <definedName function="false" hidden="false" name="IQ_PERCENT_CHANGE_EST_DPS_MONTH" vbProcedure="false">"c1816"</definedName>
    <definedName function="false" hidden="false" name="IQ_PERCENT_CHANGE_EST_DPS_WEEK" vbProcedure="false">"c1815"</definedName>
    <definedName function="false" hidden="false" name="IQ_PERCENT_CHANGE_EST_EBITDA_12MONTHS" vbProcedure="false">"c1804"</definedName>
    <definedName function="false" hidden="false" name="IQ_PERCENT_CHANGE_EST_EBITDA_18MONTHS" vbProcedure="false">"c1805"</definedName>
    <definedName function="false" hidden="false" name="IQ_PERCENT_CHANGE_EST_EBITDA_3MONTHS" vbProcedure="false">"c1801"</definedName>
    <definedName function="false" hidden="false" name="IQ_PERCENT_CHANGE_EST_EBITDA_6MONTHS" vbProcedure="false">"c1802"</definedName>
    <definedName function="false" hidden="false" name="IQ_PERCENT_CHANGE_EST_EBITDA_9MONTHS" vbProcedure="false">"c1803"</definedName>
    <definedName function="false" hidden="false" name="IQ_PERCENT_CHANGE_EST_EBITDA_DAY" vbProcedure="false">"c1798"</definedName>
    <definedName function="false" hidden="false" name="IQ_PERCENT_CHANGE_EST_EBITDA_MONTH" vbProcedure="false">"c1800"</definedName>
    <definedName function="false" hidden="false" name="IQ_PERCENT_CHANGE_EST_EBITDA_WEEK" vbProcedure="false">"c1799"</definedName>
    <definedName function="false" hidden="false" name="IQ_PERCENT_CHANGE_EST_EPS_12MONTHS" vbProcedure="false">"c1788"</definedName>
    <definedName function="false" hidden="false" name="IQ_PERCENT_CHANGE_EST_EPS_18MONTHS" vbProcedure="false">"c1789"</definedName>
    <definedName function="false" hidden="false" name="IQ_PERCENT_CHANGE_EST_EPS_3MONTHS" vbProcedure="false">"c1785"</definedName>
    <definedName function="false" hidden="false" name="IQ_PERCENT_CHANGE_EST_EPS_6MONTHS" vbProcedure="false">"c1786"</definedName>
    <definedName function="false" hidden="false" name="IQ_PERCENT_CHANGE_EST_EPS_9MONTHS" vbProcedure="false">"c1787"</definedName>
    <definedName function="false" hidden="false" name="IQ_PERCENT_CHANGE_EST_EPS_DAY" vbProcedure="false">"c1782"</definedName>
    <definedName function="false" hidden="false" name="IQ_PERCENT_CHANGE_EST_EPS_MONTH" vbProcedure="false">"c1784"</definedName>
    <definedName function="false" hidden="false" name="IQ_PERCENT_CHANGE_EST_EPS_WEEK" vbProcedure="false">"c1783"</definedName>
    <definedName function="false" hidden="false" name="IQ_PERCENT_CHANGE_EST_FFO_12MONTHS" vbProcedure="false">"c1828"</definedName>
    <definedName function="false" hidden="false" name="IQ_PERCENT_CHANGE_EST_FFO_18MONTHS" vbProcedure="false">"c1829"</definedName>
    <definedName function="false" hidden="false" name="IQ_PERCENT_CHANGE_EST_FFO_3MONTHS" vbProcedure="false">"c1825"</definedName>
    <definedName function="false" hidden="false" name="IQ_PERCENT_CHANGE_EST_FFO_6MONTHS" vbProcedure="false">"c1826"</definedName>
    <definedName function="false" hidden="false" name="IQ_PERCENT_CHANGE_EST_FFO_9MONTHS" vbProcedure="false">"c1827"</definedName>
    <definedName function="false" hidden="false" name="IQ_PERCENT_CHANGE_EST_FFO_DAY" vbProcedure="false">"c1822"</definedName>
    <definedName function="false" hidden="false" name="IQ_PERCENT_CHANGE_EST_FFO_MONTH" vbProcedure="false">"c1824"</definedName>
    <definedName function="false" hidden="false" name="IQ_PERCENT_CHANGE_EST_FFO_WEEK" vbProcedure="false">"c1823"</definedName>
    <definedName function="false" hidden="false" name="IQ_PERCENT_CHANGE_EST_PRICE_TARGET_12MONTHS" vbProcedure="false">"c1844"</definedName>
    <definedName function="false" hidden="false" name="IQ_PERCENT_CHANGE_EST_PRICE_TARGET_18MONTHS" vbProcedure="false">"c1845"</definedName>
    <definedName function="false" hidden="false" name="IQ_PERCENT_CHANGE_EST_PRICE_TARGET_3MONTHS" vbProcedure="false">"c1841"</definedName>
    <definedName function="false" hidden="false" name="IQ_PERCENT_CHANGE_EST_PRICE_TARGET_6MONTHS" vbProcedure="false">"c1842"</definedName>
    <definedName function="false" hidden="false" name="IQ_PERCENT_CHANGE_EST_PRICE_TARGET_9MONTHS" vbProcedure="false">"c1843"</definedName>
    <definedName function="false" hidden="false" name="IQ_PERCENT_CHANGE_EST_PRICE_TARGET_DAY" vbProcedure="false">"c1838"</definedName>
    <definedName function="false" hidden="false" name="IQ_PERCENT_CHANGE_EST_PRICE_TARGET_MONTH" vbProcedure="false">"c1840"</definedName>
    <definedName function="false" hidden="false" name="IQ_PERCENT_CHANGE_EST_PRICE_TARGET_WEEK" vbProcedure="false">"c1839"</definedName>
    <definedName function="false" hidden="false" name="IQ_PERCENT_CHANGE_EST_RECO_12MONTHS" vbProcedure="false">"c1836"</definedName>
    <definedName function="false" hidden="false" name="IQ_PERCENT_CHANGE_EST_RECO_18MONTHS" vbProcedure="false">"c1837"</definedName>
    <definedName function="false" hidden="false" name="IQ_PERCENT_CHANGE_EST_RECO_3MONTHS" vbProcedure="false">"c1833"</definedName>
    <definedName function="false" hidden="false" name="IQ_PERCENT_CHANGE_EST_RECO_6MONTHS" vbProcedure="false">"c1834"</definedName>
    <definedName function="false" hidden="false" name="IQ_PERCENT_CHANGE_EST_RECO_9MONTHS" vbProcedure="false">"c1835"</definedName>
    <definedName function="false" hidden="false" name="IQ_PERCENT_CHANGE_EST_RECO_DAY" vbProcedure="false">"c1830"</definedName>
    <definedName function="false" hidden="false" name="IQ_PERCENT_CHANGE_EST_RECO_MONTH" vbProcedure="false">"c1832"</definedName>
    <definedName function="false" hidden="false" name="IQ_PERCENT_CHANGE_EST_RECO_WEEK" vbProcedure="false">"c1831"</definedName>
    <definedName function="false" hidden="false" name="IQ_PERCENT_CHANGE_EST_REV_12MONTHS" vbProcedure="false">"c1796"</definedName>
    <definedName function="false" hidden="false" name="IQ_PERCENT_CHANGE_EST_REV_18MONTHS" vbProcedure="false">"c1797"</definedName>
    <definedName function="false" hidden="false" name="IQ_PERCENT_CHANGE_EST_REV_3MONTHS" vbProcedure="false">"c1793"</definedName>
    <definedName function="false" hidden="false" name="IQ_PERCENT_CHANGE_EST_REV_6MONTHS" vbProcedure="false">"c1794"</definedName>
    <definedName function="false" hidden="false" name="IQ_PERCENT_CHANGE_EST_REV_9MONTHS" vbProcedure="false">"c1795"</definedName>
    <definedName function="false" hidden="false" name="IQ_PERCENT_CHANGE_EST_REV_DAY" vbProcedure="false">"c1790"</definedName>
    <definedName function="false" hidden="false" name="IQ_PERCENT_CHANGE_EST_REV_MONTH" vbProcedure="false">"c1792"</definedName>
    <definedName function="false" hidden="false" name="IQ_PERCENT_CHANGE_EST_REV_WEEK" vbProcedure="false">"c1791"</definedName>
    <definedName function="false" hidden="false" name="IQ_PERIODDATE" vbProcedure="false">"c1414"</definedName>
    <definedName function="false" hidden="false" name="IQ_PERIODDATE_BS" vbProcedure="false">"c1032"</definedName>
    <definedName function="false" hidden="false" name="IQ_PERIODDATE_CF" vbProcedure="false">"c1033"</definedName>
    <definedName function="false" hidden="false" name="IQ_PERIODDATE_IS" vbProcedure="false">"c1034"</definedName>
    <definedName function="false" hidden="false" name="IQ_PERIODLENGTH_CF" vbProcedure="false">"c1502"</definedName>
    <definedName function="false" hidden="false" name="IQ_PERIODLENGTH_IS" vbProcedure="false">"c1503"</definedName>
    <definedName function="false" hidden="false" name="IQ_PERTYPE" vbProcedure="false">"c1611"</definedName>
    <definedName function="false" hidden="false" name="IQ_PE_EXCL" vbProcedure="false">"c1028"</definedName>
    <definedName function="false" hidden="false" name="IQ_PE_EXCL_AVG" vbProcedure="false">"c1029"</definedName>
    <definedName function="false" hidden="false" name="IQ_PE_EXCL_FWD" vbProcedure="false">"c1030"</definedName>
    <definedName function="false" hidden="false" name="IQ_PE_RATIO" vbProcedure="false">"c1610"</definedName>
    <definedName function="false" hidden="false" name="IQ_PLL" vbProcedure="false">"c2114"</definedName>
    <definedName function="false" hidden="false" name="IQ_POLICY_BENEFITS" vbProcedure="false">"c1036"</definedName>
    <definedName function="false" hidden="false" name="IQ_POLICY_COST" vbProcedure="false">"c1037"</definedName>
    <definedName function="false" hidden="false" name="IQ_POLICY_LIAB" vbProcedure="false">"c1612"</definedName>
    <definedName function="false" hidden="false" name="IQ_POLICY_LOANS" vbProcedure="false">"c1038"</definedName>
    <definedName function="false" hidden="false" name="IQ_POSTPAID_CHURN" vbProcedure="false">"c2121"</definedName>
    <definedName function="false" hidden="false" name="IQ_POSTPAID_SUBS" vbProcedure="false">"c2118"</definedName>
    <definedName function="false" hidden="false" name="IQ_POST_RETIRE_EXP" vbProcedure="false">"c1039"</definedName>
    <definedName function="false" hidden="false" name="IQ_POTENTIAL_UPSIDE" vbProcedure="false">"c1855"</definedName>
    <definedName function="false" hidden="false" name="IQ_PREF_CONVERT" vbProcedure="false">"c1041"</definedName>
    <definedName function="false" hidden="false" name="IQ_PREF_DIVID" vbProcedure="false">"c1461"</definedName>
    <definedName function="false" hidden="false" name="IQ_PREF_DIV_CF" vbProcedure="false">"c1042"</definedName>
    <definedName function="false" hidden="false" name="IQ_PREF_DIV_OTHER" vbProcedure="false">"c1043"</definedName>
    <definedName function="false" hidden="false" name="IQ_PREF_EQUITY" vbProcedure="false">"c1044"</definedName>
    <definedName function="false" hidden="false" name="IQ_PREF_ISSUED" vbProcedure="false">"c1045"</definedName>
    <definedName function="false" hidden="false" name="IQ_PREF_ISSUED_BNK" vbProcedure="false">"c1046"</definedName>
    <definedName function="false" hidden="false" name="IQ_PREF_ISSUED_BR" vbProcedure="false">"c1047"</definedName>
    <definedName function="false" hidden="false" name="IQ_PREF_ISSUED_FIN" vbProcedure="false">"c1048"</definedName>
    <definedName function="false" hidden="false" name="IQ_PREF_ISSUED_INS" vbProcedure="false">"c1049"</definedName>
    <definedName function="false" hidden="false" name="IQ_PREF_ISSUED_REIT" vbProcedure="false">"c1050"</definedName>
    <definedName function="false" hidden="false" name="IQ_PREF_ISSUED_UTI" vbProcedure="false">"c1051"</definedName>
    <definedName function="false" hidden="false" name="IQ_PREF_NON_REDEEM" vbProcedure="false">"c1052"</definedName>
    <definedName function="false" hidden="false" name="IQ_PREF_OTHER" vbProcedure="false">"c1053"</definedName>
    <definedName function="false" hidden="false" name="IQ_PREF_OTHER_BNK" vbProcedure="false">"c1054"</definedName>
    <definedName function="false" hidden="false" name="IQ_PREF_OTHER_BR" vbProcedure="false">"c1055"</definedName>
    <definedName function="false" hidden="false" name="IQ_PREF_OTHER_FIN" vbProcedure="false">"c1056"</definedName>
    <definedName function="false" hidden="false" name="IQ_PREF_OTHER_INS" vbProcedure="false">"c1057"</definedName>
    <definedName function="false" hidden="false" name="IQ_PREF_OTHER_REIT" vbProcedure="false">"c1058"</definedName>
    <definedName function="false" hidden="false" name="IQ_PREF_REDEEM" vbProcedure="false">"c1059"</definedName>
    <definedName function="false" hidden="false" name="IQ_PREF_REP" vbProcedure="false">"c1060"</definedName>
    <definedName function="false" hidden="false" name="IQ_PREF_REP_BNK" vbProcedure="false">"c1061"</definedName>
    <definedName function="false" hidden="false" name="IQ_PREF_REP_BR" vbProcedure="false">"c1062"</definedName>
    <definedName function="false" hidden="false" name="IQ_PREF_REP_FIN" vbProcedure="false">"c1063"</definedName>
    <definedName function="false" hidden="false" name="IQ_PREF_REP_INS" vbProcedure="false">"c1064"</definedName>
    <definedName function="false" hidden="false" name="IQ_PREF_REP_REIT" vbProcedure="false">"c1065"</definedName>
    <definedName function="false" hidden="false" name="IQ_PREF_REP_UTI" vbProcedure="false">"c1066"</definedName>
    <definedName function="false" hidden="false" name="IQ_PREF_STOCK" vbProcedure="false">"c1416"</definedName>
    <definedName function="false" hidden="false" name="IQ_PREF_TOT" vbProcedure="false">"c1415"</definedName>
    <definedName function="false" hidden="false" name="IQ_PREMIUMS_ANNUITY_REV" vbProcedure="false">"c1067"</definedName>
    <definedName function="false" hidden="false" name="IQ_PREPAID_CHURN" vbProcedure="false">"c2120"</definedName>
    <definedName function="false" hidden="false" name="IQ_PREPAID_EXP" vbProcedure="false">"c1068"</definedName>
    <definedName function="false" hidden="false" name="IQ_PREPAID_EXPEN" vbProcedure="false">"c1418"</definedName>
    <definedName function="false" hidden="false" name="IQ_PREPAID_SUBS" vbProcedure="false">"c2117"</definedName>
    <definedName function="false" hidden="false" name="IQ_PRETAX_GW_INC_EST" vbProcedure="false">"c1702"</definedName>
    <definedName function="false" hidden="false" name="IQ_PRETAX_GW_INC_HIGH_EST" vbProcedure="false">"c1704"</definedName>
    <definedName function="false" hidden="false" name="IQ_PRETAX_GW_INC_LOW_EST" vbProcedure="false">"c1705"</definedName>
    <definedName function="false" hidden="false" name="IQ_PRETAX_GW_INC_MEDIAN_EST" vbProcedure="false">"c1703"</definedName>
    <definedName function="false" hidden="false" name="IQ_PRETAX_GW_INC_NUM_EST" vbProcedure="false">"c1706"</definedName>
    <definedName function="false" hidden="false" name="IQ_PRETAX_GW_INC_STDDEV_EST" vbProcedure="false">"c1707"</definedName>
    <definedName function="false" hidden="false" name="IQ_PRETAX_INC_EST" vbProcedure="false">"c1695"</definedName>
    <definedName function="false" hidden="false" name="IQ_PRETAX_INC_HIGH_EST" vbProcedure="false">"c1697"</definedName>
    <definedName function="false" hidden="false" name="IQ_PRETAX_INC_LOW_EST" vbProcedure="false">"c1698"</definedName>
    <definedName function="false" hidden="false" name="IQ_PRETAX_INC_MEDIAN_EST" vbProcedure="false">"c1696"</definedName>
    <definedName function="false" hidden="false" name="IQ_PRETAX_INC_NUM_EST" vbProcedure="false">"c1699"</definedName>
    <definedName function="false" hidden="false" name="IQ_PRETAX_INC_STDDEV_EST" vbProcedure="false">"c1700"</definedName>
    <definedName function="false" hidden="false" name="IQ_PRETAX_REPORT_INC_EST" vbProcedure="false">"c1709"</definedName>
    <definedName function="false" hidden="false" name="IQ_PRETAX_REPORT_INC_HIGH_EST" vbProcedure="false">"c1711"</definedName>
    <definedName function="false" hidden="false" name="IQ_PRETAX_REPORT_INC_LOW_EST" vbProcedure="false">"c1712"</definedName>
    <definedName function="false" hidden="false" name="IQ_PRETAX_REPORT_INC_MEDIAN_EST" vbProcedure="false">"c1710"</definedName>
    <definedName function="false" hidden="false" name="IQ_PRETAX_REPORT_INC_NUM_EST" vbProcedure="false">"c1713"</definedName>
    <definedName function="false" hidden="false" name="IQ_PRETAX_REPORT_INC_STDDEV_EST" vbProcedure="false">"c1714"</definedName>
    <definedName function="false" hidden="false" name="IQ_PRE_OPEN_COST" vbProcedure="false">"c1040"</definedName>
    <definedName function="false" hidden="false" name="IQ_PRICEDATE" vbProcedure="false">"c1069"</definedName>
    <definedName function="false" hidden="false" name="IQ_PRICE_OVER_BVPS" vbProcedure="false">"c1412"</definedName>
    <definedName function="false" hidden="false" name="IQ_PRICE_OVER_LTM_EPS" vbProcedure="false">"c1413"</definedName>
    <definedName function="false" hidden="false" name="IQ_PRICE_TARGET" vbProcedure="false">"c82"</definedName>
    <definedName function="false" hidden="false" name="IQ_PRICING_DATE" vbProcedure="false">"c1613"</definedName>
    <definedName function="false" hidden="false" name="IQ_PRIMARY_INDUSTRY" vbProcedure="false">"c1070"</definedName>
    <definedName function="false" hidden="false" name="IQ_PROFESSIONAL" vbProcedure="false">"c1071"</definedName>
    <definedName function="false" hidden="false" name="IQ_PROFESSIONAL_TITLE" vbProcedure="false">"c1072"</definedName>
    <definedName function="false" hidden="false" name="IQ_PROPERTY_EXP" vbProcedure="false">"c1073"</definedName>
    <definedName function="false" hidden="false" name="IQ_PROPERTY_GROSS" vbProcedure="false">"c1379"</definedName>
    <definedName function="false" hidden="false" name="IQ_PROPERTY_MGMT_FEE" vbProcedure="false">"c1074"</definedName>
    <definedName function="false" hidden="false" name="IQ_PROPERTY_NET" vbProcedure="false">"c1402"</definedName>
    <definedName function="false" hidden="false" name="IQ_PROVISION_10YR_ANN_GROWTH" vbProcedure="false">"c1077"</definedName>
    <definedName function="false" hidden="false" name="IQ_PROVISION_1YR_ANN_GROWTH" vbProcedure="false">"c1078"</definedName>
    <definedName function="false" hidden="false" name="IQ_PROVISION_2YR_ANN_GROWTH" vbProcedure="false">"c1079"</definedName>
    <definedName function="false" hidden="false" name="IQ_PROVISION_3YR_ANN_GROWTH" vbProcedure="false">"c1080"</definedName>
    <definedName function="false" hidden="false" name="IQ_PROVISION_5YR_ANN_GROWTH" vbProcedure="false">"c1081"</definedName>
    <definedName function="false" hidden="false" name="IQ_PROVISION_7YR_ANN_GROWTH" vbProcedure="false">"c1082"</definedName>
    <definedName function="false" hidden="false" name="IQ_PROVISION_CHARGE_OFFS" vbProcedure="false">"c1083"</definedName>
    <definedName function="false" hidden="false" name="IQ_PROV_BAD_DEBTS" vbProcedure="false">"c1075"</definedName>
    <definedName function="false" hidden="false" name="IQ_PROV_BAD_DEBTS_CF" vbProcedure="false">"c1076"</definedName>
    <definedName function="false" hidden="false" name="IQ_PRO_FORMA_BASIC_EPS" vbProcedure="false">"c1614"</definedName>
    <definedName function="false" hidden="false" name="IQ_PRO_FORMA_DILUT_EPS" vbProcedure="false">"c1615"</definedName>
    <definedName function="false" hidden="false" name="IQ_PRO_FORMA_NET_INC" vbProcedure="false">"c1452"</definedName>
    <definedName function="false" hidden="false" name="IQ_PTBV" vbProcedure="false">"c1084"</definedName>
    <definedName function="false" hidden="false" name="IQ_PTBV_AVG" vbProcedure="false">"c1085"</definedName>
    <definedName function="false" hidden="false" name="IQ_QTD" vbProcedure="false">750000</definedName>
    <definedName function="false" hidden="false" name="IQ_QUICK_RATIO" vbProcedure="false">"c1086"</definedName>
    <definedName function="false" hidden="false" name="IQ_RATE_COMP_GROWTH_DOMESTIC" vbProcedure="false">"c1087"</definedName>
    <definedName function="false" hidden="false" name="IQ_RATE_COMP_GROWTH_FOREIGN" vbProcedure="false">"c1088"</definedName>
    <definedName function="false" hidden="false" name="IQ_RAW_INV" vbProcedure="false">"c1089"</definedName>
    <definedName function="false" hidden="false" name="IQ_RD_EXP" vbProcedure="false">"c1090"</definedName>
    <definedName function="false" hidden="false" name="IQ_RD_EXP_FN" vbProcedure="false">"c1091"</definedName>
    <definedName function="false" hidden="false" name="IQ_RE" vbProcedure="false">"c1092"</definedName>
    <definedName function="false" hidden="false" name="IQ_REAL_ESTATE" vbProcedure="false">"c1093"</definedName>
    <definedName function="false" hidden="false" name="IQ_REAL_ESTATE_ASSETS" vbProcedure="false">"c1094"</definedName>
    <definedName function="false" hidden="false" name="IQ_REDEEM_PREF_STOCK" vbProcedure="false">"c1417"</definedName>
    <definedName function="false" hidden="false" name="IQ_REG_ASSETS" vbProcedure="false">"c1095"</definedName>
    <definedName function="false" hidden="false" name="IQ_REINSURANCE" vbProcedure="false">"c1100"</definedName>
    <definedName function="false" hidden="false" name="IQ_REINSUR_PAY" vbProcedure="false">"c1096"</definedName>
    <definedName function="false" hidden="false" name="IQ_REINSUR_PAY_CF" vbProcedure="false">"c1097"</definedName>
    <definedName function="false" hidden="false" name="IQ_REINSUR_RECOVER" vbProcedure="false">"c1098"</definedName>
    <definedName function="false" hidden="false" name="IQ_REINSUR_RECOVER_CF" vbProcedure="false">"c1099"</definedName>
    <definedName function="false" hidden="false" name="IQ_RENTAL_REV" vbProcedure="false">"c1101"</definedName>
    <definedName function="false" hidden="false" name="IQ_RESEARCH_DEV" vbProcedure="false">"c1419"</definedName>
    <definedName function="false" hidden="false" name="IQ_RESIDENTIAL_LOANS" vbProcedure="false">"c1102"</definedName>
    <definedName function="false" hidden="false" name="IQ_RESTATEMENT_BS" vbProcedure="false">"c1643"</definedName>
    <definedName function="false" hidden="false" name="IQ_RESTATEMENT_CF" vbProcedure="false">"c1644"</definedName>
    <definedName function="false" hidden="false" name="IQ_RESTATEMENT_IS" vbProcedure="false">"c1642"</definedName>
    <definedName function="false" hidden="false" name="IQ_RESTRICTED_CASH" vbProcedure="false">"c1103"</definedName>
    <definedName function="false" hidden="false" name="IQ_RESTRUCTURE" vbProcedure="false">"c1104"</definedName>
    <definedName function="false" hidden="false" name="IQ_RESTRUCTURED_LOANS" vbProcedure="false">"c1112"</definedName>
    <definedName function="false" hidden="false" name="IQ_RESTRUCTURE_BNK" vbProcedure="false">"c1105"</definedName>
    <definedName function="false" hidden="false" name="IQ_RESTRUCTURE_BR" vbProcedure="false">"c1106"</definedName>
    <definedName function="false" hidden="false" name="IQ_RESTRUCTURE_CF" vbProcedure="false">"c1107"</definedName>
    <definedName function="false" hidden="false" name="IQ_RESTRUCTURE_FIN" vbProcedure="false">"c1108"</definedName>
    <definedName function="false" hidden="false" name="IQ_RESTRUCTURE_INS" vbProcedure="false">"c1109"</definedName>
    <definedName function="false" hidden="false" name="IQ_RESTRUCTURE_REIT" vbProcedure="false">"c1110"</definedName>
    <definedName function="false" hidden="false" name="IQ_RESTRUCTURE_UTI" vbProcedure="false">"c1111"</definedName>
    <definedName function="false" hidden="false" name="IQ_RETAIL_AVG_STORE_SIZE_GROSS" vbProcedure="false">"c2066"</definedName>
    <definedName function="false" hidden="false" name="IQ_RETAIL_AVG_STORE_SIZE_NET" vbProcedure="false">"c2067"</definedName>
    <definedName function="false" hidden="false" name="IQ_RETAIL_CLOSED_STORES" vbProcedure="false">"c2063"</definedName>
    <definedName function="false" hidden="false" name="IQ_RETAIL_OPENED_STORES" vbProcedure="false">"c2062"</definedName>
    <definedName function="false" hidden="false" name="IQ_RETAIL_SALES_SQFT_ALL_GROSS" vbProcedure="false">"c2138"</definedName>
    <definedName function="false" hidden="false" name="IQ_RETAIL_SALES_SQFT_ALL_NET" vbProcedure="false">"c2139"</definedName>
    <definedName function="false" hidden="false" name="IQ_RETAIL_SALES_SQFT_COMPARABLE_GROSS" vbProcedure="false">"c2136"</definedName>
    <definedName function="false" hidden="false" name="IQ_RETAIL_SALES_SQFT_COMPARABLE_NET" vbProcedure="false">"c2137"</definedName>
    <definedName function="false" hidden="false" name="IQ_RETAIL_SALES_SQFT_OWNED_GROSS" vbProcedure="false">"c2134"</definedName>
    <definedName function="false" hidden="false" name="IQ_RETAIL_SALES_SQFT_OWNED_NET" vbProcedure="false">"c2135"</definedName>
    <definedName function="false" hidden="false" name="IQ_RETAIL_SQ_FOOTAGE" vbProcedure="false">"c2064"</definedName>
    <definedName function="false" hidden="false" name="IQ_RETAIL_STORE_SELLING_AREA" vbProcedure="false">"c2065"</definedName>
    <definedName function="false" hidden="false" name="IQ_RETAIL_TOTAL_STORES" vbProcedure="false">"c2061"</definedName>
    <definedName function="false" hidden="false" name="IQ_RETAINED_EARN" vbProcedure="false">"c1420"</definedName>
    <definedName function="false" hidden="false" name="IQ_RETURN_ASSETS" vbProcedure="false">"c1113"</definedName>
    <definedName function="false" hidden="false" name="IQ_RETURN_ASSETS_BANK" vbProcedure="false">"c1114"</definedName>
    <definedName function="false" hidden="false" name="IQ_RETURN_ASSETS_BROK" vbProcedure="false">"c1115"</definedName>
    <definedName function="false" hidden="false" name="IQ_RETURN_ASSETS_FS" vbProcedure="false">"c1116"</definedName>
    <definedName function="false" hidden="false" name="IQ_RETURN_CAPITAL" vbProcedure="false">"c1117"</definedName>
    <definedName function="false" hidden="false" name="IQ_RETURN_EQUITY" vbProcedure="false">"c1118"</definedName>
    <definedName function="false" hidden="false" name="IQ_RETURN_EQUITY_BANK" vbProcedure="false">"c1119"</definedName>
    <definedName function="false" hidden="false" name="IQ_RETURN_EQUITY_BROK" vbProcedure="false">"c1120"</definedName>
    <definedName function="false" hidden="false" name="IQ_RETURN_EQUITY_FS" vbProcedure="false">"c1121"</definedName>
    <definedName function="false" hidden="false" name="IQ_RETURN_INVESTMENT" vbProcedure="false">"c1421"</definedName>
    <definedName function="false" hidden="false" name="IQ_REV" vbProcedure="false">"c1122"</definedName>
    <definedName function="false" hidden="false" name="IQ_REVENUE" vbProcedure="false">"c1422"</definedName>
    <definedName function="false" hidden="false" name="IQ_REVENUE_EST" vbProcedure="false">"c1126"</definedName>
    <definedName function="false" hidden="false" name="IQ_REVENUE_HIGH_EST" vbProcedure="false">"c1127"</definedName>
    <definedName function="false" hidden="false" name="IQ_REVENUE_LOW_EST" vbProcedure="false">"c1128"</definedName>
    <definedName function="false" hidden="false" name="IQ_REVENUE_MEDIAN_EST" vbProcedure="false">"c1662"</definedName>
    <definedName function="false" hidden="false" name="IQ_REVENUE_NUM_EST" vbProcedure="false">"c1129"</definedName>
    <definedName function="false" hidden="false" name="IQ_REV_BEFORE_LL" vbProcedure="false">"c1123"</definedName>
    <definedName function="false" hidden="false" name="IQ_REV_STDDEV_EST" vbProcedure="false">"c1124"</definedName>
    <definedName function="false" hidden="false" name="IQ_REV_UTI" vbProcedure="false">"c1125"</definedName>
    <definedName function="false" hidden="false" name="IQ_SALARY" vbProcedure="false">"c1130"</definedName>
    <definedName function="false" hidden="false" name="IQ_SALE_INTAN_CF" vbProcedure="false">"c1131"</definedName>
    <definedName function="false" hidden="false" name="IQ_SALE_INTAN_CF_BNK" vbProcedure="false">"c1132"</definedName>
    <definedName function="false" hidden="false" name="IQ_SALE_INTAN_CF_BR" vbProcedure="false">"c1133"</definedName>
    <definedName function="false" hidden="false" name="IQ_SALE_INTAN_CF_FIN" vbProcedure="false">"c1134"</definedName>
    <definedName function="false" hidden="false" name="IQ_SALE_INTAN_CF_INS" vbProcedure="false">"c1135"</definedName>
    <definedName function="false" hidden="false" name="IQ_SALE_INTAN_CF_REIT" vbProcedure="false">"c1627"</definedName>
    <definedName function="false" hidden="false" name="IQ_SALE_INTAN_CF_UTI" vbProcedure="false">"c1136"</definedName>
    <definedName function="false" hidden="false" name="IQ_SALE_PPE_CF" vbProcedure="false">"c1137"</definedName>
    <definedName function="false" hidden="false" name="IQ_SALE_PPE_CF_BNK" vbProcedure="false">"c1138"</definedName>
    <definedName function="false" hidden="false" name="IQ_SALE_PPE_CF_BR" vbProcedure="false">"c1139"</definedName>
    <definedName function="false" hidden="false" name="IQ_SALE_PPE_CF_FIN" vbProcedure="false">"c1140"</definedName>
    <definedName function="false" hidden="false" name="IQ_SALE_PPE_CF_INS" vbProcedure="false">"c1141"</definedName>
    <definedName function="false" hidden="false" name="IQ_SALE_PPE_CF_UTI" vbProcedure="false">"c1142"</definedName>
    <definedName function="false" hidden="false" name="IQ_SALE_REAL_ESTATE_CF" vbProcedure="false">"c1143"</definedName>
    <definedName function="false" hidden="false" name="IQ_SALE_REAL_ESTATE_CF_BNK" vbProcedure="false">"c1144"</definedName>
    <definedName function="false" hidden="false" name="IQ_SALE_REAL_ESTATE_CF_BR" vbProcedure="false">"c1145"</definedName>
    <definedName function="false" hidden="false" name="IQ_SALE_REAL_ESTATE_CF_FIN" vbProcedure="false">"c1146"</definedName>
    <definedName function="false" hidden="false" name="IQ_SALE_REAL_ESTATE_CF_INS" vbProcedure="false">"c1147"</definedName>
    <definedName function="false" hidden="false" name="IQ_SALE_REAL_ESTATE_CF_UTI" vbProcedure="false">"c1148"</definedName>
    <definedName function="false" hidden="false" name="IQ_SALE_RE_ASSETS" vbProcedure="false">"c1629"</definedName>
    <definedName function="false" hidden="false" name="IQ_SAME_STORE" vbProcedure="false">"c1149"</definedName>
    <definedName function="false" hidden="false" name="IQ_SAVING_DEP" vbProcedure="false">"c1150"</definedName>
    <definedName function="false" hidden="false" name="IQ_SECURITY_BORROW" vbProcedure="false">"c1152"</definedName>
    <definedName function="false" hidden="false" name="IQ_SECURITY_OWN" vbProcedure="false">"c1153"</definedName>
    <definedName function="false" hidden="false" name="IQ_SECURITY_RESELL" vbProcedure="false">"c1154"</definedName>
    <definedName function="false" hidden="false" name="IQ_SECUR_RECEIV" vbProcedure="false">"c1151"</definedName>
    <definedName function="false" hidden="false" name="IQ_SEPARATE_ACCT_ASSETS" vbProcedure="false">"c1155"</definedName>
    <definedName function="false" hidden="false" name="IQ_SEPARATE_ACCT_LIAB" vbProcedure="false">"c1156"</definedName>
    <definedName function="false" hidden="false" name="IQ_SERV_CHARGE_DEPOSITS" vbProcedure="false">"c1157"</definedName>
    <definedName function="false" hidden="false" name="IQ_SGA" vbProcedure="false">"c1158"</definedName>
    <definedName function="false" hidden="false" name="IQ_SGA_BNK" vbProcedure="false">"c1159"</definedName>
    <definedName function="false" hidden="false" name="IQ_SGA_INS" vbProcedure="false">"c1160"</definedName>
    <definedName function="false" hidden="false" name="IQ_SGA_MARGIN" vbProcedure="false">"c1898"</definedName>
    <definedName function="false" hidden="false" name="IQ_SGA_REIT" vbProcedure="false">"c1161"</definedName>
    <definedName function="false" hidden="false" name="IQ_SGA_SUPPL" vbProcedure="false">"c1162"</definedName>
    <definedName function="false" hidden="false" name="IQ_SGA_UTI" vbProcedure="false">"c1163"</definedName>
    <definedName function="false" hidden="false" name="IQ_SHAREOUTSTANDING" vbProcedure="false">"c1347"</definedName>
    <definedName function="false" hidden="false" name="IQ_SHARESOUTSTANDING" vbProcedure="false">"c1164"</definedName>
    <definedName function="false" hidden="false" name="IQ_SHORT_INTEREST" vbProcedure="false">"c1165"</definedName>
    <definedName function="false" hidden="false" name="IQ_SHORT_INTEREST_OVER_FLOAT" vbProcedure="false">"c1577"</definedName>
    <definedName function="false" hidden="false" name="IQ_SHORT_INTEREST_PERCENT" vbProcedure="false">"c1576"</definedName>
    <definedName function="false" hidden="false" name="IQ_SHORT_TERM_INVEST" vbProcedure="false">"c1425"</definedName>
    <definedName function="false" hidden="false" name="IQ_SMALL_INT_BEAR_CD" vbProcedure="false">"c1166"</definedName>
    <definedName function="false" hidden="false" name="IQ_SOFTWARE" vbProcedure="false">"c1167"</definedName>
    <definedName function="false" hidden="false" name="IQ_SOURCE" vbProcedure="false">"c1168"</definedName>
    <definedName function="false" hidden="false" name="IQ_SPECIAL_DIV_CF" vbProcedure="false">"c1169"</definedName>
    <definedName function="false" hidden="false" name="IQ_SPECIAL_DIV_CF_BNK" vbProcedure="false">"c1170"</definedName>
    <definedName function="false" hidden="false" name="IQ_SPECIAL_DIV_CF_BR" vbProcedure="false">"c1171"</definedName>
    <definedName function="false" hidden="false" name="IQ_SPECIAL_DIV_CF_FIN" vbProcedure="false">"c1172"</definedName>
    <definedName function="false" hidden="false" name="IQ_SPECIAL_DIV_CF_INS" vbProcedure="false">"c1173"</definedName>
    <definedName function="false" hidden="false" name="IQ_SPECIAL_DIV_CF_REIT" vbProcedure="false">"c1174"</definedName>
    <definedName function="false" hidden="false" name="IQ_SPECIAL_DIV_CF_UTI" vbProcedure="false">"c1175"</definedName>
    <definedName function="false" hidden="false" name="IQ_STATE" vbProcedure="false">"c1200"</definedName>
    <definedName function="false" hidden="false" name="IQ_STATUTORY_SURPLUS" vbProcedure="false">"c1201"</definedName>
    <definedName function="false" hidden="false" name="IQ_STOCK_BASED" vbProcedure="false">"c1202"</definedName>
    <definedName function="false" hidden="false" name="IQ_STOCK_BASED_CF" vbProcedure="false">"c1203"</definedName>
    <definedName function="false" hidden="false" name="IQ_STRIKE_PRICE_ISSUED" vbProcedure="false">"c1645"</definedName>
    <definedName function="false" hidden="false" name="IQ_STRIKE_PRICE_OS" vbProcedure="false">"c1646"</definedName>
    <definedName function="false" hidden="false" name="IQ_ST_DEBT" vbProcedure="false">"c1176"</definedName>
    <definedName function="false" hidden="false" name="IQ_ST_DEBT_BNK" vbProcedure="false">"c1177"</definedName>
    <definedName function="false" hidden="false" name="IQ_ST_DEBT_BR" vbProcedure="false">"c1178"</definedName>
    <definedName function="false" hidden="false" name="IQ_ST_DEBT_FIN" vbProcedure="false">"c1179"</definedName>
    <definedName function="false" hidden="false" name="IQ_ST_DEBT_INS" vbProcedure="false">"c1180"</definedName>
    <definedName function="false" hidden="false" name="IQ_ST_DEBT_ISSUED" vbProcedure="false">"c1181"</definedName>
    <definedName function="false" hidden="false" name="IQ_ST_DEBT_ISSUED_BNK" vbProcedure="false">"c1182"</definedName>
    <definedName function="false" hidden="false" name="IQ_ST_DEBT_ISSUED_BR" vbProcedure="false">"c1183"</definedName>
    <definedName function="false" hidden="false" name="IQ_ST_DEBT_ISSUED_FIN" vbProcedure="false">"c1184"</definedName>
    <definedName function="false" hidden="false" name="IQ_ST_DEBT_ISSUED_INS" vbProcedure="false">"c1185"</definedName>
    <definedName function="false" hidden="false" name="IQ_ST_DEBT_ISSUED_REIT" vbProcedure="false">"c1186"</definedName>
    <definedName function="false" hidden="false" name="IQ_ST_DEBT_ISSUED_UTI" vbProcedure="false">"c1187"</definedName>
    <definedName function="false" hidden="false" name="IQ_ST_DEBT_REIT" vbProcedure="false">"c1188"</definedName>
    <definedName function="false" hidden="false" name="IQ_ST_DEBT_REPAID" vbProcedure="false">"c1189"</definedName>
    <definedName function="false" hidden="false" name="IQ_ST_DEBT_REPAID_BNK" vbProcedure="false">"c1190"</definedName>
    <definedName function="false" hidden="false" name="IQ_ST_DEBT_REPAID_BR" vbProcedure="false">"c1191"</definedName>
    <definedName function="false" hidden="false" name="IQ_ST_DEBT_REPAID_FIN" vbProcedure="false">"c1192"</definedName>
    <definedName function="false" hidden="false" name="IQ_ST_DEBT_REPAID_INS" vbProcedure="false">"c1193"</definedName>
    <definedName function="false" hidden="false" name="IQ_ST_DEBT_REPAID_REIT" vbProcedure="false">"c1194"</definedName>
    <definedName function="false" hidden="false" name="IQ_ST_DEBT_REPAID_UTI" vbProcedure="false">"c1195"</definedName>
    <definedName function="false" hidden="false" name="IQ_ST_DEBT_UTI" vbProcedure="false">"c1196"</definedName>
    <definedName function="false" hidden="false" name="IQ_ST_INVEST" vbProcedure="false">"c1197"</definedName>
    <definedName function="false" hidden="false" name="IQ_ST_INVEST_UTI" vbProcedure="false">"c1198"</definedName>
    <definedName function="false" hidden="false" name="IQ_ST_NOTE_RECEIV" vbProcedure="false">"c1199"</definedName>
    <definedName function="false" hidden="false" name="IQ_SUB_LEASE_AFTER_FIVE" vbProcedure="false">"c1207"</definedName>
    <definedName function="false" hidden="false" name="IQ_SUB_LEASE_INC_CY" vbProcedure="false">"c1208"</definedName>
    <definedName function="false" hidden="false" name="IQ_SUB_LEASE_INC_CY1" vbProcedure="false">"c1209"</definedName>
    <definedName function="false" hidden="false" name="IQ_SUB_LEASE_INC_CY2" vbProcedure="false">"c1210"</definedName>
    <definedName function="false" hidden="false" name="IQ_SUB_LEASE_INC_CY3" vbProcedure="false">"c1211"</definedName>
    <definedName function="false" hidden="false" name="IQ_SUB_LEASE_INC_CY4" vbProcedure="false">"c1212"</definedName>
    <definedName function="false" hidden="false" name="IQ_SUB_LEASE_NEXT_FIVE" vbProcedure="false">"c1213"</definedName>
    <definedName function="false" hidden="false" name="IQ_SVA" vbProcedure="false">"c1214"</definedName>
    <definedName function="false" hidden="false" name="IQ_TARGET_PRICE_NUM" vbProcedure="false">"c1653"</definedName>
    <definedName function="false" hidden="false" name="IQ_TARGET_PRICE_STDDEV" vbProcedure="false">"c1654"</definedName>
    <definedName function="false" hidden="false" name="IQ_TAX_BENEFIT_OPTIONS" vbProcedure="false">"c1215"</definedName>
    <definedName function="false" hidden="false" name="IQ_TAX_EQUIV_NET_INT_INC" vbProcedure="false">"c1216"</definedName>
    <definedName function="false" hidden="false" name="IQ_TBV" vbProcedure="false">"c1906"</definedName>
    <definedName function="false" hidden="false" name="IQ_TBV_10YR_ANN_GROWTH" vbProcedure="false">"c1936"</definedName>
    <definedName function="false" hidden="false" name="IQ_TBV_1YR_ANN_GROWTH" vbProcedure="false">"c1931"</definedName>
    <definedName function="false" hidden="false" name="IQ_TBV_2YR_ANN_GROWTH" vbProcedure="false">"c1932"</definedName>
    <definedName function="false" hidden="false" name="IQ_TBV_3YR_ANN_GROWTH" vbProcedure="false">"c1933"</definedName>
    <definedName function="false" hidden="false" name="IQ_TBV_5YR_ANN_GROWTH" vbProcedure="false">"c1934"</definedName>
    <definedName function="false" hidden="false" name="IQ_TBV_7YR_ANN_GROWTH" vbProcedure="false">"c1935"</definedName>
    <definedName function="false" hidden="false" name="IQ_TBV_SHARE" vbProcedure="false">"c1217"</definedName>
    <definedName function="false" hidden="false" name="IQ_TEMPLATE" vbProcedure="false">"c1521"</definedName>
    <definedName function="false" hidden="false" name="IQ_TENANT" vbProcedure="false">"c1218"</definedName>
    <definedName function="false" hidden="false" name="IQ_TEV" vbProcedure="false">"c1219"</definedName>
    <definedName function="false" hidden="false" name="IQ_TEV_EBIT" vbProcedure="false">"c1220"</definedName>
    <definedName function="false" hidden="false" name="IQ_TEV_EBITDA" vbProcedure="false">"c1222"</definedName>
    <definedName function="false" hidden="false" name="IQ_TEV_EBITDA_AVG" vbProcedure="false">"c1223"</definedName>
    <definedName function="false" hidden="false" name="IQ_TEV_EBITDA_FWD" vbProcedure="false">"c1224"</definedName>
    <definedName function="false" hidden="false" name="IQ_TEV_EBIT_AVG" vbProcedure="false">"c1221"</definedName>
    <definedName function="false" hidden="false" name="IQ_TEV_EMPLOYEE_AVG" vbProcedure="false">"c1225"</definedName>
    <definedName function="false" hidden="false" name="IQ_TEV_TOTAL_REV" vbProcedure="false">"c1226"</definedName>
    <definedName function="false" hidden="false" name="IQ_TEV_TOTAL_REV_AVG" vbProcedure="false">"c1227"</definedName>
    <definedName function="false" hidden="false" name="IQ_TEV_TOTAL_REV_FWD" vbProcedure="false">"c1228"</definedName>
    <definedName function="false" hidden="false" name="IQ_TIER_ONE_RATIO" vbProcedure="false">"c1229"</definedName>
    <definedName function="false" hidden="false" name="IQ_TIME_DEP" vbProcedure="false">"c1230"</definedName>
    <definedName function="false" hidden="false" name="IQ_TODAY" vbProcedure="false">0</definedName>
    <definedName function="false" hidden="false" name="IQ_TOTAL_AR_BR" vbProcedure="false">"c1231"</definedName>
    <definedName function="false" hidden="false" name="IQ_TOTAL_AR_REIT" vbProcedure="false">"c1232"</definedName>
    <definedName function="false" hidden="false" name="IQ_TOTAL_AR_UTI" vbProcedure="false">"c1233"</definedName>
    <definedName function="false" hidden="false" name="IQ_TOTAL_ASSETS" vbProcedure="false">"c1234"</definedName>
    <definedName function="false" hidden="false" name="IQ_TOTAL_ASSETS_10YR_ANN_GROWTH" vbProcedure="false">"c1235"</definedName>
    <definedName function="false" hidden="false" name="IQ_TOTAL_ASSETS_1YR_ANN_GROWTH" vbProcedure="false">"c1236"</definedName>
    <definedName function="false" hidden="false" name="IQ_TOTAL_ASSETS_2YR_ANN_GROWTH" vbProcedure="false">"c1237"</definedName>
    <definedName function="false" hidden="false" name="IQ_TOTAL_ASSETS_3YR_ANN_GROWTH" vbProcedure="false">"c1238"</definedName>
    <definedName function="false" hidden="false" name="IQ_TOTAL_ASSETS_5YR_ANN_GROWTH" vbProcedure="false">"c1239"</definedName>
    <definedName function="false" hidden="false" name="IQ_TOTAL_ASSETS_7YR_ANN_GROWTH" vbProcedure="false">"c1240"</definedName>
    <definedName function="false" hidden="false" name="IQ_TOTAL_AVG_CE_TOTAL_AVG_ASSETS" vbProcedure="false">"c1241"</definedName>
    <definedName function="false" hidden="false" name="IQ_TOTAL_AVG_EQUITY_TOTAL_AVG_ASSETS" vbProcedure="false">"c1242"</definedName>
    <definedName function="false" hidden="false" name="IQ_TOTAL_CA" vbProcedure="false">"c1243"</definedName>
    <definedName function="false" hidden="false" name="IQ_TOTAL_CAP" vbProcedure="false">"c1507"</definedName>
    <definedName function="false" hidden="false" name="IQ_TOTAL_CAPITAL_RATIO" vbProcedure="false">"c1244"</definedName>
    <definedName function="false" hidden="false" name="IQ_TOTAL_CASH_DIVID" vbProcedure="false">"c1455"</definedName>
    <definedName function="false" hidden="false" name="IQ_TOTAL_CASH_FINAN" vbProcedure="false">"c1352"</definedName>
    <definedName function="false" hidden="false" name="IQ_TOTAL_CASH_INVEST" vbProcedure="false">"c1353"</definedName>
    <definedName function="false" hidden="false" name="IQ_TOTAL_CASH_OPER" vbProcedure="false">"c1354"</definedName>
    <definedName function="false" hidden="false" name="IQ_TOTAL_CHURN" vbProcedure="false">"c2122"</definedName>
    <definedName function="false" hidden="false" name="IQ_TOTAL_CL" vbProcedure="false">"c1245"</definedName>
    <definedName function="false" hidden="false" name="IQ_TOTAL_COMMON" vbProcedure="false">"c1411"</definedName>
    <definedName function="false" hidden="false" name="IQ_TOTAL_COMMON_EQUITY" vbProcedure="false">"c1246"</definedName>
    <definedName function="false" hidden="false" name="IQ_TOTAL_CURRENT_ASSETS" vbProcedure="false">"c1430"</definedName>
    <definedName function="false" hidden="false" name="IQ_TOTAL_CURRENT_LIAB" vbProcedure="false">"c1431"</definedName>
    <definedName function="false" hidden="false" name="IQ_TOTAL_DEBT" vbProcedure="false">"c1247"</definedName>
    <definedName function="false" hidden="false" name="IQ_TOTAL_DEBT_CAPITAL" vbProcedure="false">"c1248"</definedName>
    <definedName function="false" hidden="false" name="IQ_TOTAL_DEBT_EBITDA" vbProcedure="false">"c1249"</definedName>
    <definedName function="false" hidden="false" name="IQ_TOTAL_DEBT_EQUITY" vbProcedure="false">"c1250"</definedName>
    <definedName function="false" hidden="false" name="IQ_TOTAL_DEBT_ISSUED" vbProcedure="false">"c1251"</definedName>
    <definedName function="false" hidden="false" name="IQ_TOTAL_DEBT_ISSUED_BNK" vbProcedure="false">"c1252"</definedName>
    <definedName function="false" hidden="false" name="IQ_TOTAL_DEBT_ISSUED_BR" vbProcedure="false">"c1253"</definedName>
    <definedName function="false" hidden="false" name="IQ_TOTAL_DEBT_ISSUED_FIN" vbProcedure="false">"c1254"</definedName>
    <definedName function="false" hidden="false" name="IQ_TOTAL_DEBT_ISSUED_REIT" vbProcedure="false">"c1255"</definedName>
    <definedName function="false" hidden="false" name="IQ_TOTAL_DEBT_ISSUED_UTI" vbProcedure="false">"c1256"</definedName>
    <definedName function="false" hidden="false" name="IQ_TOTAL_DEBT_ISSUES_INS" vbProcedure="false">"c1257"</definedName>
    <definedName function="false" hidden="false" name="IQ_TOTAL_DEBT_OVER_EBITDA" vbProcedure="false">"c1433"</definedName>
    <definedName function="false" hidden="false" name="IQ_TOTAL_DEBT_OVER_TOTAL_BV" vbProcedure="false">"c1434"</definedName>
    <definedName function="false" hidden="false" name="IQ_TOTAL_DEBT_OVER_TOTAL_CAP" vbProcedure="false">"c1432"</definedName>
    <definedName function="false" hidden="false" name="IQ_TOTAL_DEBT_REPAID" vbProcedure="false">"c1258"</definedName>
    <definedName function="false" hidden="false" name="IQ_TOTAL_DEBT_REPAID_BNK" vbProcedure="false">"c1259"</definedName>
    <definedName function="false" hidden="false" name="IQ_TOTAL_DEBT_REPAID_BR" vbProcedure="false">"c1260"</definedName>
    <definedName function="false" hidden="false" name="IQ_TOTAL_DEBT_REPAID_FIN" vbProcedure="false">"c1261"</definedName>
    <definedName function="false" hidden="false" name="IQ_TOTAL_DEBT_REPAID_INS" vbProcedure="false">"c1262"</definedName>
    <definedName function="false" hidden="false" name="IQ_TOTAL_DEBT_REPAID_REIT" vbProcedure="false">"c1263"</definedName>
    <definedName function="false" hidden="false" name="IQ_TOTAL_DEBT_REPAID_UTI" vbProcedure="false">"c1264"</definedName>
    <definedName function="false" hidden="false" name="IQ_TOTAL_DEPOSITS" vbProcedure="false">"c1265"</definedName>
    <definedName function="false" hidden="false" name="IQ_TOTAL_DIV_PAID_CF" vbProcedure="false">"c1266"</definedName>
    <definedName function="false" hidden="false" name="IQ_TOTAL_EMPLOYEES" vbProcedure="false">"c1522"</definedName>
    <definedName function="false" hidden="false" name="IQ_TOTAL_EQUITY" vbProcedure="false">"c1267"</definedName>
    <definedName function="false" hidden="false" name="IQ_TOTAL_EQUITY_10YR_ANN_GROWTH" vbProcedure="false">"c1268"</definedName>
    <definedName function="false" hidden="false" name="IQ_TOTAL_EQUITY_1YR_ANN_GROWTH" vbProcedure="false">"c1269"</definedName>
    <definedName function="false" hidden="false" name="IQ_TOTAL_EQUITY_2YR_ANN_GROWTH" vbProcedure="false">"c1270"</definedName>
    <definedName function="false" hidden="false" name="IQ_TOTAL_EQUITY_3YR_ANN_GROWTH" vbProcedure="false">"c1271"</definedName>
    <definedName function="false" hidden="false" name="IQ_TOTAL_EQUITY_5YR_ANN_GROWTH" vbProcedure="false">"c1272"</definedName>
    <definedName function="false" hidden="false" name="IQ_TOTAL_EQUITY_7YR_ANN_GROWTH" vbProcedure="false">"c1273"</definedName>
    <definedName function="false" hidden="false" name="IQ_TOTAL_EQUITY_ALLOWANCE_TOTAL_LOANS" vbProcedure="false">"c1274"</definedName>
    <definedName function="false" hidden="false" name="IQ_TOTAL_INTEREST_EXP" vbProcedure="false">"c1382"</definedName>
    <definedName function="false" hidden="false" name="IQ_TOTAL_INVENTORY" vbProcedure="false">"c1385"</definedName>
    <definedName function="false" hidden="false" name="IQ_TOTAL_INVEST" vbProcedure="false">"c1275"</definedName>
    <definedName function="false" hidden="false" name="IQ_TOTAL_LIAB" vbProcedure="false">"c1276"</definedName>
    <definedName function="false" hidden="false" name="IQ_TOTAL_LIAB_BNK" vbProcedure="false">"c1277"</definedName>
    <definedName function="false" hidden="false" name="IQ_TOTAL_LIAB_BR" vbProcedure="false">"c1278"</definedName>
    <definedName function="false" hidden="false" name="IQ_TOTAL_LIAB_EQUITY" vbProcedure="false">"c1279"</definedName>
    <definedName function="false" hidden="false" name="IQ_TOTAL_LIAB_FIN" vbProcedure="false">"c1280"</definedName>
    <definedName function="false" hidden="false" name="IQ_TOTAL_LIAB_INS" vbProcedure="false">"c1281"</definedName>
    <definedName function="false" hidden="false" name="IQ_TOTAL_LIAB_REIT" vbProcedure="false">"c1282"</definedName>
    <definedName function="false" hidden="false" name="IQ_TOTAL_LIAB_SHAREHOLD" vbProcedure="false">"c1435"</definedName>
    <definedName function="false" hidden="false" name="IQ_TOTAL_LIAB_TOTAL_ASSETS" vbProcedure="false">"c1283"</definedName>
    <definedName function="false" hidden="false" name="IQ_TOTAL_LONG_DEBT" vbProcedure="false">"c1617"</definedName>
    <definedName function="false" hidden="false" name="IQ_TOTAL_NON_REC" vbProcedure="false">"c1444"</definedName>
    <definedName function="false" hidden="false" name="IQ_TOTAL_OPER_EXPEN" vbProcedure="false">"c1445"</definedName>
    <definedName function="false" hidden="false" name="IQ_TOTAL_OPER_EXP_BR" vbProcedure="false">"c1284"</definedName>
    <definedName function="false" hidden="false" name="IQ_TOTAL_OPER_EXP_FIN" vbProcedure="false">"c1285"</definedName>
    <definedName function="false" hidden="false" name="IQ_TOTAL_OPER_EXP_INS" vbProcedure="false">"c1286"</definedName>
    <definedName function="false" hidden="false" name="IQ_TOTAL_OPER_EXP_REIT" vbProcedure="false">"c1287"</definedName>
    <definedName function="false" hidden="false" name="IQ_TOTAL_OPER_EXP_UTI" vbProcedure="false">"c1288"</definedName>
    <definedName function="false" hidden="false" name="IQ_TOTAL_OTHER_OPER" vbProcedure="false">"c1289"</definedName>
    <definedName function="false" hidden="false" name="IQ_TOTAL_OUTSTANDING_BS_DATE" vbProcedure="false">"c1022"</definedName>
    <definedName function="false" hidden="false" name="IQ_TOTAL_OUTSTANDING_FILING_DATE" vbProcedure="false">"c2107"</definedName>
    <definedName function="false" hidden="false" name="IQ_TOTAL_PENSION_ASSETS" vbProcedure="false">"c1290"</definedName>
    <definedName function="false" hidden="false" name="IQ_TOTAL_PENSION_EXP" vbProcedure="false">"c1291"</definedName>
    <definedName function="false" hidden="false" name="IQ_TOTAL_PENSION_OBLIGATION" vbProcedure="false">"c1292"</definedName>
    <definedName function="false" hidden="false" name="IQ_TOTAL_PROVED_RESERVES_OIL" vbProcedure="false">"c2040"</definedName>
    <definedName function="false" hidden="false" name="IQ_TOTAL_RECEIV" vbProcedure="false">"c1293"</definedName>
    <definedName function="false" hidden="false" name="IQ_TOTAL_REV" vbProcedure="false">"c1294"</definedName>
    <definedName function="false" hidden="false" name="IQ_TOTAL_REVENUE" vbProcedure="false">"c1436"</definedName>
    <definedName function="false" hidden="false" name="IQ_TOTAL_REV_10YR_ANN_GROWTH" vbProcedure="false">"c1295"</definedName>
    <definedName function="false" hidden="false" name="IQ_TOTAL_REV_1YR_ANN_GROWTH" vbProcedure="false">"c1296"</definedName>
    <definedName function="false" hidden="false" name="IQ_TOTAL_REV_2YR_ANN_GROWTH" vbProcedure="false">"c1297"</definedName>
    <definedName function="false" hidden="false" name="IQ_TOTAL_REV_3YR_ANN_GROWTH" vbProcedure="false">"c1298"</definedName>
    <definedName function="false" hidden="false" name="IQ_TOTAL_REV_5YR_ANN_GROWTH" vbProcedure="false">"c1299"</definedName>
    <definedName function="false" hidden="false" name="IQ_TOTAL_REV_7YR_ANN_GROWTH" vbProcedure="false">"c1300"</definedName>
    <definedName function="false" hidden="false" name="IQ_TOTAL_REV_AS_REPORTED" vbProcedure="false">"c1301"</definedName>
    <definedName function="false" hidden="false" name="IQ_TOTAL_REV_BNK" vbProcedure="false">"c1302"</definedName>
    <definedName function="false" hidden="false" name="IQ_TOTAL_REV_BR" vbProcedure="false">"c1303"</definedName>
    <definedName function="false" hidden="false" name="IQ_TOTAL_REV_EMPLOYEE" vbProcedure="false">"c1304"</definedName>
    <definedName function="false" hidden="false" name="IQ_TOTAL_REV_FIN" vbProcedure="false">"c1305"</definedName>
    <definedName function="false" hidden="false" name="IQ_TOTAL_REV_INS" vbProcedure="false">"c1306"</definedName>
    <definedName function="false" hidden="false" name="IQ_TOTAL_REV_REIT" vbProcedure="false">"c1307"</definedName>
    <definedName function="false" hidden="false" name="IQ_TOTAL_REV_SHARE" vbProcedure="false">"c1912"</definedName>
    <definedName function="false" hidden="false" name="IQ_TOTAL_REV_UTI" vbProcedure="false">"c1308"</definedName>
    <definedName function="false" hidden="false" name="IQ_TOTAL_SPECIAL" vbProcedure="false">"c1618"</definedName>
    <definedName function="false" hidden="false" name="IQ_TOTAL_ST_BORROW" vbProcedure="false">"c1424"</definedName>
    <definedName function="false" hidden="false" name="IQ_TOTAL_SUBS" vbProcedure="false">"c2119"</definedName>
    <definedName function="false" hidden="false" name="IQ_TOTAL_UNUSUAL" vbProcedure="false">"c1508"</definedName>
    <definedName function="false" hidden="false" name="IQ_TOT_ADJ_INC" vbProcedure="false">"c1616"</definedName>
    <definedName function="false" hidden="false" name="IQ_TRADE_AR" vbProcedure="false">"c1345"</definedName>
    <definedName function="false" hidden="false" name="IQ_TRADE_PRINCIPAL" vbProcedure="false">"c1309"</definedName>
    <definedName function="false" hidden="false" name="IQ_TRADING_ASSETS" vbProcedure="false">"c1310"</definedName>
    <definedName function="false" hidden="false" name="IQ_TREASURY" vbProcedure="false">"c1311"</definedName>
    <definedName function="false" hidden="false" name="IQ_TREASURY_OTHER_EQUITY" vbProcedure="false">"c1312"</definedName>
    <definedName function="false" hidden="false" name="IQ_TREASURY_OTHER_EQUITY_BNK" vbProcedure="false">"c1313"</definedName>
    <definedName function="false" hidden="false" name="IQ_TREASURY_OTHER_EQUITY_BR" vbProcedure="false">"c1314"</definedName>
    <definedName function="false" hidden="false" name="IQ_TREASURY_OTHER_EQUITY_FIN" vbProcedure="false">"c1315"</definedName>
    <definedName function="false" hidden="false" name="IQ_TREASURY_OTHER_EQUITY_INS" vbProcedure="false">"c1316"</definedName>
    <definedName function="false" hidden="false" name="IQ_TREASURY_OTHER_EQUITY_REIT" vbProcedure="false">"c1317"</definedName>
    <definedName function="false" hidden="false" name="IQ_TREASURY_OTHER_EQUITY_UTI" vbProcedure="false">"c1318"</definedName>
    <definedName function="false" hidden="false" name="IQ_TREASURY_STOCK" vbProcedure="false">"c1438"</definedName>
    <definedName function="false" hidden="false" name="IQ_TRUST_INC" vbProcedure="false">"c1319"</definedName>
    <definedName function="false" hidden="false" name="IQ_TRUST_PREF" vbProcedure="false">"c1320"</definedName>
    <definedName function="false" hidden="false" name="IQ_UFCF_10YR_ANN_GROWTH" vbProcedure="false">"c1948"</definedName>
    <definedName function="false" hidden="false" name="IQ_UFCF_1YR_ANN_GROWTH" vbProcedure="false">"c1943"</definedName>
    <definedName function="false" hidden="false" name="IQ_UFCF_2YR_ANN_GROWTH" vbProcedure="false">"c1944"</definedName>
    <definedName function="false" hidden="false" name="IQ_UFCF_3YR_ANN_GROWTH" vbProcedure="false">"c1945"</definedName>
    <definedName function="false" hidden="false" name="IQ_UFCF_5YR_ANN_GROWTH" vbProcedure="false">"c1946"</definedName>
    <definedName function="false" hidden="false" name="IQ_UFCF_7YR_ANN_GROWTH" vbProcedure="false">"c1947"</definedName>
    <definedName function="false" hidden="false" name="IQ_UFCF_MARGIN" vbProcedure="false">"c1962"</definedName>
    <definedName function="false" hidden="false" name="IQ_UNEARN_PREMIUM" vbProcedure="false">"c1321"</definedName>
    <definedName function="false" hidden="false" name="IQ_UNEARN_REV_CURRENT" vbProcedure="false">"c1322"</definedName>
    <definedName function="false" hidden="false" name="IQ_UNEARN_REV_CURRENT_BNK" vbProcedure="false">"c1323"</definedName>
    <definedName function="false" hidden="false" name="IQ_UNEARN_REV_CURRENT_BR" vbProcedure="false">"c1324"</definedName>
    <definedName function="false" hidden="false" name="IQ_UNEARN_REV_CURRENT_FIN" vbProcedure="false">"c1325"</definedName>
    <definedName function="false" hidden="false" name="IQ_UNEARN_REV_CURRENT_INS" vbProcedure="false">"c1326"</definedName>
    <definedName function="false" hidden="false" name="IQ_UNEARN_REV_CURRENT_REIT" vbProcedure="false">"c1327"</definedName>
    <definedName function="false" hidden="false" name="IQ_UNEARN_REV_CURRENT_UTI" vbProcedure="false">"c1328"</definedName>
    <definedName function="false" hidden="false" name="IQ_UNEARN_REV_LT" vbProcedure="false">"c1329"</definedName>
    <definedName function="false" hidden="false" name="IQ_UNLEVERED_FCF" vbProcedure="false">"c1908"</definedName>
    <definedName function="false" hidden="false" name="IQ_UNPAID_CLAIMS" vbProcedure="false">"c1330"</definedName>
    <definedName function="false" hidden="false" name="IQ_UNREALIZED_GAIN" vbProcedure="false">"c1619"</definedName>
    <definedName function="false" hidden="false" name="IQ_UNUSUAL_EXP" vbProcedure="false">"c1456"</definedName>
    <definedName function="false" hidden="false" name="IQ_US_GAAP" vbProcedure="false">"c1331"</definedName>
    <definedName function="false" hidden="false" name="IQ_UTIL_PPE_NET" vbProcedure="false">"c1620"</definedName>
    <definedName function="false" hidden="false" name="IQ_UTIL_REV" vbProcedure="false">"c2091"</definedName>
    <definedName function="false" hidden="false" name="IQ_UV_PENSION_LIAB" vbProcedure="false">"c1332"</definedName>
    <definedName function="false" hidden="false" name="IQ_VALUE_TRADED_LAST_3MTH" vbProcedure="false">"c1530"</definedName>
    <definedName function="false" hidden="false" name="IQ_VALUE_TRADED_LAST_6MTH" vbProcedure="false">"c1531"</definedName>
    <definedName function="false" hidden="false" name="IQ_VALUE_TRADED_LAST_MTH" vbProcedure="false">"c1529"</definedName>
    <definedName function="false" hidden="false" name="IQ_VALUE_TRADED_LAST_WK" vbProcedure="false">"c1528"</definedName>
    <definedName function="false" hidden="false" name="IQ_VALUE_TRADED_LAST_YR" vbProcedure="false">"c1532"</definedName>
    <definedName function="false" hidden="false" name="IQ_VOLUME" vbProcedure="false">"c1333"</definedName>
    <definedName function="false" hidden="false" name="IQ_VOL_LAST_3MTH" vbProcedure="false">"c1525"</definedName>
    <definedName function="false" hidden="false" name="IQ_VOL_LAST_6MTH" vbProcedure="false">"c1526"</definedName>
    <definedName function="false" hidden="false" name="IQ_VOL_LAST_MTH" vbProcedure="false">"c1524"</definedName>
    <definedName function="false" hidden="false" name="IQ_VOL_LAST_WK" vbProcedure="false">"c1523"</definedName>
    <definedName function="false" hidden="false" name="IQ_VOL_LAST_YR" vbProcedure="false">"c1527"</definedName>
    <definedName function="false" hidden="false" name="IQ_WEEK" vbProcedure="false">50000</definedName>
    <definedName function="false" hidden="false" name="IQ_WEIGHTED_AVG_PRICE" vbProcedure="false">"c1334"</definedName>
    <definedName function="false" hidden="false" name="IQ_WIP_INV" vbProcedure="false">"c1335"</definedName>
    <definedName function="false" hidden="false" name="IQ_WORKMEN_WRITTEN" vbProcedure="false">"c1336"</definedName>
    <definedName function="false" hidden="false" name="IQ_XDIV_DATE" vbProcedure="false">"c2104"</definedName>
    <definedName function="false" hidden="false" name="IQ_YEARHIGH" vbProcedure="false">"c1337"</definedName>
    <definedName function="false" hidden="false" name="IQ_YEARLOW" vbProcedure="false">"c1338"</definedName>
    <definedName function="false" hidden="false" name="IQ_YTD" vbProcedure="false">3000</definedName>
    <definedName function="false" hidden="false" name="IQ_YTDMONTH" vbProcedure="false">130000</definedName>
    <definedName function="false" hidden="false" name="IQ_Z_SCORE" vbProcedure="false">"c1339"</definedName>
    <definedName function="false" hidden="false" name="R_Country" vbProcedure="false">'[2]11b. Answers'!$E$71:$E$157</definedName>
    <definedName function="false" hidden="false" name="R_Product" vbProcedure="false">'[2]11b. Answers'!$C$71:$C$81</definedName>
    <definedName function="false" hidden="false" name="SalesQuantity" vbProcedure="false">#REF!</definedName>
    <definedName function="false" hidden="false" name="SalesRevenue" vbProcedure="false">#REF!</definedName>
    <definedName function="false" hidden="false" name="SAPBEXdnldView" vbProcedure="false">"8BP3QV0RPO6FBFRYQTIF6HCV4"</definedName>
    <definedName function="false" hidden="false" name="SAPBEXsysID" vbProcedure="false">"RP5"</definedName>
    <definedName function="false" hidden="false" name="Slicer_Country" vbProcedure="false">#N/A</definedName>
    <definedName function="false" hidden="false" name="Slicer_Sales_Channel" vbProcedure="false">#N/A</definedName>
    <definedName function="false" hidden="false" name="Version" vbProcedure="false">[5]Welcome!$Q$19</definedName>
    <definedName function="false" hidden="false" name="wrn.All." vbProcedure="false">{#N/A,#N/A,FALSE,"Summary";#N/A,#N/A,FALSE,"Detail 1";#N/A,#N/A,FALSE,"Detail 2";#N/A,#N/A,FALSE,"Act Spend"}</definedName>
    <definedName function="false" hidden="false" name="wrn.MGate_Status." vbProcedure="false">{"M_Gate_Status",#N/A,FALSE,"Report"}</definedName>
    <definedName function="false" hidden="false" name="_Fill" vbProcedure="false">[1]Ampoule!$AW$3:$CQ$3</definedName>
    <definedName function="false" hidden="false" name="_Order1" vbProcedure="false">255</definedName>
    <definedName function="false" hidden="false" name="__123Graph_AGRAPH1" vbProcedure="false">[1]Ampoule!$AP$4</definedName>
    <definedName function="false" hidden="false" name="__123Graph_AGRAPH10" vbProcedure="false">[1]CAM1!$G$1:$AK$1</definedName>
    <definedName function="false" hidden="false" name="__123Graph_AGRAPH12" vbProcedure="false">[1]SIROP!$G$1:$AK$1</definedName>
    <definedName function="false" hidden="false" name="__123Graph_AGRAPH16" vbProcedure="false">[1]SACHET!$G$1:$AK$1</definedName>
    <definedName function="false" hidden="false" name="__123Graph_AGRAPH18" vbProcedure="false">[1]TUBE!$G$1:$AK$1</definedName>
    <definedName function="false" hidden="false" name="__123Graph_AGRAPH2" vbProcedure="false">[1]Ampoule!$G$1:$AK$1</definedName>
    <definedName function="false" hidden="false" name="__123Graph_AGRAPH20" vbProcedure="false">[1]SOUDURE!$G$1:$AK$1</definedName>
    <definedName function="false" hidden="false" name="__123Graph_AGRAPH23" vbProcedure="false">[1]UHL4!$G$1:$AK$1</definedName>
    <definedName function="false" hidden="false" name="__123Graph_AGRAPH26" vbProcedure="false">[1]GELULE!$G$1:$AK$1</definedName>
    <definedName function="false" hidden="false" name="__123Graph_AGRAPH4" vbProcedure="false">[1]UHL3!$G$1:$AK$1</definedName>
    <definedName function="false" hidden="false" name="__123Graph_AGRAPH8" vbProcedure="false">[1]UHL2!$G$1:$AK$1</definedName>
    <definedName function="false" hidden="false" name="__123Graph_BGRAPH1" vbProcedure="false">[1]Ampoule!$AP$5</definedName>
    <definedName function="false" hidden="false" name="__123Graph_BGRAPH11" vbProcedure="false">[1]SIROP!$AP$5</definedName>
    <definedName function="false" hidden="false" name="__123Graph_BGRAPH15" vbProcedure="false">[1]SACHET!$AP$5</definedName>
    <definedName function="false" hidden="false" name="__123Graph_BGRAPH17" vbProcedure="false">[1]TUBE!$AP$5</definedName>
    <definedName function="false" hidden="false" name="__123Graph_BGRAPH19" vbProcedure="false">[1]SOUDURE!$AP$5</definedName>
    <definedName function="false" hidden="false" name="__123Graph_BGRAPH22" vbProcedure="false">[1]UHL4!$AP$5</definedName>
    <definedName function="false" hidden="false" name="__123Graph_BGRAPH25" vbProcedure="false">[1]GELULE!$AP$5</definedName>
    <definedName function="false" hidden="false" name="__123Graph_BGRAPH27" vbProcedure="false">[1]SECT!$D$5</definedName>
    <definedName function="false" hidden="false" name="__123Graph_BGRAPH3" vbProcedure="false">[1]UHL3!$AP$5</definedName>
    <definedName function="false" hidden="false" name="__123Graph_BGRAPH6" vbProcedure="false">[1]UHL2!$AP$5</definedName>
    <definedName function="false" hidden="false" name="__123Graph_BGRAPH9" vbProcedure="false">[1]CAM1!$AP$5</definedName>
    <definedName function="false" hidden="false" name="__123Graph_CGRAPH1" vbProcedure="false">[1]Ampoule!$AP$6</definedName>
    <definedName function="false" hidden="false" name="__123Graph_CGRAPH11" vbProcedure="false">[1]SIROP!$AP$6</definedName>
    <definedName function="false" hidden="false" name="__123Graph_CGRAPH15" vbProcedure="false">[1]SACHET!$AP$6</definedName>
    <definedName function="false" hidden="false" name="__123Graph_CGRAPH17" vbProcedure="false">[1]TUBE!$AP$6</definedName>
    <definedName function="false" hidden="false" name="__123Graph_CGRAPH19" vbProcedure="false">[1]SOUDURE!$AP$6</definedName>
    <definedName function="false" hidden="false" name="__123Graph_CGRAPH22" vbProcedure="false">[1]UHL4!$AP$6</definedName>
    <definedName function="false" hidden="false" name="__123Graph_CGRAPH25" vbProcedure="false">[1]GELULE!$AP$6</definedName>
    <definedName function="false" hidden="false" name="__123Graph_CGRAPH27" vbProcedure="false">[1]SECT!$F$5</definedName>
    <definedName function="false" hidden="false" name="__123Graph_CGRAPH3" vbProcedure="false">[1]UHL3!$AP$6</definedName>
    <definedName function="false" hidden="false" name="__123Graph_CGRAPH6" vbProcedure="false">[1]UHL2!$AP$6</definedName>
    <definedName function="false" hidden="false" name="__123Graph_CGRAPH9" vbProcedure="false">[1]CAM1!$AP$6</definedName>
    <definedName function="false" hidden="false" name="__123Graph_DGRAPH1" vbProcedure="false">[1]Ampoule!$AP$7</definedName>
    <definedName function="false" hidden="false" name="__123Graph_DGRAPH11" vbProcedure="false">[1]SIROP!$AP$7</definedName>
    <definedName function="false" hidden="false" name="__123Graph_DGRAPH15" vbProcedure="false">[1]SACHET!$AP$7</definedName>
    <definedName function="false" hidden="false" name="__123Graph_DGRAPH17" vbProcedure="false">[1]TUBE!$AP$7</definedName>
    <definedName function="false" hidden="false" name="__123Graph_DGRAPH19" vbProcedure="false">[1]SOUDURE!$AP$7</definedName>
    <definedName function="false" hidden="false" name="__123Graph_DGRAPH22" vbProcedure="false">[1]UHL4!$AP$7</definedName>
    <definedName function="false" hidden="false" name="__123Graph_DGRAPH25" vbProcedure="false">[1]GELULE!$AP$7</definedName>
    <definedName function="false" hidden="false" name="__123Graph_DGRAPH3" vbProcedure="false">[1]UHL3!$AP$7</definedName>
    <definedName function="false" hidden="false" name="__123Graph_DGRAPH6" vbProcedure="false">[1]UHL2!$AP$7</definedName>
    <definedName function="false" hidden="false" name="__123Graph_DGRAPH9" vbProcedure="false">[1]CAM1!$AP$7</definedName>
    <definedName function="false" hidden="false" name="__123Graph_EGRAPH1" vbProcedure="false">[1]Ampoule!$AP$8</definedName>
    <definedName function="false" hidden="false" name="__123Graph_EGRAPH11" vbProcedure="false">[1]SIROP!$AP$8</definedName>
    <definedName function="false" hidden="false" name="__123Graph_EGRAPH15" vbProcedure="false">[1]SACHET!$AP$8</definedName>
    <definedName function="false" hidden="false" name="__123Graph_EGRAPH17" vbProcedure="false">[1]TUBE!$AP$8</definedName>
    <definedName function="false" hidden="false" name="__123Graph_EGRAPH19" vbProcedure="false">[1]SOUDURE!$AP$8</definedName>
    <definedName function="false" hidden="false" name="__123Graph_EGRAPH22" vbProcedure="false">[1]UHL4!$AP$8</definedName>
    <definedName function="false" hidden="false" name="__123Graph_EGRAPH25" vbProcedure="false">[1]GELULE!$AP$8</definedName>
    <definedName function="false" hidden="false" name="__123Graph_EGRAPH3" vbProcedure="false">[1]UHL3!$AP$8</definedName>
    <definedName function="false" hidden="false" name="__123Graph_EGRAPH6" vbProcedure="false">[1]UHL2!$AP$8</definedName>
    <definedName function="false" hidden="false" name="__123Graph_EGRAPH9" vbProcedure="false">[1]CAM1!$AP$8</definedName>
    <definedName function="false" hidden="false" name="__123Graph_FGRAPH1" vbProcedure="false">[1]Ampoule!$AP$9</definedName>
    <definedName function="false" hidden="false" name="__123Graph_FGRAPH11" vbProcedure="false">[1]SIROP!$AP$9</definedName>
    <definedName function="false" hidden="false" name="__123Graph_FGRAPH15" vbProcedure="false">[1]SACHET!$AP$9</definedName>
    <definedName function="false" hidden="false" name="__123Graph_FGRAPH17" vbProcedure="false">[1]TUBE!$AP$9</definedName>
    <definedName function="false" hidden="false" name="__123Graph_FGRAPH19" vbProcedure="false">[1]SOUDURE!$AP$9</definedName>
    <definedName function="false" hidden="false" name="__123Graph_FGRAPH22" vbProcedure="false">[1]UHL4!$AP$9</definedName>
    <definedName function="false" hidden="false" name="__123Graph_FGRAPH25" vbProcedure="false">[1]GELULE!$AP$9</definedName>
    <definedName function="false" hidden="false" name="__123Graph_FGRAPH3" vbProcedure="false">[1]UHL3!$AP$9</definedName>
    <definedName function="false" hidden="false" name="__123Graph_FGRAPH6" vbProcedure="false">[1]UHL2!$AP$9</definedName>
    <definedName function="false" hidden="false" name="__123Graph_FGRAPH9" vbProcedure="false">[1]CAM1!$AP$9</definedName>
    <definedName function="false" hidden="false" name="__123Graph_LBL_AGRAPH1" vbProcedure="false">[1]Ampoule!$AP$4</definedName>
    <definedName function="false" hidden="false" name="__123Graph_LBL_AGRAPH11" vbProcedure="false">[1]SIROP!$AP$4</definedName>
    <definedName function="false" hidden="false" name="__123Graph_LBL_AGRAPH15" vbProcedure="false">[1]SACHET!$AP$4</definedName>
    <definedName function="false" hidden="false" name="__123Graph_LBL_AGRAPH17" vbProcedure="false">[1]TUBE!$AP$4</definedName>
    <definedName function="false" hidden="false" name="__123Graph_LBL_AGRAPH19" vbProcedure="false">[1]SOUDURE!$AP$4</definedName>
    <definedName function="false" hidden="false" name="__123Graph_LBL_AGRAPH22" vbProcedure="false">[1]UHL4!$AP$4</definedName>
    <definedName function="false" hidden="false" name="__123Graph_LBL_AGRAPH25" vbProcedure="false">[1]GELULE!$AP$4</definedName>
    <definedName function="false" hidden="false" name="__123Graph_LBL_AGRAPH27" vbProcedure="false">[1]SECT!$B$5</definedName>
    <definedName function="false" hidden="false" name="__123Graph_LBL_AGRAPH3" vbProcedure="false">[1]UHL3!$AP$4</definedName>
    <definedName function="false" hidden="false" name="__123Graph_LBL_AGRAPH6" vbProcedure="false">[1]UHL2!$AP$4</definedName>
    <definedName function="false" hidden="false" name="__123Graph_LBL_AGRAPH9" vbProcedure="false">[1]CAM1!$AP$4</definedName>
    <definedName function="false" hidden="false" name="__123Graph_LBL_BGRAPH1" vbProcedure="false">[1]Ampoule!$AP$5</definedName>
    <definedName function="false" hidden="false" name="__123Graph_LBL_BGRAPH11" vbProcedure="false">[1]SIROP!$AP$5</definedName>
    <definedName function="false" hidden="false" name="__123Graph_LBL_BGRAPH15" vbProcedure="false">[1]SACHET!$AP$5</definedName>
    <definedName function="false" hidden="false" name="__123Graph_LBL_BGRAPH17" vbProcedure="false">[1]TUBE!$AP$5</definedName>
    <definedName function="false" hidden="false" name="__123Graph_LBL_BGRAPH19" vbProcedure="false">[1]SOUDURE!$AP$5</definedName>
    <definedName function="false" hidden="false" name="__123Graph_LBL_BGRAPH22" vbProcedure="false">[1]UHL4!$AP$5</definedName>
    <definedName function="false" hidden="false" name="__123Graph_LBL_BGRAPH25" vbProcedure="false">[1]GELULE!$AP$5</definedName>
    <definedName function="false" hidden="false" name="__123Graph_LBL_BGRAPH27" vbProcedure="false">[1]SECT!$D$5</definedName>
    <definedName function="false" hidden="false" name="__123Graph_LBL_BGRAPH3" vbProcedure="false">[1]UHL3!$AP$5</definedName>
    <definedName function="false" hidden="false" name="__123Graph_LBL_BGRAPH6" vbProcedure="false">[1]UHL2!$AP$5</definedName>
    <definedName function="false" hidden="false" name="__123Graph_LBL_BGRAPH9" vbProcedure="false">[1]CAM1!$AP$5</definedName>
    <definedName function="false" hidden="false" name="__123Graph_LBL_CGRAPH27" vbProcedure="false">[1]SECT!$F$5</definedName>
    <definedName function="false" hidden="false" name="__123Graph_LBL_FGRAPH1" vbProcedure="false">[1]Ampoule!$AP$9</definedName>
    <definedName function="false" hidden="false" name="__123Graph_LBL_FGRAPH11" vbProcedure="false">[1]SIROP!$AP$9</definedName>
    <definedName function="false" hidden="false" name="__123Graph_LBL_FGRAPH15" vbProcedure="false">[1]SACHET!$AP$9</definedName>
    <definedName function="false" hidden="false" name="__123Graph_LBL_FGRAPH17" vbProcedure="false">[1]TUBE!$AP$9</definedName>
    <definedName function="false" hidden="false" name="__123Graph_LBL_FGRAPH19" vbProcedure="false">[1]SOUDURE!$AP$9</definedName>
    <definedName function="false" hidden="false" name="__123Graph_LBL_FGRAPH22" vbProcedure="false">[1]UHL4!$AP$9</definedName>
    <definedName function="false" hidden="false" name="__123Graph_LBL_FGRAPH25" vbProcedure="false">[1]GELULE!$AP$9</definedName>
    <definedName function="false" hidden="false" name="__123Graph_LBL_FGRAPH3" vbProcedure="false">[1]UHL3!$AP$9</definedName>
    <definedName function="false" hidden="false" name="__123Graph_LBL_FGRAPH6" vbProcedure="false">[1]UHL2!$AP$9</definedName>
    <definedName function="false" hidden="false" name="__123Graph_LBL_FGRAPH9" vbProcedure="false">[1]CAM1!$AP$9</definedName>
    <definedName function="false" hidden="false" name="__123Graph_XGRAPH10" vbProcedure="false">[1]CAM1!$G$5:$AK$5</definedName>
    <definedName function="false" hidden="false" name="__123Graph_XGRAPH12" vbProcedure="false">[1]SIROP!$G$5:$AK$5</definedName>
    <definedName function="false" hidden="false" name="__123Graph_XGRAPH16" vbProcedure="false">[1]SACHET!$G$5:$AK$5</definedName>
    <definedName function="false" hidden="false" name="__123Graph_XGRAPH18" vbProcedure="false">[1]TUBE!$G$5:$AK$5</definedName>
    <definedName function="false" hidden="false" name="__123Graph_XGRAPH2" vbProcedure="false">[1]Ampoule!$G$5:$AK$5</definedName>
    <definedName function="false" hidden="false" name="__123Graph_XGRAPH20" vbProcedure="false">[1]SOUDURE!$G$5:$AK$5</definedName>
    <definedName function="false" hidden="false" name="__123Graph_XGRAPH23" vbProcedure="false">[1]UHL4!$G$5:$AK$5</definedName>
    <definedName function="false" hidden="false" name="__123Graph_XGRAPH26" vbProcedure="false">[1]GELULE!$G$5:$AK$5</definedName>
    <definedName function="false" hidden="false" name="__123Graph_XGRAPH4" vbProcedure="false">[1]UHL3!$G$5:$AK$5</definedName>
    <definedName function="false" hidden="false" name="__FDS_HYPERLINK_TOGGLE_STATE__" vbProcedure="false">"ON"</definedName>
    <definedName function="false" hidden="false" localSheetId="2" name="D2_Product_Lookup_Table" vbProcedure="false">'[2]2b. Product ID'!$C$12:$D$22</definedName>
    <definedName function="false" hidden="false" localSheetId="2" name="_xlnm.Print_Titles" vbProcedure="false">'Data Set'!$A:$F,'Data Set'!$1:$3</definedName>
    <definedName function="false" hidden="false" localSheetId="3" name="D1_Percent_Quantity" vbProcedure="false">'data set'!#ref!</definedName>
    <definedName function="false" hidden="false" localSheetId="3" name="D1_Percent_Revenue" vbProcedure="false">'data set'!#ref!</definedName>
    <definedName function="false" hidden="false" localSheetId="4" name="D1_Percent_Quantity" vbProcedure="false">'data set'!#ref!</definedName>
    <definedName function="false" hidden="false" localSheetId="4" name="D1_Percent_Revenue" vbProcedure="false">'data set'!#ref!</definedName>
    <definedName function="false" hidden="false" localSheetId="6" name="D1_Percent_Quantity" vbProcedure="false">'data set'!#ref!</definedName>
    <definedName function="false" hidden="false" localSheetId="6" name="D1_Percent_Revenue" vbProcedure="false">'data set'!#ref!</definedName>
    <definedName function="false" hidden="false" localSheetId="8" name="D1_Percent_Quantity" vbProcedure="false">'data set'!#ref!</definedName>
    <definedName function="false" hidden="false" localSheetId="8" name="D1_Percent_Revenue" vbProcedure="false">'data set'!#ref!</definedName>
    <definedName function="false" hidden="false" localSheetId="10" name="D1_Percent_Quantity" vbProcedure="false">'data set'!#ref!</definedName>
    <definedName function="false" hidden="false" localSheetId="10" name="D1_Percent_Revenue" vbProcedure="false">'data set'!#ref!</definedName>
    <definedName function="false" hidden="false" localSheetId="12" name="D1_Percent_Quantity" vbProcedure="false">'data set'!#ref!</definedName>
    <definedName function="false" hidden="false" localSheetId="12" name="D1_Percent_Revenue" vbProcedure="false">'data set'!#ref!</definedName>
    <definedName function="false" hidden="false" localSheetId="14" name="D1_Percent_Quantity" vbProcedure="false">'data set'!#ref!</definedName>
    <definedName function="false" hidden="false" localSheetId="14" name="D1_Percent_Revenue" vbProcedure="false">'data set'!#ref!</definedName>
    <definedName function="false" hidden="false" localSheetId="16" name="D1_Percent_Quantity" vbProcedure="false">'data set'!#ref!</definedName>
    <definedName function="false" hidden="false" localSheetId="16" name="D1_Percent_Revenue" vbProcedure="false">'data set'!#ref!</definedName>
    <definedName function="true" hidden="false" name="ThisWorkbook.Create_Send_To_Answer_1A" vbProcedure="true"/>
    <definedName function="true" hidden="false" name="ThisWorkbook.Create_Send_To_Answer_1B" vbProcedure="true"/>
    <definedName function="true" hidden="false" name="ThisWorkbook.Create_Instruction_Send_To_Answer_1A" vbProcedure="true"/>
    <definedName function="true" hidden="false" name="ThisWorkbook.Create_Instruction_Send_To_Answer_1B" vbProcedure="true"/>
    <definedName function="true" hidden="false" name="ThisWorkbook.Navigate_Send_To_Answer_1" vbProcedure="true"/>
    <definedName function="true" hidden="false" name="ThisWorkbook.Navigate_Send_To_Answer_2" vbProcedure="true"/>
    <definedName function="true" hidden="false" name="ThisWorkbook.Navigate_Send_To_Answer_3" vbProcedure="true"/>
    <definedName function="true" hidden="false" name="ThisWorkbook.Navigate_Send_To_Answer_4" vbProcedure="true"/>
    <definedName function="true" hidden="false" name="ThisWorkbook.Navigate_Send_To_Answer_5" vbProcedure="true"/>
    <definedName function="true" hidden="false" name="ThisWorkbook.Navigate_Send_To_Answer_6" vbProcedure="true"/>
    <definedName function="true" hidden="false" name="ThisWorkbook.Navigate_Send_To_Answer_7" vbProcedure="true"/>
    <definedName function="true" hidden="false" name="ThisWorkbook.Navigate_Send_To_Answer_8" vbProcedure="true"/>
    <definedName function="true" hidden="false" name="ThisWorkbook.Navigate_Instruction_Send_To_Answer_1" vbProcedure="true"/>
    <definedName function="true" hidden="false" name="ThisWorkbook.Navigate_Instruction_Send_To_Answer_2" vbProcedure="true"/>
    <definedName function="true" hidden="false" name="ThisWorkbook.Navigate_Instruction_Send_To_Answer_3" vbProcedure="true"/>
    <definedName function="true" hidden="false" name="ThisWorkbook.Navigate_Instruction_Send_To_Answer_4" vbProcedure="true"/>
    <definedName function="true" hidden="false" name="ThisWorkbook.Navigate_Instruction_Send_To_Answer_5" vbProcedure="true"/>
    <definedName function="true" hidden="false" name="ThisWorkbook.Navigate_Instruction_Send_To_Answer_6" vbProcedure="true"/>
    <definedName function="true" hidden="false" name="ThisWorkbook.Navigate_Instruction_Send_To_Answer_7" vbProcedure="true"/>
    <definedName function="true" hidden="false" name="ThisWorkbook.Navigate_Instruction_Send_To_Answer_8" vbProcedure="true"/>
    <definedName function="true" hidden="false" name="ThisWorkbook.Formatting_Send_To_Answer_1" vbProcedure="true"/>
    <definedName function="true" hidden="false" name="ThisWorkbook.Formatting_Send_To_Answer_2" vbProcedure="true"/>
    <definedName function="true" hidden="false" name="ThisWorkbook.Formatting_Send_To_Answer_3" vbProcedure="true"/>
    <definedName function="true" hidden="false" name="ThisWorkbook.Formatting_Send_To_Answer_4" vbProcedure="true"/>
    <definedName function="true" hidden="false" name="ThisWorkbook.Formatting_Instruction_Send_To_Answer_1" vbProcedure="true"/>
    <definedName function="true" hidden="false" name="ThisWorkbook.Formatting_Instruction_Send_To_Answer_2" vbProcedure="true"/>
    <definedName function="true" hidden="false" name="ThisWorkbook.Formatting_Instruction_Send_To_Answer_3" vbProcedure="true"/>
    <definedName function="true" hidden="false" name="ThisWorkbook.Formatting_Instruction_Send_To_Answer_4" vbProcedure="true"/>
    <definedName function="true" hidden="false" name="ThisWorkbook.Sorting_Send_To_Answer_1" vbProcedure="true"/>
    <definedName function="true" hidden="false" name="ThisWorkbook.Sorting_Send_To_Answer_2" vbProcedure="true"/>
    <definedName function="true" hidden="false" name="ThisWorkbook.Sorting_Send_To_Answer_3" vbProcedure="true"/>
    <definedName function="true" hidden="false" name="ThisWorkbook.Sorting_Instruction_Send_To_Answer_1" vbProcedure="true"/>
    <definedName function="true" hidden="false" name="ThisWorkbook.Sorting_Instruction_Send_To_Answer_2" vbProcedure="true"/>
    <definedName function="true" hidden="false" name="ThisWorkbook.Sorting_Instruction_Send_To_Answer_3" vbProcedure="true"/>
    <definedName function="true" hidden="false" name="ThisWorkbook.Advanced_Send_To_Answer_1" vbProcedure="true"/>
    <definedName function="true" hidden="false" name="ThisWorkbook.Advanced_Send_To_Answer_2" vbProcedure="true"/>
    <definedName function="true" hidden="false" name="ThisWorkbook.Advanced_Send_To_Answer_3" vbProcedure="true"/>
    <definedName function="true" hidden="false" name="ThisWorkbook.Advanced_Send_To_Answer_4" vbProcedure="true"/>
    <definedName function="true" hidden="false" name="ThisWorkbook.Advanced_Send_To_Answer_5" vbProcedure="true"/>
    <definedName function="true" hidden="false" name="ThisWorkbook.Advanced_Instruction_Send_To_Answer_1" vbProcedure="true"/>
    <definedName function="true" hidden="false" name="ThisWorkbook.Advanced_Instruction_Send_To_Answer_2" vbProcedure="true"/>
    <definedName function="true" hidden="false" name="ThisWorkbook.Advanced_Instruction_Send_To_Answer_3" vbProcedure="true"/>
    <definedName function="true" hidden="false" name="ThisWorkbook.Advanced_Instruction_Send_To_Answer_4" vbProcedure="true"/>
    <definedName function="true" hidden="false" name="ThisWorkbook.Advanced_Instruction_Send_To_Answer_5" vbProcedure="true"/>
    <definedName function="true" hidden="false" name="ThisWorkbook.Calc_Send_To_Answer_1" vbProcedure="true"/>
    <definedName function="true" hidden="false" name="ThisWorkbook.Calc_Send_To_Answer_2" vbProcedure="true"/>
    <definedName function="true" hidden="false" name="ThisWorkbook.Calc_Instruction_Send_To_Answer_1" vbProcedure="true"/>
    <definedName function="true" hidden="false" name="ThisWorkbook.Calc_Instruction_Send_To_Answer_2" vbProcedure="true"/>
    <definedName function="true" hidden="false" name="ThisWorkbook.Slicer_Send_To_Answer_1" vbProcedure="true"/>
    <definedName function="true" hidden="false" name="ThisWorkbook.Slicer_Send_To_Answer_2" vbProcedure="true"/>
    <definedName function="true" hidden="false" name="ThisWorkbook.Slicer_Instruction_Send_To_Answer_1" vbProcedure="true"/>
    <definedName function="true" hidden="false" name="ThisWorkbook.Slicer_Instruction_Send_To_Answer_2" vbProcedure="true"/>
  </definedNames>
  <calcPr iterateCount="100" refMode="A1" iterate="false" iterateDelta="0.0001"/>
  <pivotCaches>
    <pivotCache cacheId="1" r:id="rId26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<sst xmlns="http://schemas.openxmlformats.org/spreadsheetml/2006/main" count="1591" uniqueCount="317">
  <si>
    <t xml:space="preserve">Problem Solving with Excel</t>
  </si>
  <si>
    <t xml:space="preserve">Week 3</t>
  </si>
  <si>
    <t xml:space="preserve">Pivot Tables</t>
  </si>
  <si>
    <t xml:space="preserve">Summary</t>
  </si>
  <si>
    <t xml:space="preserve">Section</t>
  </si>
  <si>
    <t xml:space="preserve">Description</t>
  </si>
  <si>
    <t xml:space="preserve">Contained in Workbook</t>
  </si>
  <si>
    <t xml:space="preserve">Name of External Referenced File</t>
  </si>
  <si>
    <t xml:space="preserve">Create a pivot table</t>
  </si>
  <si>
    <t xml:space="preserve">Y</t>
  </si>
  <si>
    <t xml:space="preserve">Excel 101</t>
  </si>
  <si>
    <t xml:space="preserve">Navigating a pivot table</t>
  </si>
  <si>
    <t xml:space="preserve">Formatting a pivot table</t>
  </si>
  <si>
    <t xml:space="preserve">Sorting a pivot table</t>
  </si>
  <si>
    <t xml:space="preserve">Advanced filtering</t>
  </si>
  <si>
    <t xml:space="preserve">Calculated Fields</t>
  </si>
  <si>
    <t xml:space="preserve">Slicers</t>
  </si>
  <si>
    <t xml:space="preserve">Distributor ID</t>
  </si>
  <si>
    <t xml:space="preserve">Distributor Name</t>
  </si>
  <si>
    <t xml:space="preserve">Country</t>
  </si>
  <si>
    <t xml:space="preserve">Product Code</t>
  </si>
  <si>
    <t xml:space="preserve">Product </t>
  </si>
  <si>
    <t xml:space="preserve">Sales Channel</t>
  </si>
  <si>
    <t xml:space="preserve">Date Sold</t>
  </si>
  <si>
    <t xml:space="preserve">Month Sold</t>
  </si>
  <si>
    <t xml:space="preserve">Quantity</t>
  </si>
  <si>
    <t xml:space="preserve">Unit Price</t>
  </si>
  <si>
    <t xml:space="preserve">Revenue</t>
  </si>
  <si>
    <t xml:space="preserve">Devin Abbott</t>
  </si>
  <si>
    <t xml:space="preserve">France</t>
  </si>
  <si>
    <t xml:space="preserve">SUPA105</t>
  </si>
  <si>
    <t xml:space="preserve">Super Soft Bulk - 2 Litres</t>
  </si>
  <si>
    <t xml:space="preserve">Online</t>
  </si>
  <si>
    <t xml:space="preserve">Aphrodite Brennan</t>
  </si>
  <si>
    <t xml:space="preserve">Malawi</t>
  </si>
  <si>
    <t xml:space="preserve">Direct</t>
  </si>
  <si>
    <t xml:space="preserve">Guinevere Key</t>
  </si>
  <si>
    <t xml:space="preserve">Colombia</t>
  </si>
  <si>
    <t xml:space="preserve">Retail</t>
  </si>
  <si>
    <t xml:space="preserve">Zahir Fields</t>
  </si>
  <si>
    <t xml:space="preserve">Canada</t>
  </si>
  <si>
    <t xml:space="preserve">Deacon Craig</t>
  </si>
  <si>
    <t xml:space="preserve">Mongolia</t>
  </si>
  <si>
    <t xml:space="preserve">Brynne Mcgowan</t>
  </si>
  <si>
    <t xml:space="preserve">Finland</t>
  </si>
  <si>
    <t xml:space="preserve">Lani Sweet</t>
  </si>
  <si>
    <t xml:space="preserve">Vanuatu</t>
  </si>
  <si>
    <t xml:space="preserve">Noble Warner</t>
  </si>
  <si>
    <t xml:space="preserve">Burkina Faso</t>
  </si>
  <si>
    <t xml:space="preserve">SUPA104</t>
  </si>
  <si>
    <t xml:space="preserve">Super Soft - 1 Litre</t>
  </si>
  <si>
    <t xml:space="preserve">Levi Douglas</t>
  </si>
  <si>
    <t xml:space="preserve">Tanzania, United Republic of</t>
  </si>
  <si>
    <t xml:space="preserve">DETA800</t>
  </si>
  <si>
    <t xml:space="preserve">Detafast Stain Remover - 800ml</t>
  </si>
  <si>
    <t xml:space="preserve">Jelani Odonnell</t>
  </si>
  <si>
    <t xml:space="preserve">Albania</t>
  </si>
  <si>
    <t xml:space="preserve">Jared Sandoval</t>
  </si>
  <si>
    <t xml:space="preserve">Botswana</t>
  </si>
  <si>
    <t xml:space="preserve">Hiroko Acevedo</t>
  </si>
  <si>
    <t xml:space="preserve">Burundi</t>
  </si>
  <si>
    <t xml:space="preserve">Rhona Clarke</t>
  </si>
  <si>
    <t xml:space="preserve">Zimbabwe</t>
  </si>
  <si>
    <t xml:space="preserve">Tad Mack</t>
  </si>
  <si>
    <t xml:space="preserve">Iceland</t>
  </si>
  <si>
    <t xml:space="preserve">Rama Goodwin</t>
  </si>
  <si>
    <t xml:space="preserve">Tunisia</t>
  </si>
  <si>
    <t xml:space="preserve">Keaton Wolfe</t>
  </si>
  <si>
    <t xml:space="preserve">French Southern Territories</t>
  </si>
  <si>
    <t xml:space="preserve">Samuel Ayala</t>
  </si>
  <si>
    <t xml:space="preserve">Brazil</t>
  </si>
  <si>
    <t xml:space="preserve">Doris Williams</t>
  </si>
  <si>
    <t xml:space="preserve">Trinidad and Tobago</t>
  </si>
  <si>
    <t xml:space="preserve">SUPA103</t>
  </si>
  <si>
    <t xml:space="preserve">Super Soft - 500ml</t>
  </si>
  <si>
    <t xml:space="preserve">Ingrid Bush</t>
  </si>
  <si>
    <t xml:space="preserve">Montserrat</t>
  </si>
  <si>
    <t xml:space="preserve">Nell Maddox</t>
  </si>
  <si>
    <t xml:space="preserve">Azerbaijan</t>
  </si>
  <si>
    <t xml:space="preserve">Benedict Byrd</t>
  </si>
  <si>
    <t xml:space="preserve">Mauritania</t>
  </si>
  <si>
    <t xml:space="preserve">Ethan Gregory</t>
  </si>
  <si>
    <t xml:space="preserve">Tuvalu</t>
  </si>
  <si>
    <t xml:space="preserve">Ursula Mcconnell</t>
  </si>
  <si>
    <t xml:space="preserve">Hungary</t>
  </si>
  <si>
    <t xml:space="preserve">Fletcher Jimenez</t>
  </si>
  <si>
    <t xml:space="preserve">Chad</t>
  </si>
  <si>
    <t xml:space="preserve">DETA200</t>
  </si>
  <si>
    <t xml:space="preserve">Detafast Stain Remover - 200ml</t>
  </si>
  <si>
    <t xml:space="preserve">Isadora Mcclure</t>
  </si>
  <si>
    <t xml:space="preserve">Indonesia</t>
  </si>
  <si>
    <t xml:space="preserve">DETA100</t>
  </si>
  <si>
    <t xml:space="preserve">Detafast Stain Remover - 100ml</t>
  </si>
  <si>
    <t xml:space="preserve">Liberty Mcbride</t>
  </si>
  <si>
    <t xml:space="preserve">Fiji</t>
  </si>
  <si>
    <t xml:space="preserve">Noble Gilbert</t>
  </si>
  <si>
    <t xml:space="preserve">United States</t>
  </si>
  <si>
    <t xml:space="preserve">Maxine Gentry</t>
  </si>
  <si>
    <t xml:space="preserve">Panama</t>
  </si>
  <si>
    <t xml:space="preserve">Melinda Cobb</t>
  </si>
  <si>
    <t xml:space="preserve">Uruguay</t>
  </si>
  <si>
    <t xml:space="preserve">PURA250</t>
  </si>
  <si>
    <t xml:space="preserve">Pure Soft Detergent - 250ml</t>
  </si>
  <si>
    <t xml:space="preserve">Yael Carter</t>
  </si>
  <si>
    <t xml:space="preserve">Malaysia</t>
  </si>
  <si>
    <t xml:space="preserve">Kay Buckley</t>
  </si>
  <si>
    <t xml:space="preserve">Malta</t>
  </si>
  <si>
    <t xml:space="preserve">Athena Fitzpatrick</t>
  </si>
  <si>
    <t xml:space="preserve">Reunion</t>
  </si>
  <si>
    <t xml:space="preserve">Joy Vazquez</t>
  </si>
  <si>
    <t xml:space="preserve">Korea</t>
  </si>
  <si>
    <t xml:space="preserve">Amery Frazier</t>
  </si>
  <si>
    <t xml:space="preserve">Georgia</t>
  </si>
  <si>
    <t xml:space="preserve">Buckminster Hopkins</t>
  </si>
  <si>
    <t xml:space="preserve">Sierra Leone</t>
  </si>
  <si>
    <t xml:space="preserve">PURA200</t>
  </si>
  <si>
    <t xml:space="preserve">Pure Soft Detergent - 200ml</t>
  </si>
  <si>
    <t xml:space="preserve">George Best</t>
  </si>
  <si>
    <t xml:space="preserve">Western Sahara</t>
  </si>
  <si>
    <t xml:space="preserve">Maxwell Parker</t>
  </si>
  <si>
    <t xml:space="preserve">Falkland Islands (Malvinas)</t>
  </si>
  <si>
    <t xml:space="preserve">Lance Little</t>
  </si>
  <si>
    <t xml:space="preserve">Croatia</t>
  </si>
  <si>
    <t xml:space="preserve">Gwendolyn Walton</t>
  </si>
  <si>
    <t xml:space="preserve">Cuba</t>
  </si>
  <si>
    <t xml:space="preserve">SUPA102</t>
  </si>
  <si>
    <t xml:space="preserve">Super Soft - 250ml</t>
  </si>
  <si>
    <t xml:space="preserve">Isaac Wolf</t>
  </si>
  <si>
    <t xml:space="preserve">PURA500</t>
  </si>
  <si>
    <t xml:space="preserve">Pure Soft Detergent - 500ml</t>
  </si>
  <si>
    <t xml:space="preserve">Celeste Pugh</t>
  </si>
  <si>
    <t xml:space="preserve">Gabon</t>
  </si>
  <si>
    <t xml:space="preserve">Oprah Ellis</t>
  </si>
  <si>
    <t xml:space="preserve">Dominican Republic</t>
  </si>
  <si>
    <t xml:space="preserve">Emerson Beard</t>
  </si>
  <si>
    <t xml:space="preserve">Niue</t>
  </si>
  <si>
    <t xml:space="preserve">Renee Padilla</t>
  </si>
  <si>
    <t xml:space="preserve">Yemen</t>
  </si>
  <si>
    <t xml:space="preserve">Maite Henson</t>
  </si>
  <si>
    <t xml:space="preserve">Bangladesh</t>
  </si>
  <si>
    <t xml:space="preserve">Ivory Chang</t>
  </si>
  <si>
    <t xml:space="preserve">Tonga</t>
  </si>
  <si>
    <t xml:space="preserve">Clark Weaver</t>
  </si>
  <si>
    <t xml:space="preserve">Palau</t>
  </si>
  <si>
    <t xml:space="preserve">Ima Cummings</t>
  </si>
  <si>
    <t xml:space="preserve">Philippines</t>
  </si>
  <si>
    <t xml:space="preserve">Adria Kaufman</t>
  </si>
  <si>
    <t xml:space="preserve">Bouvet Island</t>
  </si>
  <si>
    <t xml:space="preserve">Nyssa Quinn</t>
  </si>
  <si>
    <t xml:space="preserve">Cocos (Keeling) Islands</t>
  </si>
  <si>
    <t xml:space="preserve">Amir Alexander</t>
  </si>
  <si>
    <t xml:space="preserve">Liberia</t>
  </si>
  <si>
    <t xml:space="preserve">Imogene Bradshaw</t>
  </si>
  <si>
    <t xml:space="preserve">Niger</t>
  </si>
  <si>
    <t xml:space="preserve">Gwendolyn Mccarty</t>
  </si>
  <si>
    <t xml:space="preserve">Madagascar</t>
  </si>
  <si>
    <t xml:space="preserve">Bell Prince</t>
  </si>
  <si>
    <t xml:space="preserve">Guinea</t>
  </si>
  <si>
    <t xml:space="preserve">Katelyn Joseph</t>
  </si>
  <si>
    <t xml:space="preserve">Slovenia</t>
  </si>
  <si>
    <t xml:space="preserve">Robert Juarez</t>
  </si>
  <si>
    <t xml:space="preserve">Svalbard and Jan Mayen</t>
  </si>
  <si>
    <t xml:space="preserve">Jerry Alvarado</t>
  </si>
  <si>
    <t xml:space="preserve">Korea, Republic of</t>
  </si>
  <si>
    <t xml:space="preserve">PURA100</t>
  </si>
  <si>
    <t xml:space="preserve">Pure Soft Detergent - 100ml</t>
  </si>
  <si>
    <t xml:space="preserve">India Gilbert</t>
  </si>
  <si>
    <t xml:space="preserve">Denmark</t>
  </si>
  <si>
    <t xml:space="preserve">Iliana Porter</t>
  </si>
  <si>
    <t xml:space="preserve">Poland</t>
  </si>
  <si>
    <t xml:space="preserve">Deanna Santana</t>
  </si>
  <si>
    <t xml:space="preserve">Solomon Islands</t>
  </si>
  <si>
    <t xml:space="preserve">Ivor Mclaughlin</t>
  </si>
  <si>
    <t xml:space="preserve">United States Minor Outlying Islands</t>
  </si>
  <si>
    <t xml:space="preserve">Latifah Wall</t>
  </si>
  <si>
    <t xml:space="preserve">Guadeloupe</t>
  </si>
  <si>
    <t xml:space="preserve">Anika Tillman</t>
  </si>
  <si>
    <t xml:space="preserve">Paul Duke</t>
  </si>
  <si>
    <t xml:space="preserve">Puerto Rico</t>
  </si>
  <si>
    <t xml:space="preserve">Sawyer Stokes</t>
  </si>
  <si>
    <t xml:space="preserve">Xerxes Smith</t>
  </si>
  <si>
    <t xml:space="preserve">Wanda Garza</t>
  </si>
  <si>
    <t xml:space="preserve">Kyrgyzstan</t>
  </si>
  <si>
    <t xml:space="preserve">Anjolie Hicks</t>
  </si>
  <si>
    <t xml:space="preserve">Turks and Caicos Islands</t>
  </si>
  <si>
    <t xml:space="preserve">Asher Weber</t>
  </si>
  <si>
    <t xml:space="preserve">Macedonia</t>
  </si>
  <si>
    <t xml:space="preserve">Mercedes Humphrey</t>
  </si>
  <si>
    <t xml:space="preserve">Turkey</t>
  </si>
  <si>
    <t xml:space="preserve">Hayes Rollins</t>
  </si>
  <si>
    <t xml:space="preserve">Nepal</t>
  </si>
  <si>
    <t xml:space="preserve">Josiah Yates</t>
  </si>
  <si>
    <t xml:space="preserve">Winifred Cantu</t>
  </si>
  <si>
    <t xml:space="preserve">Kazakhstan</t>
  </si>
  <si>
    <t xml:space="preserve">Germaine Kidd</t>
  </si>
  <si>
    <t xml:space="preserve">Kenyon Joyce</t>
  </si>
  <si>
    <t xml:space="preserve">Joel Rivers</t>
  </si>
  <si>
    <t xml:space="preserve">Australia</t>
  </si>
  <si>
    <t xml:space="preserve">Colby Knapp</t>
  </si>
  <si>
    <t xml:space="preserve">Pakistan</t>
  </si>
  <si>
    <t xml:space="preserve">Vance Campos</t>
  </si>
  <si>
    <t xml:space="preserve">Syrian Arab Republic</t>
  </si>
  <si>
    <t xml:space="preserve">Lael Gould</t>
  </si>
  <si>
    <t xml:space="preserve">El Salvador</t>
  </si>
  <si>
    <t xml:space="preserve">Jane Hernandez</t>
  </si>
  <si>
    <t xml:space="preserve">Dara Cunningham</t>
  </si>
  <si>
    <t xml:space="preserve">Saint Helena</t>
  </si>
  <si>
    <t xml:space="preserve">Colette Sargent</t>
  </si>
  <si>
    <t xml:space="preserve">Norfolk Island</t>
  </si>
  <si>
    <t xml:space="preserve">Shea Cortez</t>
  </si>
  <si>
    <t xml:space="preserve">India</t>
  </si>
  <si>
    <t xml:space="preserve">Cyrus Whitley</t>
  </si>
  <si>
    <t xml:space="preserve">Eleanor Hopper</t>
  </si>
  <si>
    <t xml:space="preserve">Forrest Macdonald</t>
  </si>
  <si>
    <t xml:space="preserve">New Caledonia</t>
  </si>
  <si>
    <t xml:space="preserve">Desirae Perkins</t>
  </si>
  <si>
    <t xml:space="preserve">Chile</t>
  </si>
  <si>
    <t xml:space="preserve">Barrett Mckinney</t>
  </si>
  <si>
    <t xml:space="preserve">Basil Vang</t>
  </si>
  <si>
    <t xml:space="preserve">Moldova</t>
  </si>
  <si>
    <t xml:space="preserve">Noel Key</t>
  </si>
  <si>
    <t xml:space="preserve">Gambia</t>
  </si>
  <si>
    <t xml:space="preserve">Ebony Mercer</t>
  </si>
  <si>
    <t xml:space="preserve">Cape Verde</t>
  </si>
  <si>
    <t xml:space="preserve">Isaac Cooper</t>
  </si>
  <si>
    <t xml:space="preserve">Netherlands Antilles</t>
  </si>
  <si>
    <t xml:space="preserve">James Spencer</t>
  </si>
  <si>
    <t xml:space="preserve">Clark Orr</t>
  </si>
  <si>
    <t xml:space="preserve">Phillip Perkins</t>
  </si>
  <si>
    <t xml:space="preserve">Nigeria</t>
  </si>
  <si>
    <t xml:space="preserve">Uriel Benton</t>
  </si>
  <si>
    <t xml:space="preserve">South Africa</t>
  </si>
  <si>
    <t xml:space="preserve">Aretha Patton</t>
  </si>
  <si>
    <t xml:space="preserve">Thomas Barnes</t>
  </si>
  <si>
    <t xml:space="preserve">Mayotte</t>
  </si>
  <si>
    <t xml:space="preserve">Victoria Solis</t>
  </si>
  <si>
    <t xml:space="preserve">Arsenio Knowles</t>
  </si>
  <si>
    <t xml:space="preserve">Ryder Conner</t>
  </si>
  <si>
    <t xml:space="preserve">Virgin Islands, British</t>
  </si>
  <si>
    <t xml:space="preserve">Roary Dixon</t>
  </si>
  <si>
    <t xml:space="preserve">Saudi Arabia</t>
  </si>
  <si>
    <t xml:space="preserve">Silas Battle</t>
  </si>
  <si>
    <t xml:space="preserve">Leonard Cardenas</t>
  </si>
  <si>
    <t xml:space="preserve">Brittany Burris</t>
  </si>
  <si>
    <t xml:space="preserve">Petra Mckenzie</t>
  </si>
  <si>
    <t xml:space="preserve">Morocco</t>
  </si>
  <si>
    <t xml:space="preserve">Angela Wise</t>
  </si>
  <si>
    <t xml:space="preserve">Problem 1a - Instructor Lead</t>
  </si>
  <si>
    <t xml:space="preserve">1a. Create a Pivot table from the Sample Data</t>
  </si>
  <si>
    <t xml:space="preserve">Filter</t>
  </si>
  <si>
    <t xml:space="preserve">- all -</t>
  </si>
  <si>
    <t xml:space="preserve">(empty)</t>
  </si>
  <si>
    <t xml:space="preserve">Problem 1b - Student Lead</t>
  </si>
  <si>
    <t xml:space="preserve">1b. Create a Pivot table from the Sample Data</t>
  </si>
  <si>
    <t xml:space="preserve">Problem 2b - Student Lead</t>
  </si>
  <si>
    <t xml:space="preserve">Problem 2a - Instructor Lead</t>
  </si>
  <si>
    <t xml:space="preserve">2a. What country had the most revenue?</t>
  </si>
  <si>
    <t xml:space="preserve">2b. What are the top 5 countries by revenue?</t>
  </si>
  <si>
    <t xml:space="preserve">Problem 2c - Instructor Lead </t>
  </si>
  <si>
    <t xml:space="preserve">2c. Who is the top distributor in Panama by revenue?</t>
  </si>
  <si>
    <t xml:space="preserve">Problem 2d - Student Lead</t>
  </si>
  <si>
    <t xml:space="preserve">2d. Who is the top distributor of "Detafast Stain Remover - 200ml" by units sold?</t>
  </si>
  <si>
    <t xml:space="preserve">Problem 2e - Instructor Lead</t>
  </si>
  <si>
    <t xml:space="preserve">2e. What are the 4 products that sold the most units?</t>
  </si>
  <si>
    <t xml:space="preserve">Problem 2f - Student Lead</t>
  </si>
  <si>
    <t xml:space="preserve">2f. Which country has the most online sales by revenue?</t>
  </si>
  <si>
    <t xml:space="preserve">Problem 2g - Student Lead</t>
  </si>
  <si>
    <t xml:space="preserve">2g. How many distributors sold Super Soft Bulk - 2 Litres through each sales channel, and what is their revenue?</t>
  </si>
  <si>
    <t xml:space="preserve">Problem 2h - Student Lead</t>
  </si>
  <si>
    <t xml:space="preserve">2h. How many distributors sold more than 100 units of Super Soft Bulk - 2 Litres product through each sales channel, and what is their revenue?</t>
  </si>
  <si>
    <t xml:space="preserve">Sum - Revenue</t>
  </si>
  <si>
    <t xml:space="preserve">Sum - Quantity</t>
  </si>
  <si>
    <t xml:space="preserve">Data</t>
  </si>
  <si>
    <t xml:space="preserve">Count - Distributor Name</t>
  </si>
  <si>
    <t xml:space="preserve">- multiple -</t>
  </si>
  <si>
    <t xml:space="preserve">This section is optional and included in the event that the learner has the desire to practice formatting pivot tables.</t>
  </si>
  <si>
    <t xml:space="preserve">Problem 3a - Student Lead</t>
  </si>
  <si>
    <t xml:space="preserve">3a. Remove the Grand Total on the Pivot Table and rename the Row Labels to Country</t>
  </si>
  <si>
    <t xml:space="preserve">Total Result</t>
  </si>
  <si>
    <t xml:space="preserve">r</t>
  </si>
  <si>
    <t xml:space="preserve">Problem 3b - Student Lead </t>
  </si>
  <si>
    <t xml:space="preserve">3b. Rename the Row Label to "Distributor" and add banded rows</t>
  </si>
  <si>
    <t xml:space="preserve">Problem 3c - Student Lead</t>
  </si>
  <si>
    <t xml:space="preserve">3c. Remove Grand Total, Rename row labels to "Products" and Use Pivot Style Dark 7</t>
  </si>
  <si>
    <t xml:space="preserve">Also, remove sub totals and create tabular data set with repeating rows</t>
  </si>
  <si>
    <t xml:space="preserve">Problem 3d - Student Lead</t>
  </si>
  <si>
    <t xml:space="preserve">3d. Remove Grand Total, Rename Row Label to Country and add banded rows</t>
  </si>
  <si>
    <t xml:space="preserve">Problem 3b- Student Lead </t>
  </si>
  <si>
    <t xml:space="preserve">Problem 4a - Instructor Lead</t>
  </si>
  <si>
    <t xml:space="preserve">4a. Sort the distribtors in alphabetical order by first name</t>
  </si>
  <si>
    <t xml:space="preserve">Problem 4b - Instructor Lead </t>
  </si>
  <si>
    <t xml:space="preserve">4b. Sort products and sales channel in descending order by sum of quantity </t>
  </si>
  <si>
    <t xml:space="preserve">Problem 4c - Student Lead</t>
  </si>
  <si>
    <t xml:space="preserve">4c. Sort in countries and products in descending order by sum of revenue</t>
  </si>
  <si>
    <t xml:space="preserve">Problem 4b - Instructor Lead</t>
  </si>
  <si>
    <t xml:space="preserve">4b. Sort products and sales channel in descending order by sum of quantity</t>
  </si>
  <si>
    <t xml:space="preserve">4c. Sort in countries and product in descending order by sum of revenue</t>
  </si>
  <si>
    <t xml:space="preserve">Problem 5a - Instructor Lead</t>
  </si>
  <si>
    <t xml:space="preserve">5a. Display the top 4 products by quantity sold</t>
  </si>
  <si>
    <t xml:space="preserve">Problem 5b - Instructor Lead </t>
  </si>
  <si>
    <t xml:space="preserve">5b. Which products contain in their description "200ml" and what are their quantities sold?</t>
  </si>
  <si>
    <t xml:space="preserve">Problem 5c - Student Lead</t>
  </si>
  <si>
    <t xml:space="preserve">5c. Filter for countries revenue between $2,000 and $3,000</t>
  </si>
  <si>
    <t xml:space="preserve">Problem 5d - Instructor Lead</t>
  </si>
  <si>
    <t xml:space="preserve">5d. Complete the following chart based on the Pivot Table in Problem 3 by editing the pivot table reference formula</t>
  </si>
  <si>
    <t xml:space="preserve">Problem 5e - Student Lead</t>
  </si>
  <si>
    <t xml:space="preserve">5e. Complete the following chart based on the Pivot Table in Problem 3 by editing the pivot table reference formula</t>
  </si>
  <si>
    <t xml:space="preserve">Problem 5b - Instructor Lead</t>
  </si>
  <si>
    <t xml:space="preserve">Problem 6a - Instructor Lead</t>
  </si>
  <si>
    <t xml:space="preserve">6a. Insert Calcuated Field for Tax which is 7.5% of Revenue and sales channels as columns</t>
  </si>
  <si>
    <t xml:space="preserve">Problem 6b - Student Lead</t>
  </si>
  <si>
    <t xml:space="preserve">6b. Insert Calcuated Field for Cost which is 50% of Revenue</t>
  </si>
  <si>
    <t xml:space="preserve">6a. Insert Calcuated Field for Tax which is 7.5% of Revenue</t>
  </si>
  <si>
    <t xml:space="preserve">Problem 7a - Instructor Lead</t>
  </si>
  <si>
    <t xml:space="preserve">7a. Which products were sold in France and Brazil?</t>
  </si>
  <si>
    <t xml:space="preserve">Problem 7b - Student Lead</t>
  </si>
  <si>
    <t xml:space="preserve">7b. Provide a list of countries by Revenue of the combined Online and Retail Sales</t>
  </si>
</sst>
</file>

<file path=xl/styles.xml><?xml version="1.0" encoding="utf-8"?>
<styleSheet xmlns="http://schemas.openxmlformats.org/spreadsheetml/2006/main">
  <numFmts count="12">
    <numFmt numFmtId="164" formatCode="_(* #,##0_);_(* \(#,##0\);_(* \-_);@_)"/>
    <numFmt numFmtId="165" formatCode="_(\$* #,##0.00_);_(\$* \(#,##0.00\);_(\$* \-??_);_(@_)"/>
    <numFmt numFmtId="166" formatCode="General"/>
    <numFmt numFmtId="167" formatCode="0%"/>
    <numFmt numFmtId="168" formatCode="0%_);\(0%\)"/>
    <numFmt numFmtId="169" formatCode="#,##0"/>
    <numFmt numFmtId="170" formatCode="M/D/YYYY"/>
    <numFmt numFmtId="171" formatCode="0"/>
    <numFmt numFmtId="172" formatCode="\$#,##0.00_);[RED]&quot;($&quot;#,##0.00\)"/>
    <numFmt numFmtId="173" formatCode="_(\$* #,##0_);_(\$* \(#,##0\);_(\$* \-??_);_(@_)"/>
    <numFmt numFmtId="174" formatCode="\$#,##0_);[RED]&quot;($&quot;#,##0\)"/>
    <numFmt numFmtId="175" formatCode="_(* #,##0_);_(* \(#,##0\);_(* \-??_);_(@_)"/>
  </numFmts>
  <fonts count="26">
    <font>
      <sz val="9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b val="true"/>
      <sz val="9"/>
      <color rgb="FF602320"/>
      <name val="Calibri"/>
      <family val="2"/>
      <charset val="1"/>
    </font>
    <font>
      <sz val="8"/>
      <color rgb="FF000000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b val="true"/>
      <sz val="11"/>
      <color rgb="FF602320"/>
      <name val="Calibri"/>
      <family val="2"/>
      <charset val="1"/>
    </font>
    <font>
      <b val="true"/>
      <sz val="14"/>
      <color rgb="FF7A1818"/>
      <name val="Calibri"/>
      <family val="2"/>
      <charset val="1"/>
    </font>
    <font>
      <b val="true"/>
      <sz val="10"/>
      <color rgb="FF7A1818"/>
      <name val="Arial"/>
      <family val="2"/>
      <charset val="1"/>
    </font>
    <font>
      <sz val="10"/>
      <color rgb="FFE0301E"/>
      <name val="Arial"/>
      <family val="2"/>
      <charset val="1"/>
    </font>
    <font>
      <i val="true"/>
      <sz val="10"/>
      <color rgb="FFE0301E"/>
      <name val="Arial"/>
      <family val="2"/>
      <charset val="1"/>
    </font>
    <font>
      <sz val="10"/>
      <color rgb="FF80808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u val="single"/>
      <sz val="10"/>
      <color rgb="FF00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sz val="10"/>
      <color rgb="FF602320"/>
      <name val="Arial"/>
      <family val="2"/>
      <charset val="1"/>
    </font>
    <font>
      <sz val="10"/>
      <color rgb="FFDB536A"/>
      <name val="Arial"/>
      <family val="2"/>
      <charset val="1"/>
    </font>
    <font>
      <b val="true"/>
      <u val="single"/>
      <sz val="14"/>
      <color rgb="FF602320"/>
      <name val="Calibri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2"/>
      <color rgb="FF000000"/>
      <name val="Calibri"/>
      <family val="0"/>
      <charset val="1"/>
    </font>
    <font>
      <b val="true"/>
      <sz val="10"/>
      <name val="Arial"/>
      <family val="2"/>
      <charset val="1"/>
    </font>
    <font>
      <sz val="1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CD4B6"/>
        <bgColor rgb="FFECC7C6"/>
      </patternFill>
    </fill>
    <fill>
      <patternFill patternType="solid">
        <fgColor rgb="FFE8E6DF"/>
        <bgColor rgb="FFFCD4B6"/>
      </patternFill>
    </fill>
    <fill>
      <patternFill patternType="solid">
        <fgColor rgb="FFFFFFFF"/>
        <bgColor rgb="FFE8E6DF"/>
      </patternFill>
    </fill>
    <fill>
      <patternFill patternType="solid">
        <fgColor rgb="FF602320"/>
        <bgColor rgb="FF7A1818"/>
      </patternFill>
    </fill>
  </fills>
  <borders count="52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602320"/>
      </bottom>
      <diagonal/>
    </border>
    <border diagonalUp="false" diagonalDown="false">
      <left/>
      <right/>
      <top style="medium">
        <color rgb="FF602320"/>
      </top>
      <bottom/>
      <diagonal/>
    </border>
    <border diagonalUp="false" diagonalDown="false">
      <left/>
      <right/>
      <top style="thin">
        <color rgb="FF602320"/>
      </top>
      <bottom/>
      <diagonal/>
    </border>
    <border diagonalUp="false" diagonalDown="false">
      <left/>
      <right/>
      <top style="thin">
        <color rgb="FF602320"/>
      </top>
      <bottom style="medium">
        <color rgb="FF602320"/>
      </bottom>
      <diagonal/>
    </border>
    <border diagonalUp="false" diagonalDown="false">
      <left/>
      <right/>
      <top/>
      <bottom style="thin">
        <color rgb="FF602320"/>
      </bottom>
      <diagonal/>
    </border>
    <border diagonalUp="false" diagonalDown="false">
      <left/>
      <right/>
      <top style="thin">
        <color rgb="FF602320"/>
      </top>
      <bottom style="thin">
        <color rgb="FF602320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</borders>
  <cellStyleXfs count="4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8" fillId="0" borderId="0" applyFont="true" applyBorder="true" applyAlignment="true" applyProtection="false">
      <alignment horizontal="general" vertical="bottom" textRotation="0" wrapText="false" indent="0" shrinkToFit="false"/>
    </xf>
    <xf numFmtId="166" fontId="7" fillId="0" borderId="1" applyFont="true" applyBorder="true" applyAlignment="true" applyProtection="false">
      <alignment horizontal="right" vertical="bottom" textRotation="0" wrapText="true" indent="0" shrinkToFit="false"/>
    </xf>
    <xf numFmtId="166" fontId="7" fillId="0" borderId="0" applyFont="true" applyBorder="true" applyAlignment="true" applyProtection="false">
      <alignment horizontal="general" vertical="bottom" textRotation="0" wrapText="true" indent="0" shrinkToFit="false"/>
    </xf>
    <xf numFmtId="166" fontId="7" fillId="0" borderId="2" applyFont="true" applyBorder="true" applyAlignment="true" applyProtection="false">
      <alignment horizontal="general" vertical="bottom" textRotation="0" wrapText="true" indent="0" shrinkToFit="false"/>
    </xf>
    <xf numFmtId="164" fontId="9" fillId="0" borderId="3" applyFont="true" applyBorder="true" applyAlignment="true" applyProtection="false">
      <alignment horizontal="general" vertical="bottom" textRotation="0" wrapText="false" indent="0" shrinkToFit="false"/>
    </xf>
    <xf numFmtId="166" fontId="10" fillId="0" borderId="0" applyFont="true" applyBorder="true" applyAlignment="true" applyProtection="false">
      <alignment horizontal="general" vertical="bottom" textRotation="0" wrapText="false" indent="0" shrinkToFit="false"/>
    </xf>
    <xf numFmtId="164" fontId="9" fillId="0" borderId="4" applyFont="true" applyBorder="tru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9" fillId="0" borderId="0" applyFont="true" applyBorder="false" applyAlignment="true" applyProtection="false">
      <alignment horizontal="left" vertical="bottom" textRotation="0" wrapText="false" indent="0" shrinkToFit="false"/>
    </xf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2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32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6" fontId="4" fillId="4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3" fillId="0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3" fillId="0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4" fillId="4" borderId="5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3" fillId="0" borderId="5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3" fillId="4" borderId="5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3" fillId="4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4" fillId="4" borderId="0" xfId="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3" fillId="4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5" fillId="0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6" fillId="4" borderId="6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6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4" borderId="6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4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6" fillId="4" borderId="0" xfId="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4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8" fillId="5" borderId="6" xfId="24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6" fontId="18" fillId="5" borderId="0" xfId="24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6" fontId="18" fillId="5" borderId="0" xfId="24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9" fontId="18" fillId="5" borderId="0" xfId="24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6" fontId="18" fillId="5" borderId="0" xfId="2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4" fillId="4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9" fillId="0" borderId="6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20" fillId="0" borderId="6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0" fontId="19" fillId="0" borderId="6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19" fillId="0" borderId="6" xfId="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9" fillId="0" borderId="6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9" fillId="0" borderId="6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3" fontId="5" fillId="0" borderId="6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9" fillId="0" borderId="6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20" fillId="0" borderId="6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19" fillId="0" borderId="5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19" fillId="0" borderId="5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20" fillId="0" borderId="5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19" fillId="4" borderId="6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20" fillId="4" borderId="6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21" fillId="0" borderId="0" xfId="36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4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3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3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3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24" fillId="4" borderId="0" xfId="22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6" fontId="5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4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3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6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3" fontId="0" fillId="0" borderId="17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8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3" fontId="0" fillId="0" borderId="19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0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3" fontId="0" fillId="0" borderId="21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2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3" fontId="0" fillId="0" borderId="23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7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9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21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23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3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4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4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7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28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29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30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1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32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3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34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35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16" xfId="4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3" fontId="9" fillId="0" borderId="17" xfId="4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36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7" xfId="41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38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39" xfId="41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40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9" fontId="0" fillId="0" borderId="36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10" xfId="4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9" fillId="0" borderId="41" xfId="42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9" fontId="9" fillId="0" borderId="17" xfId="4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42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26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7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43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22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4" xfId="38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45" xfId="4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9" fillId="0" borderId="35" xfId="4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3" fontId="0" fillId="0" borderId="29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46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47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9" fillId="0" borderId="19" xfId="4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31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39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48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9" fillId="0" borderId="21" xfId="4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27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45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49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9" fillId="0" borderId="36" xfId="4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9" fillId="0" borderId="50" xfId="4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9" fillId="0" borderId="51" xfId="4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9" fillId="0" borderId="41" xfId="4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39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2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7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5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28" xfId="39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9" fillId="0" borderId="11" xfId="43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30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Currency 2" xfId="20" builtinId="53" customBuiltin="true"/>
    <cellStyle name="Normal 10" xfId="21" builtinId="53" customBuiltin="true"/>
    <cellStyle name="Normal 2" xfId="22" builtinId="53" customBuiltin="true"/>
    <cellStyle name="Normal 3" xfId="23" builtinId="53" customBuiltin="true"/>
    <cellStyle name="Normal 4" xfId="24" builtinId="53" customBuiltin="true"/>
    <cellStyle name="Percent 2" xfId="25" builtinId="53" customBuiltin="true"/>
    <cellStyle name="Smart Bold" xfId="26" builtinId="53" customBuiltin="true"/>
    <cellStyle name="Smart Forecast" xfId="27" builtinId="53" customBuiltin="true"/>
    <cellStyle name="Smart General" xfId="28" builtinId="53" customBuiltin="true"/>
    <cellStyle name="Smart Highlight" xfId="29" builtinId="53" customBuiltin="true"/>
    <cellStyle name="Smart Percent" xfId="30" builtinId="53" customBuiltin="true"/>
    <cellStyle name="Smart Source" xfId="31" builtinId="53" customBuiltin="true"/>
    <cellStyle name="Smart Subtitle 1" xfId="32" builtinId="53" customBuiltin="true"/>
    <cellStyle name="Smart Subtitle 2" xfId="33" builtinId="53" customBuiltin="true"/>
    <cellStyle name="Smart Subtitle 3" xfId="34" builtinId="53" customBuiltin="true"/>
    <cellStyle name="Smart Subtotal" xfId="35" builtinId="53" customBuiltin="true"/>
    <cellStyle name="Smart Title" xfId="36" builtinId="53" customBuiltin="true"/>
    <cellStyle name="Smart Total" xfId="37" builtinId="53" customBuiltin="true"/>
    <cellStyle name="Pivot Table Corner" xfId="38" builtinId="53" customBuiltin="true"/>
    <cellStyle name="Pivot Table Value" xfId="39" builtinId="53" customBuiltin="true"/>
    <cellStyle name="Pivot Table Field" xfId="40" builtinId="53" customBuiltin="true"/>
    <cellStyle name="Pivot Table Category" xfId="41" builtinId="53" customBuiltin="true"/>
    <cellStyle name="Pivot Table Title" xfId="42" builtinId="53" customBuiltin="true"/>
    <cellStyle name="Pivot Table Result" xfId="43" builtinId="53" customBuiltin="true"/>
  </cellStyles>
  <dxfs count="1">
    <dxf>
      <fill>
        <patternFill>
          <bgColor rgb="FFECC7C6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A1818"/>
      <rgbColor rgb="FF008000"/>
      <rgbColor rgb="FF000080"/>
      <rgbColor rgb="FF808000"/>
      <rgbColor rgb="FF800080"/>
      <rgbColor rgb="FF008080"/>
      <rgbColor rgb="FFECC7C6"/>
      <rgbColor rgb="FF808080"/>
      <rgbColor rgb="FF9999FF"/>
      <rgbColor rgb="FF993366"/>
      <rgbColor rgb="FFE8E6DF"/>
      <rgbColor rgb="FFCCFFFF"/>
      <rgbColor rgb="FF660066"/>
      <rgbColor rgb="FFDB536A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998A6"/>
      <rgbColor rgb="FFCC99FF"/>
      <rgbColor rgb="FFFCD4B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E0301E"/>
      <rgbColor rgb="FF993366"/>
      <rgbColor rgb="FF333399"/>
      <rgbColor rgb="FF60232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2.xml"/><Relationship Id="rId23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.xml"/><Relationship Id="rId25" Type="http://schemas.openxmlformats.org/officeDocument/2006/relationships/sharedStrings" Target="sharedStrings.xml"/><Relationship Id="rId26" Type="http://schemas.openxmlformats.org/officeDocument/2006/relationships/pivotCacheDefinition" Target="pivotCache/pivotCacheDefinition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472320</xdr:colOff>
      <xdr:row>8</xdr:row>
      <xdr:rowOff>32400</xdr:rowOff>
    </xdr:from>
    <xdr:to>
      <xdr:col>11</xdr:col>
      <xdr:colOff>100440</xdr:colOff>
      <xdr:row>20</xdr:row>
      <xdr:rowOff>116280</xdr:rowOff>
    </xdr:to>
    <xdr:sp>
      <xdr:nvSpPr>
        <xdr:cNvPr id="0" name="CustomShape 1"/>
        <xdr:cNvSpPr/>
      </xdr:nvSpPr>
      <xdr:spPr>
        <a:xfrm>
          <a:off x="8730360" y="1416600"/>
          <a:ext cx="2603160" cy="2064960"/>
        </a:xfrm>
        <a:prstGeom prst="rect">
          <a:avLst/>
        </a:prstGeom>
        <a:solidFill>
          <a:srgbClr val="ffffff"/>
        </a:solidFill>
        <a:ln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r>
            <a:rPr b="0" lang="en-US" sz="1100" spc="-1" strike="noStrike">
              <a:latin typeface="Times New Roman"/>
            </a:rPr>
            <a:t>This shape represents a slicer. Slicers are supported in Excel 2010 or later.</a:t>
          </a:r>
          <a:endParaRPr b="0" lang="en-US" sz="1100" spc="-1" strike="noStrike">
            <a:latin typeface="Times New Roman"/>
          </a:endParaRPr>
        </a:p>
        <a:p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latin typeface="Times New Roman"/>
            </a:rPr>
            <a:t>If the shape was modified in an earlier version of Excel, or if the workbook was saved in Excel 2003 or earlier, the slicer cannot be used.</a:t>
          </a: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7</xdr:col>
      <xdr:colOff>691560</xdr:colOff>
      <xdr:row>26</xdr:row>
      <xdr:rowOff>144720</xdr:rowOff>
    </xdr:from>
    <xdr:to>
      <xdr:col>9</xdr:col>
      <xdr:colOff>843480</xdr:colOff>
      <xdr:row>39</xdr:row>
      <xdr:rowOff>47520</xdr:rowOff>
    </xdr:to>
    <xdr:sp>
      <xdr:nvSpPr>
        <xdr:cNvPr id="1" name="CustomShape 1"/>
        <xdr:cNvSpPr/>
      </xdr:nvSpPr>
      <xdr:spPr>
        <a:xfrm>
          <a:off x="7840080" y="4570560"/>
          <a:ext cx="2418840" cy="2049120"/>
        </a:xfrm>
        <a:prstGeom prst="rect">
          <a:avLst/>
        </a:prstGeom>
        <a:solidFill>
          <a:srgbClr val="ffffff"/>
        </a:solidFill>
        <a:ln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r>
            <a:rPr b="0" lang="en-US" sz="1100" spc="-1" strike="noStrike">
              <a:latin typeface="Times New Roman"/>
            </a:rPr>
            <a:t>This shape represents a slicer. Slicers are supported in Excel 2010 or later.</a:t>
          </a:r>
          <a:endParaRPr b="0" lang="en-US" sz="1100" spc="-1" strike="noStrike">
            <a:latin typeface="Times New Roman"/>
          </a:endParaRPr>
        </a:p>
        <a:p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latin typeface="Times New Roman"/>
            </a:rPr>
            <a:t>If the shape was modified in an earlier version of Excel, or if the workbook was saved in Excel 2003 or earlier, the slicer cannot be used.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Users/myadegar002/Desktop/10.255.32.203/pwcftpdp/COMMUN/SOUCHARD/TRS/2001/trs2.xls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Users/clee058/Documents/PwC/Reinvest/Excel%20Guru/Intern%20Onboarding%2020160612/Excel%20Gurus%20-%20Foundational%20and%20Intermediate%20Course%205.31.16.xlsm" TargetMode="External"/>
</Relationships>
</file>

<file path=xl/externalLinks/_rels/externalLink3.xml.rels><?xml version="1.0" encoding="UTF-8"?>
<Relationships xmlns="http://schemas.openxmlformats.org/package/2006/relationships"><Relationship Id="rId1" Type="http://schemas.openxmlformats.org/officeDocument/2006/relationships/externalLinkPath" Target="Users/cdaniele006/Excel%20Gurus/Foundational%20Course/Excel%20Gurus%20-%20Foundational%20and%20Intermediate%20Course%205.31.16.xlsm" TargetMode="External"/>
</Relationships>
</file>

<file path=xl/externalLinks/_rels/externalLink4.xml.rels><?xml version="1.0" encoding="UTF-8"?>
<Relationships xmlns="http://schemas.openxmlformats.org/package/2006/relationships"><Relationship Id="rId1" Type="http://schemas.openxmlformats.org/officeDocument/2006/relationships/externalLinkPath" Target="Users/myadegar002/Desktop/10.255.32.203/pwcftpdp/Users/jmclane001/Documents/Work/2013.05.20_Wyndham_Res%20System/Final%20Documents/WHG%20CRS%20Assessment%20Financial%20Model-06142013%20vFINAL.xlsx" TargetMode="External"/>
</Relationships>
</file>

<file path=xl/externalLinks/_rels/externalLink5.xml.rels><?xml version="1.0" encoding="UTF-8"?>
<Relationships xmlns="http://schemas.openxmlformats.org/package/2006/relationships"><Relationship Id="rId1" Type="http://schemas.openxmlformats.org/officeDocument/2006/relationships/externalLinkPath" Target="Users/myadegar002/Desktop/10.255.32.203/pwcftpdp/Users/jmclane001/Documents/Work/Training,%20L&amp;D,%20Learning,%20Courses/Training%20the%20Street/MCK%20Case/1%20FM_101_Examples_TWO-Day_v14.1.3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mpoule"/>
      <sheetName val="CAM1"/>
      <sheetName val="SIROP"/>
      <sheetName val="SACHET"/>
      <sheetName val="TUBE"/>
      <sheetName val="SOUDURE"/>
      <sheetName val="UHL4"/>
      <sheetName val="GELULE"/>
      <sheetName val="UHL3"/>
      <sheetName val="UHL2"/>
      <sheetName val="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Welcome!"/>
      <sheetName val="1. Core Concepts"/>
      <sheetName val="2. Sales Data Practice"/>
      <sheetName val="2a. Sales Solutions"/>
      <sheetName val="2b. Product ID"/>
      <sheetName val="3. Data Cleansing"/>
      <sheetName val="3a. Exercise"/>
      <sheetName val="3b. Answers"/>
      <sheetName val="4. Text Functions"/>
      <sheetName val="4a. Exercise"/>
      <sheetName val="4b. Answers"/>
      <sheetName val="5. Dates"/>
      <sheetName val="5a. Exercise"/>
      <sheetName val="5b. Answers"/>
      <sheetName val="6. Vlookup"/>
      <sheetName val="6a. Exercise"/>
      <sheetName val="6b. Answers"/>
      <sheetName val="7. Index Match"/>
      <sheetName val="7a. Exercise"/>
      <sheetName val="7b. Answers"/>
      <sheetName val="8. Indirect"/>
      <sheetName val="8a. Exercise"/>
      <sheetName val="Finance"/>
      <sheetName val="HR"/>
      <sheetName val="IT"/>
      <sheetName val="8e. Answers"/>
      <sheetName val="9. Pivot Tables"/>
      <sheetName val="9a. Exercise"/>
      <sheetName val="9b. Answers"/>
      <sheetName val="10. If Statements"/>
      <sheetName val="10a. Exercise"/>
      <sheetName val="10b. Answers"/>
      <sheetName val="10c.Multiple IF STMTS"/>
      <sheetName val="10d. Exercise"/>
      <sheetName val="10e. Answers"/>
      <sheetName val="11. CountIf &amp; SumIf &amp; AvgIf"/>
      <sheetName val="11a. Exercise"/>
      <sheetName val="11b. Answers"/>
      <sheetName val="12. SumProduct"/>
      <sheetName val="12a. Exercise"/>
      <sheetName val="12b. Answers"/>
      <sheetName val="13. Sensitivity Analysis"/>
      <sheetName val="13a. Exercise"/>
      <sheetName val="13b. Answers"/>
      <sheetName val="14. Power View"/>
      <sheetName val="14. Power View Exercise"/>
      <sheetName val="14. En. Power View"/>
      <sheetName val="14. Ex1 Answers"/>
      <sheetName val="14. Ex2 Answers"/>
      <sheetName val="14. Ex3 Answers"/>
      <sheetName val="15. Formatting Quiz"/>
      <sheetName val="15. Formatting Quiz SOLUTION"/>
      <sheetName val="Appendix"/>
      <sheetName val="Helpful Functions"/>
      <sheetName val="Useful Template"/>
      <sheetName val="L&amp;D Train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Welcome!"/>
      <sheetName val="1. Core Concepts"/>
      <sheetName val="2. Sales Data Practice"/>
      <sheetName val="2a. Sales Solutions"/>
      <sheetName val="2b. Product ID"/>
      <sheetName val="3. Data Cleansing"/>
      <sheetName val="3a. Exercise"/>
      <sheetName val="3b. Answers"/>
      <sheetName val="4. Text Functions"/>
      <sheetName val="4a. Exercise"/>
      <sheetName val="4b. Answers"/>
      <sheetName val="5. Dates"/>
      <sheetName val="5a. Exercise"/>
      <sheetName val="5b. Answers"/>
      <sheetName val="6. Vlookup"/>
      <sheetName val="6a. Exercise"/>
      <sheetName val="6b. Answers"/>
      <sheetName val="7. Index Match"/>
      <sheetName val="7a. Exercise"/>
      <sheetName val="7b. Answers"/>
      <sheetName val="8. Indirect"/>
      <sheetName val="8a. Exercise"/>
      <sheetName val="Finance"/>
      <sheetName val="HR"/>
      <sheetName val="IT"/>
      <sheetName val="8e. Answers"/>
      <sheetName val="9. Pivot Tables"/>
      <sheetName val="9a. Exercise"/>
      <sheetName val="9b. Answers"/>
      <sheetName val="10. If Statements"/>
      <sheetName val="10a. Exercise"/>
      <sheetName val="10b. Answers"/>
      <sheetName val="10c.Multiple IF STMTS"/>
      <sheetName val="10d. Exercise"/>
      <sheetName val="10e. Answers"/>
      <sheetName val="11. CountIf &amp; SumIf &amp; AvgIf"/>
      <sheetName val="11a. Exercise"/>
      <sheetName val="11b. Answers"/>
      <sheetName val="12. SumProduct"/>
      <sheetName val="12a. Exercise"/>
      <sheetName val="12b. Answers"/>
      <sheetName val="13. Sensitivity Analysis"/>
      <sheetName val="13a. Exercise"/>
      <sheetName val="13b. Answers"/>
      <sheetName val="14. Power View"/>
      <sheetName val="14. Power View Exercise"/>
      <sheetName val="14. En. Power View"/>
      <sheetName val="14. Ex1 Answers"/>
      <sheetName val="14. Ex2 Answers"/>
      <sheetName val="14. Ex3 Answers"/>
      <sheetName val="15. Formatting Quiz"/>
      <sheetName val="15. Formatting Quiz SOLUTION"/>
      <sheetName val="Appendix"/>
      <sheetName val="Helpful Functions"/>
      <sheetName val="Useful Template"/>
      <sheetName val="L&amp;D Train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Dropdowns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Welcome"/>
    </sheetNames>
    <sheetDataSet>
      <sheetData sheetId="0"/>
    </sheetDataSet>
  </externalBook>
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07" createdVersion="3">
  <cacheSource type="worksheet">
    <worksheetSource ref="C3:M110" sheet="Data Set"/>
  </cacheSource>
  <cacheFields count="11">
    <cacheField name="Distributor ID" numFmtId="0">
      <sharedItems containsSemiMixedTypes="0" containsString="0" containsNumber="1" containsInteger="1" minValue="23263" maxValue="23380" count="107">
        <n v="23263"/>
        <n v="23264"/>
        <n v="23265"/>
        <n v="23266"/>
        <n v="23267"/>
        <n v="23268"/>
        <n v="23269"/>
        <n v="23270"/>
        <n v="23271"/>
        <n v="23272"/>
        <n v="23273"/>
        <n v="23274"/>
        <n v="23275"/>
        <n v="23276"/>
        <n v="23278"/>
        <n v="23279"/>
        <n v="23280"/>
        <n v="23281"/>
        <n v="23282"/>
        <n v="23283"/>
        <n v="23284"/>
        <n v="23285"/>
        <n v="23286"/>
        <n v="23287"/>
        <n v="23288"/>
        <n v="23289"/>
        <n v="23290"/>
        <n v="23291"/>
        <n v="23292"/>
        <n v="23294"/>
        <n v="23296"/>
        <n v="23297"/>
        <n v="23298"/>
        <n v="23299"/>
        <n v="23300"/>
        <n v="23301"/>
        <n v="23302"/>
        <n v="23303"/>
        <n v="23304"/>
        <n v="23305"/>
        <n v="23306"/>
        <n v="23307"/>
        <n v="23308"/>
        <n v="23309"/>
        <n v="23310"/>
        <n v="23311"/>
        <n v="23312"/>
        <n v="23314"/>
        <n v="23315"/>
        <n v="23316"/>
        <n v="23317"/>
        <n v="23318"/>
        <n v="23320"/>
        <n v="23322"/>
        <n v="23323"/>
        <n v="23324"/>
        <n v="23325"/>
        <n v="23326"/>
        <n v="23327"/>
        <n v="23328"/>
        <n v="23329"/>
        <n v="23332"/>
        <n v="23333"/>
        <n v="23334"/>
        <n v="23335"/>
        <n v="23336"/>
        <n v="23337"/>
        <n v="23338"/>
        <n v="23339"/>
        <n v="23340"/>
        <n v="23341"/>
        <n v="23342"/>
        <n v="23343"/>
        <n v="23344"/>
        <n v="23345"/>
        <n v="23346"/>
        <n v="23347"/>
        <n v="23348"/>
        <n v="23349"/>
        <n v="23350"/>
        <n v="23351"/>
        <n v="23352"/>
        <n v="23353"/>
        <n v="23354"/>
        <n v="23355"/>
        <n v="23356"/>
        <n v="23357"/>
        <n v="23358"/>
        <n v="23360"/>
        <n v="23361"/>
        <n v="23362"/>
        <n v="23364"/>
        <n v="23365"/>
        <n v="23367"/>
        <n v="23368"/>
        <n v="23369"/>
        <n v="23370"/>
        <n v="23371"/>
        <n v="23372"/>
        <n v="23373"/>
        <n v="23374"/>
        <n v="23375"/>
        <n v="23376"/>
        <n v="23377"/>
        <n v="23378"/>
        <n v="23379"/>
        <n v="23380"/>
      </sharedItems>
    </cacheField>
    <cacheField name="Distributor Name" numFmtId="0">
      <sharedItems count="107">
        <s v="Adria Kaufman"/>
        <s v="Amery Frazier"/>
        <s v="Amir Alexander"/>
        <s v="Angela Wise"/>
        <s v="Anika Tillman"/>
        <s v="Anjolie Hicks"/>
        <s v="Aphrodite Brennan"/>
        <s v="Aretha Patton"/>
        <s v="Arsenio Knowles"/>
        <s v="Asher Weber"/>
        <s v="Athena Fitzpatrick"/>
        <s v="Barrett Mckinney"/>
        <s v="Basil Vang"/>
        <s v="Bell Prince"/>
        <s v="Benedict Byrd"/>
        <s v="Brittany Burris"/>
        <s v="Brynne Mcgowan"/>
        <s v="Buckminster Hopkins"/>
        <s v="Celeste Pugh"/>
        <s v="Clark Orr"/>
        <s v="Clark Weaver"/>
        <s v="Colby Knapp"/>
        <s v="Colette Sargent"/>
        <s v="Cyrus Whitley"/>
        <s v="Dara Cunningham"/>
        <s v="Deacon Craig"/>
        <s v="Deanna Santana"/>
        <s v="Desirae Perkins"/>
        <s v="Devin Abbott"/>
        <s v="Doris Williams"/>
        <s v="Ebony Mercer"/>
        <s v="Eleanor Hopper"/>
        <s v="Emerson Beard"/>
        <s v="Ethan Gregory"/>
        <s v="Fletcher Jimenez"/>
        <s v="Forrest Macdonald"/>
        <s v="George Best"/>
        <s v="Germaine Kidd"/>
        <s v="Guinevere Key"/>
        <s v="Gwendolyn Mccarty"/>
        <s v="Gwendolyn Walton"/>
        <s v="Hayes Rollins"/>
        <s v="Hiroko Acevedo"/>
        <s v="Iliana Porter"/>
        <s v="Ima Cummings"/>
        <s v="Imogene Bradshaw"/>
        <s v="India Gilbert"/>
        <s v="Ingrid Bush"/>
        <s v="Isaac Cooper"/>
        <s v="Isaac Wolf"/>
        <s v="Isadora Mcclure"/>
        <s v="Ivor Mclaughlin"/>
        <s v="Ivory Chang"/>
        <s v="James Spencer"/>
        <s v="Jane Hernandez"/>
        <s v="Jared Sandoval"/>
        <s v="Jelani Odonnell"/>
        <s v="Jerry Alvarado"/>
        <s v="Joel Rivers"/>
        <s v="Josiah Yates"/>
        <s v="Joy Vazquez"/>
        <s v="Katelyn Joseph"/>
        <s v="Kay Buckley"/>
        <s v="Keaton Wolfe"/>
        <s v="Kenyon Joyce"/>
        <s v="Lael Gould"/>
        <s v="Lance Little"/>
        <s v="Lani Sweet"/>
        <s v="Latifah Wall"/>
        <s v="Leonard Cardenas"/>
        <s v="Levi Douglas"/>
        <s v="Liberty Mcbride"/>
        <s v="Maite Henson"/>
        <s v="Maxine Gentry"/>
        <s v="Maxwell Parker"/>
        <s v="Melinda Cobb"/>
        <s v="Mercedes Humphrey"/>
        <s v="Nell Maddox"/>
        <s v="Noble Gilbert"/>
        <s v="Noble Warner"/>
        <s v="Noel Key"/>
        <s v="Nyssa Quinn"/>
        <s v="Oprah Ellis"/>
        <s v="Paul Duke"/>
        <s v="Petra Mckenzie"/>
        <s v="Phillip Perkins"/>
        <s v="Rama Goodwin"/>
        <s v="Renee Padilla"/>
        <s v="Rhona Clarke"/>
        <s v="Roary Dixon"/>
        <s v="Robert Juarez"/>
        <s v="Ryder Conner"/>
        <s v="Samuel Ayala"/>
        <s v="Sawyer Stokes"/>
        <s v="Shea Cortez"/>
        <s v="Silas Battle"/>
        <s v="Tad Mack"/>
        <s v="Thomas Barnes"/>
        <s v="Uriel Benton"/>
        <s v="Ursula Mcconnell"/>
        <s v="Vance Campos"/>
        <s v="Victoria Solis"/>
        <s v="Wanda Garza"/>
        <s v="Winifred Cantu"/>
        <s v="Xerxes Smith"/>
        <s v="Yael Carter"/>
        <s v="Zahir Fields"/>
      </sharedItems>
    </cacheField>
    <cacheField name="Country" numFmtId="0">
      <sharedItems count="87">
        <s v="Albania"/>
        <s v="Australia"/>
        <s v="Azerbaijan"/>
        <s v="Bangladesh"/>
        <s v="Botswana"/>
        <s v="Bouvet Island"/>
        <s v="Brazil"/>
        <s v="Burkina Faso"/>
        <s v="Burundi"/>
        <s v="Canada"/>
        <s v="Cape Verde"/>
        <s v="Chad"/>
        <s v="Chile"/>
        <s v="Cocos (Keeling) Islands"/>
        <s v="Colombia"/>
        <s v="Croatia"/>
        <s v="Cuba"/>
        <s v="Denmark"/>
        <s v="Dominican Republic"/>
        <s v="El Salvador"/>
        <s v="Falkland Islands (Malvinas)"/>
        <s v="Fiji"/>
        <s v="Finland"/>
        <s v="France"/>
        <s v="French Southern Territories"/>
        <s v="Gabon"/>
        <s v="Gambia"/>
        <s v="Georgia"/>
        <s v="Guadeloupe"/>
        <s v="Guinea"/>
        <s v="Hungary"/>
        <s v="Iceland"/>
        <s v="India"/>
        <s v="Indonesia"/>
        <s v="Kazakhstan"/>
        <s v="Korea"/>
        <s v="Korea, Republic of"/>
        <s v="Kyrgyzstan"/>
        <s v="Liberia"/>
        <s v="Macedonia"/>
        <s v="Madagascar"/>
        <s v="Malawi"/>
        <s v="Malaysia"/>
        <s v="Malta"/>
        <s v="Mauritania"/>
        <s v="Mayotte"/>
        <s v="Moldova"/>
        <s v="Mongolia"/>
        <s v="Montserrat"/>
        <s v="Morocco"/>
        <s v="Nepal"/>
        <s v="Netherlands Antilles"/>
        <s v="New Caledonia"/>
        <s v="Niger"/>
        <s v="Nigeria"/>
        <s v="Niue"/>
        <s v="Norfolk Island"/>
        <s v="Pakistan"/>
        <s v="Palau"/>
        <s v="Panama"/>
        <s v="Philippines"/>
        <s v="Poland"/>
        <s v="Puerto Rico"/>
        <s v="Reunion"/>
        <s v="Saint Helena"/>
        <s v="Saudi Arabia"/>
        <s v="Sierra Leone"/>
        <s v="Slovenia"/>
        <s v="Solomon Islands"/>
        <s v="South Africa"/>
        <s v="Svalbard and Jan Mayen"/>
        <s v="Syrian Arab Republic"/>
        <s v="Tanzania, United Republic of"/>
        <s v="Tonga"/>
        <s v="Trinidad and Tobago"/>
        <s v="Tunisia"/>
        <s v="Turkey"/>
        <s v="Turks and Caicos Islands"/>
        <s v="Tuvalu"/>
        <s v="United States"/>
        <s v="United States Minor Outlying Islands"/>
        <s v="Uruguay"/>
        <s v="Vanuatu"/>
        <s v="Virgin Islands, British"/>
        <s v="Western Sahara"/>
        <s v="Yemen"/>
        <s v="Zimbabwe"/>
      </sharedItems>
    </cacheField>
    <cacheField name="Product Code" numFmtId="0">
      <sharedItems count="11">
        <s v="DETA100"/>
        <s v="DETA200"/>
        <s v="DETA800"/>
        <s v="PURA100"/>
        <s v="PURA200"/>
        <s v="PURA250"/>
        <s v="PURA500"/>
        <s v="SUPA102"/>
        <s v="SUPA103"/>
        <s v="SUPA104"/>
        <s v="SUPA105"/>
      </sharedItems>
    </cacheField>
    <cacheField name="Product " numFmtId="0">
      <sharedItems count="11">
        <s v="Detafast Stain Remover - 100ml"/>
        <s v="Detafast Stain Remover - 200ml"/>
        <s v="Detafast Stain Remover - 800ml"/>
        <s v="Pure Soft Detergent - 100ml"/>
        <s v="Pure Soft Detergent - 200ml"/>
        <s v="Pure Soft Detergent - 250ml"/>
        <s v="Pure Soft Detergent - 500ml"/>
        <s v="Super Soft - 1 Litre"/>
        <s v="Super Soft - 250ml"/>
        <s v="Super Soft - 500ml"/>
        <s v="Super Soft Bulk - 2 Litres"/>
      </sharedItems>
    </cacheField>
    <cacheField name="Sales Channel" numFmtId="0">
      <sharedItems count="3">
        <s v="Direct"/>
        <s v="Online"/>
        <s v="Retail"/>
      </sharedItems>
    </cacheField>
    <cacheField name="Date Sold" numFmtId="0">
      <sharedItems containsSemiMixedTypes="0" containsNonDate="0" containsDate="1" containsString="0" minDate="2012-01-03T00:00:00" maxDate="2012-12-29T00:00:00" count="82">
        <d v="2012-01-03T00:00:00"/>
        <d v="2012-01-04T00:00:00"/>
        <d v="2012-01-07T00:00:00"/>
        <d v="2012-01-15T00:00:00"/>
        <d v="2012-01-23T00:00:00"/>
        <d v="2012-01-31T00:00:00"/>
        <d v="2012-02-11T00:00:00"/>
        <d v="2012-02-17T00:00:00"/>
        <d v="2012-02-27T00:00:00"/>
        <d v="2012-04-03T00:00:00"/>
        <d v="2012-04-10T00:00:00"/>
        <d v="2012-04-21T00:00:00"/>
        <d v="2012-04-24T00:00:00"/>
        <d v="2012-04-27T00:00:00"/>
        <d v="2012-04-29T00:00:00"/>
        <d v="2012-04-30T00:00:00"/>
        <d v="2012-06-01T00:00:00"/>
        <d v="2012-06-03T00:00:00"/>
        <d v="2012-06-07T00:00:00"/>
        <d v="2012-06-08T00:00:00"/>
        <d v="2012-06-10T00:00:00"/>
        <d v="2012-06-11T00:00:00"/>
        <d v="2012-06-12T00:00:00"/>
        <d v="2012-06-13T00:00:00"/>
        <d v="2012-06-14T00:00:00"/>
        <d v="2012-06-15T00:00:00"/>
        <d v="2012-06-17T00:00:00"/>
        <d v="2012-06-18T00:00:00"/>
        <d v="2012-06-21T00:00:00"/>
        <d v="2012-06-22T00:00:00"/>
        <d v="2012-06-23T00:00:00"/>
        <d v="2012-06-24T00:00:00"/>
        <d v="2012-06-25T00:00:00"/>
        <d v="2012-06-27T00:00:00"/>
        <d v="2012-06-28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9T00:00:00"/>
        <d v="2012-07-11T00:00:00"/>
        <d v="2012-07-12T00:00:00"/>
        <d v="2012-07-13T00:00:00"/>
        <d v="2012-07-17T00:00:00"/>
        <d v="2012-07-19T00:00:00"/>
        <d v="2012-07-22T00:00:00"/>
        <d v="2012-07-23T00:00:00"/>
        <d v="2012-07-24T00:00:00"/>
        <d v="2012-07-27T00:00:00"/>
        <d v="2012-07-28T00:00:00"/>
        <d v="2012-07-29T00:00:00"/>
        <d v="2012-07-31T00:00:00"/>
        <d v="2012-08-01T00:00:00"/>
        <d v="2012-08-02T00:00:00"/>
        <d v="2012-08-03T00:00:00"/>
        <d v="2012-08-05T00:00:00"/>
        <d v="2012-08-08T00:00:00"/>
        <d v="2012-08-10T00:00:00"/>
        <d v="2012-08-11T00:00:00"/>
        <d v="2012-08-12T00:00:00"/>
        <d v="2012-08-13T00:00:00"/>
        <d v="2012-08-15T00:00:00"/>
        <d v="2012-08-17T00:00:00"/>
        <d v="2012-08-18T00:00:00"/>
        <d v="2012-08-21T00:00:00"/>
        <d v="2012-08-22T00:00:00"/>
        <d v="2012-08-23T00:00:00"/>
        <d v="2012-08-24T00:00:00"/>
        <d v="2012-08-25T00:00:00"/>
        <d v="2012-08-26T00:00:00"/>
        <d v="2012-08-29T00:00:00"/>
        <d v="2012-12-05T00:00:00"/>
        <d v="2012-12-12T00:00:00"/>
        <d v="2012-12-13T00:00:00"/>
        <d v="2012-12-14T00:00:00"/>
        <d v="2012-12-17T00:00:00"/>
        <d v="2012-12-22T00:00:00"/>
        <d v="2012-12-27T00:00:00"/>
        <d v="2012-12-29T00:00:00"/>
      </sharedItems>
    </cacheField>
    <cacheField name="Month Sold" numFmtId="0">
      <sharedItems containsSemiMixedTypes="0" containsString="0" containsNumber="1" containsInteger="1" minValue="1" maxValue="12" count="7">
        <n v="1"/>
        <n v="2"/>
        <n v="4"/>
        <n v="6"/>
        <n v="7"/>
        <n v="8"/>
        <n v="12"/>
      </sharedItems>
    </cacheField>
    <cacheField name="Quantity" numFmtId="0">
      <sharedItems containsSemiMixedTypes="0" containsString="0" containsNumber="1" containsInteger="1" minValue="5" maxValue="208" count="83">
        <n v="5"/>
        <n v="7"/>
        <n v="9"/>
        <n v="10"/>
        <n v="12"/>
        <n v="13"/>
        <n v="14"/>
        <n v="16"/>
        <n v="18"/>
        <n v="20"/>
        <n v="22"/>
        <n v="28"/>
        <n v="30"/>
        <n v="37"/>
        <n v="41"/>
        <n v="42"/>
        <n v="43"/>
        <n v="47"/>
        <n v="48"/>
        <n v="50"/>
        <n v="57"/>
        <n v="63"/>
        <n v="64"/>
        <n v="65"/>
        <n v="67"/>
        <n v="69"/>
        <n v="71"/>
        <n v="73"/>
        <n v="77"/>
        <n v="80"/>
        <n v="82"/>
        <n v="84"/>
        <n v="85"/>
        <n v="89"/>
        <n v="93"/>
        <n v="95"/>
        <n v="100"/>
        <n v="102"/>
        <n v="104"/>
        <n v="105"/>
        <n v="106"/>
        <n v="108"/>
        <n v="109"/>
        <n v="112"/>
        <n v="113"/>
        <n v="116"/>
        <n v="122"/>
        <n v="125"/>
        <n v="126"/>
        <n v="129"/>
        <n v="131"/>
        <n v="134"/>
        <n v="135"/>
        <n v="137"/>
        <n v="141"/>
        <n v="142"/>
        <n v="147"/>
        <n v="150"/>
        <n v="151"/>
        <n v="153"/>
        <n v="157"/>
        <n v="160"/>
        <n v="163"/>
        <n v="165"/>
        <n v="166"/>
        <n v="167"/>
        <n v="168"/>
        <n v="170"/>
        <n v="176"/>
        <n v="178"/>
        <n v="179"/>
        <n v="184"/>
        <n v="188"/>
        <n v="189"/>
        <n v="193"/>
        <n v="196"/>
        <n v="197"/>
        <n v="199"/>
        <n v="201"/>
        <n v="203"/>
        <n v="204"/>
        <n v="205"/>
        <n v="208"/>
      </sharedItems>
    </cacheField>
    <cacheField name="Unit Price" numFmtId="0">
      <sharedItems containsSemiMixedTypes="0" containsString="0" containsNumber="1" minValue="3" maxValue="14.5" count="9">
        <n v="3"/>
        <n v="3.99"/>
        <n v="4.5"/>
        <n v="6"/>
        <n v="6.5"/>
        <n v="6.99"/>
        <n v="9"/>
        <n v="9.99"/>
        <n v="14.5"/>
      </sharedItems>
    </cacheField>
    <cacheField name="Revenue" numFmtId="0">
      <sharedItems containsSemiMixedTypes="0" containsString="0" containsNumber="1" minValue="30" maxValue="3016" count="103">
        <n v="30"/>
        <n v="31.5"/>
        <n v="34.95"/>
        <n v="40.5"/>
        <n v="42"/>
        <n v="45"/>
        <n v="54"/>
        <n v="60"/>
        <n v="72"/>
        <n v="111.72"/>
        <n v="129.87"/>
        <n v="139.86"/>
        <n v="143"/>
        <n v="189"/>
        <n v="209.7"/>
        <n v="219.78"/>
        <n v="227.43"/>
        <n v="231"/>
        <n v="246"/>
        <n v="258.63"/>
        <n v="259.35"/>
        <n v="261"/>
        <n v="279.5"/>
        <n v="300"/>
        <n v="312"/>
        <n v="319.2"/>
        <n v="336"/>
        <n v="348"/>
        <n v="382.5"/>
        <n v="387"/>
        <n v="405"/>
        <n v="409.59"/>
        <n v="414.96"/>
        <n v="416"/>
        <n v="419.58"/>
        <n v="422.5"/>
        <n v="423"/>
        <n v="459"/>
        <n v="461.5"/>
        <n v="468.33"/>
        <n v="474.5"/>
        <n v="477"/>
        <n v="486.78"/>
        <n v="490.5"/>
        <n v="492"/>
        <n v="500.5"/>
        <n v="522.69"/>
        <n v="534"/>
        <n v="536.5"/>
        <n v="537"/>
        <n v="546.63"/>
        <n v="567"/>
        <n v="573.18"/>
        <n v="587.16"/>
        <n v="594.15"/>
        <n v="600"/>
        <n v="602.49"/>
        <n v="603"/>
        <n v="604.5"/>
        <n v="607.5"/>
        <n v="617.5"/>
        <n v="621"/>
        <n v="675"/>
        <n v="678"/>
        <n v="678.3"/>
        <n v="682.5"/>
        <n v="742.5"/>
        <n v="750"/>
        <n v="754.92"/>
        <n v="801"/>
        <n v="801.99"/>
        <n v="819"/>
        <n v="850.5"/>
        <n v="873.75"/>
        <n v="882"/>
        <n v="913.5"/>
        <n v="949.05"/>
        <n v="1044"/>
        <n v="1058.5"/>
        <n v="1104"/>
        <n v="1144"/>
        <n v="1215"/>
        <n v="1269"/>
        <n v="1286.16"/>
        <n v="1323"/>
        <n v="1408.59"/>
        <n v="1425.96"/>
        <n v="1440"/>
        <n v="1479"/>
        <n v="1530"/>
        <n v="1628.37"/>
        <n v="1668.33"/>
        <n v="1692"/>
        <n v="1791"/>
        <n v="1845"/>
        <n v="1928.07"/>
        <n v="2059"/>
        <n v="2276.5"/>
        <n v="2407"/>
        <n v="2436"/>
        <n v="2552"/>
        <n v="2856.5"/>
        <n v="3016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">
  <r>
    <x v="74"/>
    <x v="28"/>
    <x v="23"/>
    <x v="10"/>
    <x v="10"/>
    <x v="1"/>
    <x v="73"/>
    <x v="5"/>
    <x v="82"/>
    <x v="8"/>
    <x v="102"/>
  </r>
  <r>
    <x v="14"/>
    <x v="6"/>
    <x v="41"/>
    <x v="10"/>
    <x v="10"/>
    <x v="0"/>
    <x v="70"/>
    <x v="5"/>
    <x v="76"/>
    <x v="8"/>
    <x v="101"/>
  </r>
  <r>
    <x v="37"/>
    <x v="38"/>
    <x v="14"/>
    <x v="10"/>
    <x v="10"/>
    <x v="2"/>
    <x v="65"/>
    <x v="5"/>
    <x v="68"/>
    <x v="8"/>
    <x v="100"/>
  </r>
  <r>
    <x v="82"/>
    <x v="106"/>
    <x v="9"/>
    <x v="10"/>
    <x v="10"/>
    <x v="0"/>
    <x v="20"/>
    <x v="3"/>
    <x v="66"/>
    <x v="8"/>
    <x v="99"/>
  </r>
  <r>
    <x v="25"/>
    <x v="25"/>
    <x v="47"/>
    <x v="10"/>
    <x v="10"/>
    <x v="2"/>
    <x v="56"/>
    <x v="5"/>
    <x v="64"/>
    <x v="8"/>
    <x v="98"/>
  </r>
  <r>
    <x v="104"/>
    <x v="16"/>
    <x v="22"/>
    <x v="10"/>
    <x v="10"/>
    <x v="1"/>
    <x v="27"/>
    <x v="3"/>
    <x v="60"/>
    <x v="8"/>
    <x v="97"/>
  </r>
  <r>
    <x v="19"/>
    <x v="67"/>
    <x v="82"/>
    <x v="10"/>
    <x v="10"/>
    <x v="1"/>
    <x v="31"/>
    <x v="3"/>
    <x v="55"/>
    <x v="8"/>
    <x v="96"/>
  </r>
  <r>
    <x v="55"/>
    <x v="79"/>
    <x v="7"/>
    <x v="9"/>
    <x v="7"/>
    <x v="2"/>
    <x v="63"/>
    <x v="5"/>
    <x v="74"/>
    <x v="7"/>
    <x v="95"/>
  </r>
  <r>
    <x v="1"/>
    <x v="70"/>
    <x v="72"/>
    <x v="2"/>
    <x v="2"/>
    <x v="1"/>
    <x v="66"/>
    <x v="5"/>
    <x v="81"/>
    <x v="6"/>
    <x v="94"/>
  </r>
  <r>
    <x v="27"/>
    <x v="56"/>
    <x v="0"/>
    <x v="2"/>
    <x v="2"/>
    <x v="2"/>
    <x v="66"/>
    <x v="5"/>
    <x v="77"/>
    <x v="6"/>
    <x v="93"/>
  </r>
  <r>
    <x v="39"/>
    <x v="55"/>
    <x v="4"/>
    <x v="2"/>
    <x v="2"/>
    <x v="1"/>
    <x v="72"/>
    <x v="5"/>
    <x v="72"/>
    <x v="6"/>
    <x v="92"/>
  </r>
  <r>
    <x v="79"/>
    <x v="42"/>
    <x v="8"/>
    <x v="2"/>
    <x v="2"/>
    <x v="1"/>
    <x v="32"/>
    <x v="3"/>
    <x v="72"/>
    <x v="6"/>
    <x v="92"/>
  </r>
  <r>
    <x v="34"/>
    <x v="88"/>
    <x v="86"/>
    <x v="9"/>
    <x v="7"/>
    <x v="1"/>
    <x v="2"/>
    <x v="0"/>
    <x v="65"/>
    <x v="7"/>
    <x v="91"/>
  </r>
  <r>
    <x v="77"/>
    <x v="96"/>
    <x v="31"/>
    <x v="9"/>
    <x v="7"/>
    <x v="2"/>
    <x v="71"/>
    <x v="5"/>
    <x v="62"/>
    <x v="7"/>
    <x v="90"/>
  </r>
  <r>
    <x v="26"/>
    <x v="86"/>
    <x v="75"/>
    <x v="2"/>
    <x v="2"/>
    <x v="1"/>
    <x v="61"/>
    <x v="5"/>
    <x v="67"/>
    <x v="6"/>
    <x v="89"/>
  </r>
  <r>
    <x v="59"/>
    <x v="63"/>
    <x v="24"/>
    <x v="10"/>
    <x v="10"/>
    <x v="2"/>
    <x v="3"/>
    <x v="0"/>
    <x v="37"/>
    <x v="8"/>
    <x v="88"/>
  </r>
  <r>
    <x v="29"/>
    <x v="92"/>
    <x v="6"/>
    <x v="2"/>
    <x v="2"/>
    <x v="2"/>
    <x v="29"/>
    <x v="3"/>
    <x v="61"/>
    <x v="6"/>
    <x v="87"/>
  </r>
  <r>
    <x v="97"/>
    <x v="29"/>
    <x v="74"/>
    <x v="8"/>
    <x v="9"/>
    <x v="1"/>
    <x v="64"/>
    <x v="5"/>
    <x v="80"/>
    <x v="5"/>
    <x v="86"/>
  </r>
  <r>
    <x v="24"/>
    <x v="47"/>
    <x v="48"/>
    <x v="9"/>
    <x v="7"/>
    <x v="0"/>
    <x v="24"/>
    <x v="3"/>
    <x v="54"/>
    <x v="7"/>
    <x v="85"/>
  </r>
  <r>
    <x v="76"/>
    <x v="77"/>
    <x v="2"/>
    <x v="2"/>
    <x v="2"/>
    <x v="1"/>
    <x v="34"/>
    <x v="3"/>
    <x v="56"/>
    <x v="6"/>
    <x v="84"/>
  </r>
  <r>
    <x v="89"/>
    <x v="14"/>
    <x v="44"/>
    <x v="8"/>
    <x v="9"/>
    <x v="1"/>
    <x v="2"/>
    <x v="0"/>
    <x v="71"/>
    <x v="5"/>
    <x v="83"/>
  </r>
  <r>
    <x v="12"/>
    <x v="33"/>
    <x v="78"/>
    <x v="2"/>
    <x v="2"/>
    <x v="2"/>
    <x v="1"/>
    <x v="0"/>
    <x v="54"/>
    <x v="6"/>
    <x v="82"/>
  </r>
  <r>
    <x v="31"/>
    <x v="99"/>
    <x v="30"/>
    <x v="2"/>
    <x v="2"/>
    <x v="1"/>
    <x v="62"/>
    <x v="5"/>
    <x v="52"/>
    <x v="6"/>
    <x v="81"/>
  </r>
  <r>
    <x v="58"/>
    <x v="34"/>
    <x v="11"/>
    <x v="1"/>
    <x v="1"/>
    <x v="2"/>
    <x v="5"/>
    <x v="0"/>
    <x v="68"/>
    <x v="4"/>
    <x v="80"/>
  </r>
  <r>
    <x v="56"/>
    <x v="50"/>
    <x v="33"/>
    <x v="0"/>
    <x v="0"/>
    <x v="2"/>
    <x v="29"/>
    <x v="3"/>
    <x v="71"/>
    <x v="3"/>
    <x v="79"/>
  </r>
  <r>
    <x v="28"/>
    <x v="71"/>
    <x v="21"/>
    <x v="10"/>
    <x v="10"/>
    <x v="1"/>
    <x v="0"/>
    <x v="0"/>
    <x v="27"/>
    <x v="8"/>
    <x v="78"/>
  </r>
  <r>
    <x v="64"/>
    <x v="78"/>
    <x v="79"/>
    <x v="2"/>
    <x v="2"/>
    <x v="1"/>
    <x v="63"/>
    <x v="5"/>
    <x v="45"/>
    <x v="6"/>
    <x v="77"/>
  </r>
  <r>
    <x v="47"/>
    <x v="73"/>
    <x v="59"/>
    <x v="9"/>
    <x v="7"/>
    <x v="2"/>
    <x v="60"/>
    <x v="5"/>
    <x v="35"/>
    <x v="7"/>
    <x v="76"/>
  </r>
  <r>
    <x v="60"/>
    <x v="75"/>
    <x v="81"/>
    <x v="5"/>
    <x v="5"/>
    <x v="2"/>
    <x v="4"/>
    <x v="0"/>
    <x v="79"/>
    <x v="2"/>
    <x v="75"/>
  </r>
  <r>
    <x v="61"/>
    <x v="105"/>
    <x v="42"/>
    <x v="5"/>
    <x v="5"/>
    <x v="0"/>
    <x v="6"/>
    <x v="1"/>
    <x v="79"/>
    <x v="2"/>
    <x v="75"/>
  </r>
  <r>
    <x v="50"/>
    <x v="62"/>
    <x v="43"/>
    <x v="5"/>
    <x v="5"/>
    <x v="0"/>
    <x v="7"/>
    <x v="1"/>
    <x v="75"/>
    <x v="2"/>
    <x v="74"/>
  </r>
  <r>
    <x v="8"/>
    <x v="10"/>
    <x v="63"/>
    <x v="8"/>
    <x v="9"/>
    <x v="2"/>
    <x v="8"/>
    <x v="1"/>
    <x v="47"/>
    <x v="5"/>
    <x v="73"/>
  </r>
  <r>
    <x v="23"/>
    <x v="60"/>
    <x v="35"/>
    <x v="5"/>
    <x v="5"/>
    <x v="2"/>
    <x v="26"/>
    <x v="3"/>
    <x v="73"/>
    <x v="2"/>
    <x v="72"/>
  </r>
  <r>
    <x v="78"/>
    <x v="1"/>
    <x v="27"/>
    <x v="1"/>
    <x v="1"/>
    <x v="2"/>
    <x v="48"/>
    <x v="4"/>
    <x v="48"/>
    <x v="4"/>
    <x v="71"/>
  </r>
  <r>
    <x v="43"/>
    <x v="17"/>
    <x v="66"/>
    <x v="4"/>
    <x v="4"/>
    <x v="1"/>
    <x v="30"/>
    <x v="3"/>
    <x v="78"/>
    <x v="1"/>
    <x v="70"/>
  </r>
  <r>
    <x v="67"/>
    <x v="36"/>
    <x v="84"/>
    <x v="5"/>
    <x v="5"/>
    <x v="2"/>
    <x v="62"/>
    <x v="5"/>
    <x v="69"/>
    <x v="2"/>
    <x v="69"/>
  </r>
  <r>
    <x v="35"/>
    <x v="74"/>
    <x v="20"/>
    <x v="8"/>
    <x v="9"/>
    <x v="2"/>
    <x v="47"/>
    <x v="4"/>
    <x v="41"/>
    <x v="5"/>
    <x v="68"/>
  </r>
  <r>
    <x v="52"/>
    <x v="66"/>
    <x v="15"/>
    <x v="0"/>
    <x v="0"/>
    <x v="0"/>
    <x v="25"/>
    <x v="3"/>
    <x v="47"/>
    <x v="3"/>
    <x v="67"/>
  </r>
  <r>
    <x v="92"/>
    <x v="40"/>
    <x v="16"/>
    <x v="7"/>
    <x v="8"/>
    <x v="2"/>
    <x v="42"/>
    <x v="4"/>
    <x v="63"/>
    <x v="2"/>
    <x v="66"/>
  </r>
  <r>
    <x v="36"/>
    <x v="49"/>
    <x v="59"/>
    <x v="6"/>
    <x v="6"/>
    <x v="1"/>
    <x v="51"/>
    <x v="4"/>
    <x v="39"/>
    <x v="4"/>
    <x v="65"/>
  </r>
  <r>
    <x v="3"/>
    <x v="18"/>
    <x v="25"/>
    <x v="4"/>
    <x v="4"/>
    <x v="1"/>
    <x v="61"/>
    <x v="5"/>
    <x v="67"/>
    <x v="1"/>
    <x v="64"/>
  </r>
  <r>
    <x v="41"/>
    <x v="82"/>
    <x v="18"/>
    <x v="0"/>
    <x v="0"/>
    <x v="2"/>
    <x v="38"/>
    <x v="4"/>
    <x v="44"/>
    <x v="3"/>
    <x v="63"/>
  </r>
  <r>
    <x v="94"/>
    <x v="32"/>
    <x v="55"/>
    <x v="7"/>
    <x v="8"/>
    <x v="2"/>
    <x v="71"/>
    <x v="5"/>
    <x v="57"/>
    <x v="2"/>
    <x v="62"/>
  </r>
  <r>
    <x v="22"/>
    <x v="87"/>
    <x v="85"/>
    <x v="2"/>
    <x v="2"/>
    <x v="1"/>
    <x v="59"/>
    <x v="5"/>
    <x v="25"/>
    <x v="6"/>
    <x v="61"/>
  </r>
  <r>
    <x v="99"/>
    <x v="72"/>
    <x v="3"/>
    <x v="1"/>
    <x v="1"/>
    <x v="1"/>
    <x v="50"/>
    <x v="4"/>
    <x v="35"/>
    <x v="4"/>
    <x v="60"/>
  </r>
  <r>
    <x v="106"/>
    <x v="52"/>
    <x v="73"/>
    <x v="6"/>
    <x v="6"/>
    <x v="2"/>
    <x v="48"/>
    <x v="4"/>
    <x v="35"/>
    <x v="4"/>
    <x v="60"/>
  </r>
  <r>
    <x v="20"/>
    <x v="20"/>
    <x v="58"/>
    <x v="5"/>
    <x v="5"/>
    <x v="2"/>
    <x v="26"/>
    <x v="3"/>
    <x v="52"/>
    <x v="2"/>
    <x v="59"/>
  </r>
  <r>
    <x v="40"/>
    <x v="44"/>
    <x v="60"/>
    <x v="1"/>
    <x v="1"/>
    <x v="1"/>
    <x v="19"/>
    <x v="3"/>
    <x v="34"/>
    <x v="4"/>
    <x v="58"/>
  </r>
  <r>
    <x v="17"/>
    <x v="0"/>
    <x v="5"/>
    <x v="7"/>
    <x v="8"/>
    <x v="2"/>
    <x v="45"/>
    <x v="4"/>
    <x v="51"/>
    <x v="2"/>
    <x v="57"/>
  </r>
  <r>
    <x v="80"/>
    <x v="81"/>
    <x v="13"/>
    <x v="4"/>
    <x v="4"/>
    <x v="1"/>
    <x v="57"/>
    <x v="5"/>
    <x v="58"/>
    <x v="1"/>
    <x v="56"/>
  </r>
  <r>
    <x v="18"/>
    <x v="2"/>
    <x v="38"/>
    <x v="0"/>
    <x v="0"/>
    <x v="2"/>
    <x v="67"/>
    <x v="5"/>
    <x v="36"/>
    <x v="3"/>
    <x v="55"/>
  </r>
  <r>
    <x v="102"/>
    <x v="45"/>
    <x v="53"/>
    <x v="8"/>
    <x v="9"/>
    <x v="0"/>
    <x v="49"/>
    <x v="4"/>
    <x v="32"/>
    <x v="5"/>
    <x v="54"/>
  </r>
  <r>
    <x v="83"/>
    <x v="39"/>
    <x v="40"/>
    <x v="8"/>
    <x v="9"/>
    <x v="1"/>
    <x v="57"/>
    <x v="5"/>
    <x v="31"/>
    <x v="5"/>
    <x v="53"/>
  </r>
  <r>
    <x v="66"/>
    <x v="13"/>
    <x v="29"/>
    <x v="8"/>
    <x v="9"/>
    <x v="2"/>
    <x v="41"/>
    <x v="4"/>
    <x v="30"/>
    <x v="5"/>
    <x v="52"/>
  </r>
  <r>
    <x v="57"/>
    <x v="61"/>
    <x v="67"/>
    <x v="7"/>
    <x v="8"/>
    <x v="2"/>
    <x v="67"/>
    <x v="5"/>
    <x v="48"/>
    <x v="2"/>
    <x v="51"/>
  </r>
  <r>
    <x v="49"/>
    <x v="90"/>
    <x v="70"/>
    <x v="4"/>
    <x v="4"/>
    <x v="2"/>
    <x v="16"/>
    <x v="3"/>
    <x v="53"/>
    <x v="1"/>
    <x v="50"/>
  </r>
  <r>
    <x v="90"/>
    <x v="57"/>
    <x v="36"/>
    <x v="3"/>
    <x v="3"/>
    <x v="1"/>
    <x v="66"/>
    <x v="5"/>
    <x v="70"/>
    <x v="0"/>
    <x v="49"/>
  </r>
  <r>
    <x v="30"/>
    <x v="46"/>
    <x v="17"/>
    <x v="10"/>
    <x v="10"/>
    <x v="2"/>
    <x v="19"/>
    <x v="3"/>
    <x v="13"/>
    <x v="8"/>
    <x v="48"/>
  </r>
  <r>
    <x v="81"/>
    <x v="43"/>
    <x v="61"/>
    <x v="0"/>
    <x v="0"/>
    <x v="1"/>
    <x v="41"/>
    <x v="4"/>
    <x v="33"/>
    <x v="3"/>
    <x v="47"/>
  </r>
  <r>
    <x v="38"/>
    <x v="26"/>
    <x v="68"/>
    <x v="4"/>
    <x v="4"/>
    <x v="2"/>
    <x v="16"/>
    <x v="3"/>
    <x v="50"/>
    <x v="1"/>
    <x v="46"/>
  </r>
  <r>
    <x v="95"/>
    <x v="51"/>
    <x v="80"/>
    <x v="6"/>
    <x v="6"/>
    <x v="2"/>
    <x v="36"/>
    <x v="4"/>
    <x v="28"/>
    <x v="4"/>
    <x v="45"/>
  </r>
  <r>
    <x v="5"/>
    <x v="68"/>
    <x v="28"/>
    <x v="0"/>
    <x v="0"/>
    <x v="1"/>
    <x v="44"/>
    <x v="4"/>
    <x v="30"/>
    <x v="3"/>
    <x v="44"/>
  </r>
  <r>
    <x v="48"/>
    <x v="4"/>
    <x v="7"/>
    <x v="5"/>
    <x v="5"/>
    <x v="2"/>
    <x v="44"/>
    <x v="4"/>
    <x v="42"/>
    <x v="2"/>
    <x v="43"/>
  </r>
  <r>
    <x v="71"/>
    <x v="83"/>
    <x v="62"/>
    <x v="4"/>
    <x v="4"/>
    <x v="1"/>
    <x v="34"/>
    <x v="3"/>
    <x v="46"/>
    <x v="1"/>
    <x v="42"/>
  </r>
  <r>
    <x v="62"/>
    <x v="93"/>
    <x v="43"/>
    <x v="5"/>
    <x v="5"/>
    <x v="1"/>
    <x v="58"/>
    <x v="5"/>
    <x v="40"/>
    <x v="2"/>
    <x v="41"/>
  </r>
  <r>
    <x v="0"/>
    <x v="104"/>
    <x v="59"/>
    <x v="1"/>
    <x v="1"/>
    <x v="1"/>
    <x v="40"/>
    <x v="4"/>
    <x v="27"/>
    <x v="4"/>
    <x v="40"/>
  </r>
  <r>
    <x v="7"/>
    <x v="102"/>
    <x v="37"/>
    <x v="8"/>
    <x v="9"/>
    <x v="2"/>
    <x v="18"/>
    <x v="3"/>
    <x v="24"/>
    <x v="5"/>
    <x v="39"/>
  </r>
  <r>
    <x v="9"/>
    <x v="5"/>
    <x v="77"/>
    <x v="1"/>
    <x v="1"/>
    <x v="0"/>
    <x v="54"/>
    <x v="4"/>
    <x v="26"/>
    <x v="4"/>
    <x v="38"/>
  </r>
  <r>
    <x v="11"/>
    <x v="9"/>
    <x v="39"/>
    <x v="3"/>
    <x v="3"/>
    <x v="2"/>
    <x v="68"/>
    <x v="5"/>
    <x v="59"/>
    <x v="0"/>
    <x v="37"/>
  </r>
  <r>
    <x v="91"/>
    <x v="76"/>
    <x v="76"/>
    <x v="2"/>
    <x v="2"/>
    <x v="1"/>
    <x v="37"/>
    <x v="4"/>
    <x v="17"/>
    <x v="6"/>
    <x v="36"/>
  </r>
  <r>
    <x v="13"/>
    <x v="41"/>
    <x v="50"/>
    <x v="6"/>
    <x v="6"/>
    <x v="1"/>
    <x v="55"/>
    <x v="5"/>
    <x v="23"/>
    <x v="4"/>
    <x v="35"/>
  </r>
  <r>
    <x v="72"/>
    <x v="59"/>
    <x v="3"/>
    <x v="9"/>
    <x v="7"/>
    <x v="1"/>
    <x v="69"/>
    <x v="5"/>
    <x v="15"/>
    <x v="7"/>
    <x v="34"/>
  </r>
  <r>
    <x v="73"/>
    <x v="103"/>
    <x v="34"/>
    <x v="1"/>
    <x v="1"/>
    <x v="1"/>
    <x v="79"/>
    <x v="6"/>
    <x v="22"/>
    <x v="4"/>
    <x v="33"/>
  </r>
  <r>
    <x v="33"/>
    <x v="37"/>
    <x v="53"/>
    <x v="4"/>
    <x v="4"/>
    <x v="2"/>
    <x v="33"/>
    <x v="3"/>
    <x v="38"/>
    <x v="1"/>
    <x v="32"/>
  </r>
  <r>
    <x v="44"/>
    <x v="64"/>
    <x v="9"/>
    <x v="9"/>
    <x v="7"/>
    <x v="1"/>
    <x v="26"/>
    <x v="3"/>
    <x v="14"/>
    <x v="7"/>
    <x v="31"/>
  </r>
  <r>
    <x v="87"/>
    <x v="58"/>
    <x v="1"/>
    <x v="9"/>
    <x v="7"/>
    <x v="2"/>
    <x v="21"/>
    <x v="3"/>
    <x v="14"/>
    <x v="7"/>
    <x v="31"/>
  </r>
  <r>
    <x v="54"/>
    <x v="21"/>
    <x v="57"/>
    <x v="3"/>
    <x v="3"/>
    <x v="1"/>
    <x v="81"/>
    <x v="6"/>
    <x v="52"/>
    <x v="0"/>
    <x v="30"/>
  </r>
  <r>
    <x v="4"/>
    <x v="100"/>
    <x v="71"/>
    <x v="3"/>
    <x v="3"/>
    <x v="1"/>
    <x v="43"/>
    <x v="4"/>
    <x v="49"/>
    <x v="0"/>
    <x v="29"/>
  </r>
  <r>
    <x v="69"/>
    <x v="65"/>
    <x v="19"/>
    <x v="7"/>
    <x v="8"/>
    <x v="1"/>
    <x v="39"/>
    <x v="4"/>
    <x v="32"/>
    <x v="2"/>
    <x v="28"/>
  </r>
  <r>
    <x v="6"/>
    <x v="54"/>
    <x v="39"/>
    <x v="3"/>
    <x v="3"/>
    <x v="1"/>
    <x v="17"/>
    <x v="3"/>
    <x v="45"/>
    <x v="0"/>
    <x v="27"/>
  </r>
  <r>
    <x v="42"/>
    <x v="24"/>
    <x v="64"/>
    <x v="3"/>
    <x v="3"/>
    <x v="2"/>
    <x v="42"/>
    <x v="4"/>
    <x v="43"/>
    <x v="0"/>
    <x v="26"/>
  </r>
  <r>
    <x v="85"/>
    <x v="22"/>
    <x v="56"/>
    <x v="4"/>
    <x v="4"/>
    <x v="1"/>
    <x v="28"/>
    <x v="3"/>
    <x v="29"/>
    <x v="1"/>
    <x v="25"/>
  </r>
  <r>
    <x v="51"/>
    <x v="94"/>
    <x v="32"/>
    <x v="1"/>
    <x v="1"/>
    <x v="1"/>
    <x v="42"/>
    <x v="4"/>
    <x v="18"/>
    <x v="4"/>
    <x v="24"/>
  </r>
  <r>
    <x v="86"/>
    <x v="23"/>
    <x v="17"/>
    <x v="0"/>
    <x v="0"/>
    <x v="2"/>
    <x v="46"/>
    <x v="4"/>
    <x v="19"/>
    <x v="3"/>
    <x v="23"/>
  </r>
  <r>
    <x v="103"/>
    <x v="31"/>
    <x v="40"/>
    <x v="6"/>
    <x v="6"/>
    <x v="1"/>
    <x v="25"/>
    <x v="3"/>
    <x v="16"/>
    <x v="4"/>
    <x v="22"/>
  </r>
  <r>
    <x v="45"/>
    <x v="35"/>
    <x v="52"/>
    <x v="10"/>
    <x v="10"/>
    <x v="2"/>
    <x v="22"/>
    <x v="3"/>
    <x v="8"/>
    <x v="8"/>
    <x v="21"/>
  </r>
  <r>
    <x v="105"/>
    <x v="27"/>
    <x v="12"/>
    <x v="4"/>
    <x v="4"/>
    <x v="1"/>
    <x v="80"/>
    <x v="6"/>
    <x v="23"/>
    <x v="1"/>
    <x v="20"/>
  </r>
  <r>
    <x v="88"/>
    <x v="11"/>
    <x v="71"/>
    <x v="8"/>
    <x v="9"/>
    <x v="1"/>
    <x v="23"/>
    <x v="3"/>
    <x v="13"/>
    <x v="5"/>
    <x v="19"/>
  </r>
  <r>
    <x v="68"/>
    <x v="12"/>
    <x v="46"/>
    <x v="0"/>
    <x v="0"/>
    <x v="1"/>
    <x v="43"/>
    <x v="4"/>
    <x v="14"/>
    <x v="3"/>
    <x v="18"/>
  </r>
  <r>
    <x v="70"/>
    <x v="80"/>
    <x v="26"/>
    <x v="3"/>
    <x v="3"/>
    <x v="2"/>
    <x v="13"/>
    <x v="2"/>
    <x v="28"/>
    <x v="0"/>
    <x v="17"/>
  </r>
  <r>
    <x v="100"/>
    <x v="30"/>
    <x v="10"/>
    <x v="4"/>
    <x v="4"/>
    <x v="1"/>
    <x v="77"/>
    <x v="6"/>
    <x v="20"/>
    <x v="1"/>
    <x v="16"/>
  </r>
  <r>
    <x v="10"/>
    <x v="48"/>
    <x v="51"/>
    <x v="9"/>
    <x v="7"/>
    <x v="1"/>
    <x v="76"/>
    <x v="6"/>
    <x v="10"/>
    <x v="7"/>
    <x v="15"/>
  </r>
  <r>
    <x v="16"/>
    <x v="53"/>
    <x v="7"/>
    <x v="8"/>
    <x v="9"/>
    <x v="1"/>
    <x v="9"/>
    <x v="2"/>
    <x v="12"/>
    <x v="5"/>
    <x v="14"/>
  </r>
  <r>
    <x v="96"/>
    <x v="19"/>
    <x v="33"/>
    <x v="3"/>
    <x v="3"/>
    <x v="2"/>
    <x v="14"/>
    <x v="2"/>
    <x v="21"/>
    <x v="0"/>
    <x v="13"/>
  </r>
  <r>
    <x v="98"/>
    <x v="85"/>
    <x v="54"/>
    <x v="6"/>
    <x v="6"/>
    <x v="1"/>
    <x v="75"/>
    <x v="6"/>
    <x v="10"/>
    <x v="4"/>
    <x v="12"/>
  </r>
  <r>
    <x v="2"/>
    <x v="98"/>
    <x v="69"/>
    <x v="9"/>
    <x v="7"/>
    <x v="2"/>
    <x v="74"/>
    <x v="6"/>
    <x v="6"/>
    <x v="7"/>
    <x v="11"/>
  </r>
  <r>
    <x v="75"/>
    <x v="7"/>
    <x v="5"/>
    <x v="9"/>
    <x v="7"/>
    <x v="1"/>
    <x v="53"/>
    <x v="4"/>
    <x v="5"/>
    <x v="7"/>
    <x v="10"/>
  </r>
  <r>
    <x v="46"/>
    <x v="97"/>
    <x v="45"/>
    <x v="4"/>
    <x v="4"/>
    <x v="1"/>
    <x v="40"/>
    <x v="4"/>
    <x v="11"/>
    <x v="1"/>
    <x v="9"/>
  </r>
  <r>
    <x v="84"/>
    <x v="101"/>
    <x v="58"/>
    <x v="5"/>
    <x v="5"/>
    <x v="1"/>
    <x v="13"/>
    <x v="2"/>
    <x v="7"/>
    <x v="2"/>
    <x v="8"/>
  </r>
  <r>
    <x v="53"/>
    <x v="8"/>
    <x v="42"/>
    <x v="3"/>
    <x v="3"/>
    <x v="2"/>
    <x v="10"/>
    <x v="2"/>
    <x v="9"/>
    <x v="0"/>
    <x v="7"/>
  </r>
  <r>
    <x v="32"/>
    <x v="91"/>
    <x v="83"/>
    <x v="5"/>
    <x v="5"/>
    <x v="0"/>
    <x v="52"/>
    <x v="4"/>
    <x v="4"/>
    <x v="2"/>
    <x v="6"/>
  </r>
  <r>
    <x v="93"/>
    <x v="89"/>
    <x v="65"/>
    <x v="5"/>
    <x v="5"/>
    <x v="2"/>
    <x v="12"/>
    <x v="2"/>
    <x v="3"/>
    <x v="2"/>
    <x v="5"/>
  </r>
  <r>
    <x v="63"/>
    <x v="95"/>
    <x v="55"/>
    <x v="3"/>
    <x v="3"/>
    <x v="1"/>
    <x v="78"/>
    <x v="6"/>
    <x v="6"/>
    <x v="0"/>
    <x v="4"/>
  </r>
  <r>
    <x v="21"/>
    <x v="69"/>
    <x v="40"/>
    <x v="7"/>
    <x v="8"/>
    <x v="2"/>
    <x v="50"/>
    <x v="4"/>
    <x v="2"/>
    <x v="2"/>
    <x v="3"/>
  </r>
  <r>
    <x v="101"/>
    <x v="15"/>
    <x v="58"/>
    <x v="8"/>
    <x v="9"/>
    <x v="2"/>
    <x v="15"/>
    <x v="2"/>
    <x v="0"/>
    <x v="5"/>
    <x v="2"/>
  </r>
  <r>
    <x v="65"/>
    <x v="84"/>
    <x v="49"/>
    <x v="7"/>
    <x v="8"/>
    <x v="2"/>
    <x v="35"/>
    <x v="4"/>
    <x v="1"/>
    <x v="2"/>
    <x v="1"/>
  </r>
  <r>
    <x v="15"/>
    <x v="3"/>
    <x v="46"/>
    <x v="3"/>
    <x v="3"/>
    <x v="1"/>
    <x v="11"/>
    <x v="2"/>
    <x v="3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5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6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7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8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9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0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5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6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7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8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9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0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5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6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7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8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9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0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5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6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7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8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9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40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35:F36" firstHeaderRow="1" firstDataRow="1" firstDataCol="0"/>
  <pivotFields count="11"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</pivotFields>
</pivotTableDefinition>
</file>

<file path=xl/pivotTables/pivotTable2.xml><?xml version="1.0" encoding="utf-8"?>
<pivotTableDefinition xmlns="http://schemas.openxmlformats.org/spreadsheetml/2006/main" name="PivotTable9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10:F11" firstHeaderRow="1" firstDataRow="1" firstDataCol="0"/>
  <pivotFields count="11"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</pivotFields>
</pivotTableDefinition>
</file>

<file path=xl/pivotTables/pivotTable3.xml><?xml version="1.0" encoding="utf-8"?>
<pivotTableDefinition xmlns="http://schemas.openxmlformats.org/spreadsheetml/2006/main" name="PivotTable12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18:G23" firstHeaderRow="1" firstDataRow="1" firstDataCol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dataFields count="1">
    <dataField fld="10" subtotal="sum"/>
  </dataFields>
</pivotTableDefinition>
</file>

<file path=xl/pivotTables/pivotTable4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49:G53" firstHeaderRow="1" firstDataRow="1" firstDataCol="1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dataField="1" showAll="0" compact="0"/>
    <pivotField showAll="0" compact="0"/>
    <pivotField showAll="0" compact="0"/>
  </pivotFields>
  <rowFields count="1">
    <field x="4"/>
  </rowFields>
  <dataFields count="1">
    <dataField fld="8" subtotal="sum"/>
  </dataFields>
</pivotTableDefinition>
</file>

<file path=xl/pivotTables/pivotTable5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10:G11" firstHeaderRow="1" firstDataRow="1" firstDataCol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dataFields count="1">
    <dataField fld="10" subtotal="sum"/>
  </dataFields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81:H85" firstHeaderRow="1" firstDataRow="2" firstDataCol="1" rowPageCount="2" colPageCount="1"/>
  <pivotFields count="11">
    <pivotField showAll="0" compact="0"/>
    <pivotField dataField="1" showAll="0" compact="0"/>
    <pivotField showAll="0" compact="0"/>
    <pivotField showAll="0" compact="0"/>
    <pivotField axis="axisPage" showAll="0" compact="0">
      <items count="12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t="default"/>
      </items>
    </pivotField>
    <pivotField axis="axisRow" showAll="0" compact="0">
      <items count="4">
        <item x="0"/>
        <item x="1"/>
        <item x="2"/>
        <item t="default"/>
      </items>
    </pivotField>
    <pivotField showAll="0" compact="0"/>
    <pivotField showAll="0" compact="0"/>
    <pivotField axis="axisPage" showAll="0" compact="0">
      <items count="8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 compact="0"/>
    <pivotField dataField="1" showAll="0" compact="0"/>
  </pivotFields>
  <rowFields count="1">
    <field x="5"/>
  </rowFields>
  <colFields count="1">
    <field x="-2"/>
  </colFields>
  <pageFields count="2">
    <pageField fld="4" hier="-1"/>
    <pageField fld="8" hier="-1"/>
  </pageFields>
  <dataFields count="2">
    <dataField fld="1" subtotal="count"/>
    <dataField fld="10" subtotal="sum"/>
  </dataFields>
</pivotTableDefinition>
</file>

<file path=xl/pivotTables/pivotTable7.xml><?xml version="1.0" encoding="utf-8"?>
<pivotTableDefinition xmlns="http://schemas.openxmlformats.org/spreadsheetml/2006/main" name="PivotTable10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31:G34" firstHeaderRow="1" firstDataRow="1" firstDataCol="1" rowPageCount="1" colPageCount="1"/>
  <pivotFields count="11">
    <pivotField showAll="0" compact="0"/>
    <pivotField axis="axisRow" showAll="0" compact="0">
      <items count="1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t="default"/>
      </items>
    </pivotField>
    <pivotField axis="axisPage" showAll="0" compact="0">
      <items count="8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1"/>
  </rowFields>
  <pageFields count="1">
    <pageField fld="2" hier="-1"/>
  </pageFields>
  <dataFields count="1">
    <dataField fld="10" subtotal="sum"/>
  </dataFields>
</pivotTableDefinition>
</file>

<file path=xl/pivotTables/pivotTable8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68:H72" firstHeaderRow="1" firstDataRow="2" firstDataCol="1" rowPageCount="1" colPageCount="1"/>
  <pivotFields count="11">
    <pivotField showAll="0" compact="0"/>
    <pivotField dataField="1" showAll="0" compact="0"/>
    <pivotField showAll="0" compact="0"/>
    <pivotField showAll="0" compact="0"/>
    <pivotField axis="axisPage" showAll="0" compact="0">
      <items count="12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t="default"/>
      </items>
    </pivotField>
    <pivotField axis="axisRow" showAll="0" compact="0">
      <items count="4">
        <item x="0"/>
        <item x="1"/>
        <item x="2"/>
        <item t="default"/>
      </items>
    </pivotField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5"/>
  </rowFields>
  <colFields count="1">
    <field x="-2"/>
  </colFields>
  <pageFields count="1">
    <pageField fld="4" hier="-1"/>
  </pageFields>
  <dataFields count="2">
    <dataField fld="1" subtotal="count"/>
    <dataField fld="10" subtotal="sum"/>
  </dataFields>
</pivotTableDefinition>
</file>

<file path=xl/pivotTables/pivotTable9.xml><?xml version="1.0" encoding="utf-8"?>
<pivotTableDefinition xmlns="http://schemas.openxmlformats.org/spreadsheetml/2006/main" name="PivotTable13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59:G60" firstHeaderRow="1" firstDataRow="1" firstDataCol="1" rowPageCount="1" colPageCount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axis="axisPage" showAll="0" compact="0">
      <items count="4">
        <item h="1" x="0"/>
        <item x="1"/>
        <item h="1" x="2"/>
        <item t="default"/>
      </items>
    </pivotField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pageFields count="1">
    <pageField fld="5" hier="-1"/>
  </pageFields>
  <dataFields count="1">
    <dataField fld="10" subtotal="sum"/>
  </dataFields>
</pivotTableDefinition>
</file>

<file path=xl/pivotTables/pivotTable10.xml><?xml version="1.0" encoding="utf-8"?>
<pivotTableDefinition xmlns="http://schemas.openxmlformats.org/spreadsheetml/2006/main" name="PivotTable14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41:G42" firstHeaderRow="1" firstDataRow="1" firstDataCol="1" rowPageCount="1" colPageCount="1"/>
  <pivotFields count="11">
    <pivotField showAll="0" compact="0"/>
    <pivotField axis="axisRow" showAll="0" compact="0">
      <items count="1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t="default"/>
      </items>
    </pivotField>
    <pivotField showAll="0" compact="0"/>
    <pivotField showAll="0" compact="0"/>
    <pivotField axis="axisPage" showAll="0" compact="0">
      <items count="12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 compact="0"/>
    <pivotField showAll="0" compact="0"/>
    <pivotField showAll="0" compact="0"/>
    <pivotField dataField="1" showAll="0" compact="0"/>
    <pivotField showAll="0" compact="0"/>
    <pivotField showAll="0" compact="0"/>
  </pivotFields>
  <rowFields count="1">
    <field x="1"/>
  </rowFields>
  <pageFields count="1">
    <pageField fld="4" hier="-1"/>
  </pageFields>
  <dataFields count="1">
    <dataField fld="8" subtotal="sum"/>
  </dataFields>
</pivotTableDefinition>
</file>

<file path=xl/pivotTables/pivotTable11.xml><?xml version="1.0" encoding="utf-8"?>
<pivotTableDefinition xmlns="http://schemas.openxmlformats.org/spreadsheetml/2006/main" name="PivotTable16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28:G32" firstHeaderRow="1" firstDataRow="1" firstDataCol="1" rowPageCount="1" colPageCount="1"/>
  <pivotFields count="11">
    <pivotField showAll="0" compact="0"/>
    <pivotField axis="axisRow" showAll="0" compact="0">
      <items count="1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t="default"/>
      </items>
    </pivotField>
    <pivotField axis="axisPage" showAll="0" compact="0">
      <items count="8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1"/>
  </rowFields>
  <pageFields count="1">
    <pageField fld="2" hier="-1"/>
  </pageFields>
  <dataFields count="1">
    <dataField fld="10" subtotal="sum"/>
  </dataFields>
</pivotTableDefinition>
</file>

<file path=xl/pivotTables/pivotTable12.xml><?xml version="1.0" encoding="utf-8"?>
<pivotTableDefinition xmlns="http://schemas.openxmlformats.org/spreadsheetml/2006/main" name="PivotTable15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10:G12" firstHeaderRow="1" firstDataRow="1" firstDataCol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dataFields count="1">
    <dataField fld="10" subtotal="sum"/>
  </dataFields>
</pivotTableDefinition>
</file>

<file path=xl/pivotTables/pivotTable13.xml><?xml version="1.0" encoding="utf-8"?>
<pivotTableDefinition xmlns="http://schemas.openxmlformats.org/spreadsheetml/2006/main" name="PivotTable18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75:H89" firstHeaderRow="1" firstDataRow="1" firstDataCol="2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2">
    <field x="2"/>
    <field x="4"/>
  </rowFields>
  <dataFields count="1">
    <dataField fld="10" subtotal="sum"/>
  </dataFields>
</pivotTableDefinition>
</file>

<file path=xl/pivotTables/pivotTable14.xml><?xml version="1.0" encoding="utf-8"?>
<pivotTableDefinition xmlns="http://schemas.openxmlformats.org/spreadsheetml/2006/main" name="PivotTable17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48:H64" firstHeaderRow="1" firstDataRow="1" firstDataCol="2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 compact="0">
      <items count="4">
        <item x="0"/>
        <item x="1"/>
        <item x="2"/>
        <item t="default"/>
      </items>
    </pivotField>
    <pivotField showAll="0" compact="0"/>
    <pivotField showAll="0" compact="0"/>
    <pivotField dataField="1" showAll="0" compact="0"/>
    <pivotField showAll="0" compact="0"/>
    <pivotField showAll="0" compact="0"/>
  </pivotFields>
  <rowFields count="2">
    <field x="5"/>
    <field x="4"/>
  </rowFields>
  <dataFields count="1">
    <dataField fld="8" subtotal="sum"/>
  </dataFields>
</pivotTableDefinition>
</file>

<file path=xl/pivotTables/pivotTable15.xml><?xml version="1.0" encoding="utf-8"?>
<pivotTableDefinition xmlns="http://schemas.openxmlformats.org/spreadsheetml/2006/main" name="DataPilot2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F48:H60" firstHeaderRow="1" firstDataRow="1" firstDataCol="2"/>
  <pivotFields count="11">
    <pivotField showAll="0" compact="0" outline="0"/>
    <pivotField showAll="0" compact="0" outline="0"/>
    <pivotField showAll="0" compact="0" outline="0"/>
    <pivotField showAll="0" compact="0" outline="0"/>
    <pivotField axis="axisRow" showAll="0" defaultSubtotal="0" compact="0" outline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showAll="0" defaultSubtotal="0" compact="0" outline="0">
      <items count="3">
        <item x="0"/>
        <item x="1"/>
        <item x="2"/>
      </items>
    </pivotField>
    <pivotField showAll="0" compact="0" outline="0"/>
    <pivotField showAll="0" compact="0" outline="0"/>
    <pivotField dataField="1" showAll="0" compact="0" outline="0"/>
    <pivotField showAll="0" compact="0" outline="0"/>
    <pivotField showAll="0" compact="0" outline="0"/>
  </pivotFields>
  <rowFields count="2">
    <field x="5"/>
    <field x="4"/>
  </rowFields>
  <dataFields count="1">
    <dataField fld="8" subtotal="sum"/>
  </dataFields>
</pivotTableDefinition>
</file>

<file path=xl/pivotTables/pivotTable16.xml><?xml version="1.0" encoding="utf-8"?>
<pivotTableDefinition xmlns="http://schemas.openxmlformats.org/spreadsheetml/2006/main" name="DataPilot3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F76:H84" firstHeaderRow="1" firstDataRow="1" firstDataCol="2"/>
  <pivotFields count="11">
    <pivotField showAll="0" compact="0" outline="0"/>
    <pivotField showAll="0" compact="0" outline="0"/>
    <pivotField axis="axisRow" showAll="0" defaultSubtotal="0" compact="0" outline="0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</items>
    </pivotField>
    <pivotField showAll="0" compact="0" outline="0"/>
    <pivotField axis="axisRow" showAll="0" defaultSubtotal="0" compact="0" outline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showAll="0" compact="0" outline="0"/>
    <pivotField showAll="0" compact="0" outline="0"/>
    <pivotField showAll="0" compact="0" outline="0"/>
    <pivotField showAll="0" compact="0" outline="0"/>
    <pivotField showAll="0" compact="0" outline="0"/>
    <pivotField dataField="1" showAll="0" compact="0" outline="0"/>
  </pivotFields>
  <rowFields count="2">
    <field x="2"/>
    <field x="4"/>
  </rowFields>
  <dataFields count="1">
    <dataField fld="10" subtotal="sum"/>
  </dataFields>
</pivotTableDefinition>
</file>

<file path=xl/pivotTables/pivotTable17.xml><?xml version="1.0" encoding="utf-8"?>
<pivotTableDefinition xmlns="http://schemas.openxmlformats.org/spreadsheetml/2006/main" name="DataPilot4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10:G11" firstHeaderRow="1" firstDataRow="1" firstDataCol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dataFields count="1">
    <dataField fld="10" subtotal="sum"/>
  </dataFields>
</pivotTableDefinition>
</file>

<file path=xl/pivotTables/pivotTable18.xml><?xml version="1.0" encoding="utf-8"?>
<pivotTableDefinition xmlns="http://schemas.openxmlformats.org/spreadsheetml/2006/main" name="DataPilot5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28:G32" firstHeaderRow="1" firstDataRow="1" firstDataCol="1" rowPageCount="1" colPageCount="1"/>
  <pivotFields count="11">
    <pivotField showAll="0" compact="0"/>
    <pivotField axis="axisRow" showAll="0" compact="0">
      <items count="1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t="default"/>
      </items>
    </pivotField>
    <pivotField axis="axisPage" showAll="0" compact="0">
      <items count="8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1"/>
  </rowFields>
  <pageFields count="1">
    <pageField fld="2" hier="-1"/>
  </pageFields>
  <dataFields count="1">
    <dataField fld="10" subtotal="sum"/>
  </dataFields>
</pivotTableDefinition>
</file>

<file path=xl/pivotTables/pivotTable19.xml><?xml version="1.0" encoding="utf-8"?>
<pivotTableDefinition xmlns="http://schemas.openxmlformats.org/spreadsheetml/2006/main" name="DataPilot6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11:G15" firstHeaderRow="1" firstDataRow="1" firstDataCol="1" rowPageCount="1" colPageCount="1"/>
  <pivotFields count="11">
    <pivotField showAll="0" compact="0"/>
    <pivotField axis="axisRow" showAll="0" compact="0">
      <items count="1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t="default"/>
      </items>
    </pivotField>
    <pivotField axis="axisPage" showAll="0" compact="0">
      <items count="8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1"/>
  </rowFields>
  <pageFields count="1">
    <pageField fld="2" hier="-1"/>
  </pageFields>
  <dataFields count="1">
    <dataField fld="10" subtotal="sum"/>
  </dataFields>
</pivotTableDefinition>
</file>

<file path=xl/pivotTables/pivotTable20.xml><?xml version="1.0" encoding="utf-8"?>
<pivotTableDefinition xmlns="http://schemas.openxmlformats.org/spreadsheetml/2006/main" name="DataPilot7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50:H64" firstHeaderRow="1" firstDataRow="1" firstDataCol="2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2">
    <field x="2"/>
    <field x="4"/>
  </rowFields>
  <dataFields count="1">
    <dataField fld="10" subtotal="sum"/>
  </dataFields>
</pivotTableDefinition>
</file>

<file path=xl/pivotTables/pivotTable21.xml><?xml version="1.0" encoding="utf-8"?>
<pivotTableDefinition xmlns="http://schemas.openxmlformats.org/spreadsheetml/2006/main" name="PivotTable19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26:H42" firstHeaderRow="1" firstDataRow="1" firstDataCol="2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 compact="0">
      <items count="4">
        <item x="0"/>
        <item x="1"/>
        <item x="2"/>
        <item t="default"/>
      </items>
    </pivotField>
    <pivotField showAll="0" compact="0"/>
    <pivotField showAll="0" compact="0"/>
    <pivotField dataField="1" showAll="0" compact="0"/>
    <pivotField showAll="0" compact="0"/>
    <pivotField showAll="0" compact="0"/>
  </pivotFields>
  <rowFields count="2">
    <field x="5"/>
    <field x="4"/>
  </rowFields>
  <dataFields count="1">
    <dataField fld="8" subtotal="sum"/>
  </dataFields>
</pivotTableDefinition>
</file>

<file path=xl/pivotTables/pivotTable22.xml><?xml version="1.0" encoding="utf-8"?>
<pivotTableDefinition xmlns="http://schemas.openxmlformats.org/spreadsheetml/2006/main" name="PivotTable20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26:H42" firstHeaderRow="1" firstDataRow="1" firstDataCol="2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 compact="0">
      <items count="4">
        <item x="0"/>
        <item x="1"/>
        <item x="2"/>
        <item t="default"/>
      </items>
    </pivotField>
    <pivotField showAll="0" compact="0"/>
    <pivotField showAll="0" compact="0"/>
    <pivotField dataField="1" showAll="0" compact="0"/>
    <pivotField showAll="0" compact="0"/>
    <pivotField showAll="0" compact="0"/>
  </pivotFields>
  <rowFields count="2">
    <field x="5"/>
    <field x="4"/>
  </rowFields>
  <dataFields count="1">
    <dataField fld="8" subtotal="sum"/>
  </dataFields>
</pivotTableDefinition>
</file>

<file path=xl/pivotTables/pivotTable23.xml><?xml version="1.0" encoding="utf-8"?>
<pivotTableDefinition xmlns="http://schemas.openxmlformats.org/spreadsheetml/2006/main" name="PivotTable22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51:H65" firstHeaderRow="1" firstDataRow="1" firstDataCol="2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2">
    <field x="2"/>
    <field x="4"/>
  </rowFields>
  <dataFields count="1">
    <dataField fld="10" subtotal="sum"/>
  </dataFields>
</pivotTableDefinition>
</file>

<file path=xl/pivotTables/pivotTable24.xml><?xml version="1.0" encoding="utf-8"?>
<pivotTableDefinition xmlns="http://schemas.openxmlformats.org/spreadsheetml/2006/main" name="PivotTable2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11:G15" firstHeaderRow="1" firstDataRow="1" firstDataCol="1" rowPageCount="1" colPageCount="1"/>
  <pivotFields count="11">
    <pivotField showAll="0" compact="0"/>
    <pivotField axis="axisRow" showAll="0" compact="0">
      <items count="1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t="default"/>
      </items>
    </pivotField>
    <pivotField axis="axisPage" showAll="0" compact="0">
      <items count="8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1"/>
  </rowFields>
  <pageFields count="1">
    <pageField fld="2" hier="-1"/>
  </pageFields>
  <dataFields count="1">
    <dataField fld="10" subtotal="sum"/>
  </dataFields>
</pivotTableDefinition>
</file>

<file path=xl/pivotTables/pivotTable25.xml><?xml version="1.0" encoding="utf-8"?>
<pivotTableDefinition xmlns="http://schemas.openxmlformats.org/spreadsheetml/2006/main" name="PivotTable27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44:G132" firstHeaderRow="1" firstDataRow="1" firstDataCol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dataFields count="1">
    <dataField fld="10" subtotal="sum"/>
  </dataFields>
</pivotTableDefinition>
</file>

<file path=xl/pivotTables/pivotTable26.xml><?xml version="1.0" encoding="utf-8"?>
<pivotTableDefinition xmlns="http://schemas.openxmlformats.org/spreadsheetml/2006/main" name="PivotTable26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9:G20" firstHeaderRow="1" firstDataRow="1" firstDataCol="1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dataField="1" showAll="0" compact="0"/>
    <pivotField showAll="0" compact="0"/>
    <pivotField showAll="0" compact="0"/>
  </pivotFields>
  <rowFields count="1">
    <field x="4"/>
  </rowFields>
  <dataFields count="1">
    <dataField fld="8" subtotal="sum"/>
  </dataFields>
</pivotTableDefinition>
</file>

<file path=xl/pivotTables/pivotTable27.xml><?xml version="1.0" encoding="utf-8"?>
<pivotTableDefinition xmlns="http://schemas.openxmlformats.org/spreadsheetml/2006/main" name="PivotTable25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26:G38" firstHeaderRow="1" firstDataRow="1" firstDataCol="1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dataField="1" showAll="0" compact="0"/>
    <pivotField showAll="0" compact="0"/>
    <pivotField showAll="0" compact="0"/>
  </pivotFields>
  <rowFields count="1">
    <field x="4"/>
  </rowFields>
  <dataFields count="1">
    <dataField fld="8" subtotal="sum"/>
  </dataFields>
</pivotTableDefinition>
</file>

<file path=xl/pivotTables/pivotTable28.xml><?xml version="1.0" encoding="utf-8"?>
<pivotTableDefinition xmlns="http://schemas.openxmlformats.org/spreadsheetml/2006/main" name="DataPilot8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9:G14" firstHeaderRow="1" firstDataRow="1" firstDataCol="1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dataField="1" showAll="0" compact="0"/>
    <pivotField showAll="0" compact="0"/>
    <pivotField showAll="0" compact="0"/>
  </pivotFields>
  <rowFields count="1">
    <field x="4"/>
  </rowFields>
  <dataFields count="1">
    <dataField fld="8" subtotal="sum"/>
  </dataFields>
</pivotTableDefinition>
</file>

<file path=xl/pivotTables/pivotTable29.xml><?xml version="1.0" encoding="utf-8"?>
<pivotTableDefinition xmlns="http://schemas.openxmlformats.org/spreadsheetml/2006/main" name="DataPilot9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42:G130" firstHeaderRow="1" firstDataRow="1" firstDataCol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dataFields count="1">
    <dataField fld="10" subtotal="sum"/>
  </dataFields>
</pivotTableDefinition>
</file>

<file path=xl/pivotTables/pivotTable30.xml><?xml version="1.0" encoding="utf-8"?>
<pivotTableDefinition xmlns="http://schemas.openxmlformats.org/spreadsheetml/2006/main" name="PivotTable24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29:G41" firstHeaderRow="1" firstDataRow="1" firstDataCol="1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dataField="1" showAll="0" compact="0"/>
    <pivotField showAll="0" compact="0"/>
    <pivotField showAll="0" compact="0"/>
  </pivotFields>
  <rowFields count="1">
    <field x="4"/>
  </rowFields>
  <dataFields count="1">
    <dataField fld="8" subtotal="sum"/>
  </dataFields>
</pivotTableDefinition>
</file>

<file path=xl/pivotTables/pivotTable31.xml><?xml version="1.0" encoding="utf-8"?>
<pivotTableDefinition xmlns="http://schemas.openxmlformats.org/spreadsheetml/2006/main" name="DataPilot10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26:G114" firstHeaderRow="1" firstDataRow="1" firstDataCol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dataFields count="1">
    <dataField fld="10" subtotal="sum"/>
  </dataFields>
</pivotTableDefinition>
</file>

<file path=xl/pivotTables/pivotTable32.xml><?xml version="1.0" encoding="utf-8"?>
<pivotTableDefinition xmlns="http://schemas.openxmlformats.org/spreadsheetml/2006/main" name="DataPilot1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9:G20" firstHeaderRow="1" firstDataRow="1" firstDataCol="1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dataField="1" showAll="0" compact="0"/>
    <pivotField showAll="0" compact="0"/>
    <pivotField showAll="0" compact="0"/>
  </pivotFields>
  <rowFields count="1">
    <field x="4"/>
  </rowFields>
  <dataFields count="1">
    <dataField fld="8" subtotal="sum"/>
  </dataFields>
</pivotTableDefinition>
</file>

<file path=xl/pivotTables/pivotTable33.xml><?xml version="1.0" encoding="utf-8"?>
<pivotTableDefinition xmlns="http://schemas.openxmlformats.org/spreadsheetml/2006/main" name="DataPilot12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28:I117" firstHeaderRow="1" firstDataRow="2" firstDataCol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axis="axisCol" showAll="0" compact="0">
      <items count="4">
        <item x="0"/>
        <item x="1"/>
        <item x="2"/>
        <item t="default"/>
      </items>
    </pivotField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colFields count="2">
    <field x="5"/>
    <field x="-2"/>
  </colFields>
  <dataFields count="1">
    <dataField fld="10" subtotal="sum"/>
  </dataFields>
</pivotTableDefinition>
</file>

<file path=xl/pivotTables/pivotTable34.xml><?xml version="1.0" encoding="utf-8"?>
<pivotTableDefinition xmlns="http://schemas.openxmlformats.org/spreadsheetml/2006/main" name="DataPilot13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9:J22" firstHeaderRow="1" firstDataRow="2" firstDataCol="1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 compact="0">
      <items count="4">
        <item x="0"/>
        <item x="1"/>
        <item x="2"/>
        <item t="default"/>
      </items>
    </pivotField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4"/>
  </rowFields>
  <colFields count="2">
    <field x="5"/>
    <field x="-2"/>
  </colFields>
  <dataFields count="1">
    <dataField fld="10" subtotal="sum"/>
  </dataFields>
</pivotTableDefinition>
</file>

<file path=xl/pivotTables/pivotTable35.xml><?xml version="1.0" encoding="utf-8"?>
<pivotTableDefinition xmlns="http://schemas.openxmlformats.org/spreadsheetml/2006/main" name="DataPilot14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26:G114" firstHeaderRow="1" firstDataRow="1" firstDataCol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dataFields count="1">
    <dataField fld="10" subtotal="sum"/>
  </dataFields>
</pivotTableDefinition>
</file>

<file path=xl/pivotTables/pivotTable36.xml><?xml version="1.0" encoding="utf-8"?>
<pivotTableDefinition xmlns="http://schemas.openxmlformats.org/spreadsheetml/2006/main" name="DataPilot15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9:G20" firstHeaderRow="1" firstDataRow="1" firstDataCol="1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dataField="1" showAll="0" compact="0"/>
    <pivotField showAll="0" compact="0"/>
    <pivotField showAll="0" compact="0"/>
  </pivotFields>
  <rowFields count="1">
    <field x="4"/>
  </rowFields>
  <dataFields count="1">
    <dataField fld="8" subtotal="sum"/>
  </dataFields>
</pivotTableDefinition>
</file>

<file path=xl/pivotTables/pivotTable37.xml><?xml version="1.0" encoding="utf-8"?>
<pivotTableDefinition xmlns="http://schemas.openxmlformats.org/spreadsheetml/2006/main" name="DataPilot16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9:G21" firstHeaderRow="1" firstDataRow="1" firstDataCol="1"/>
  <pivotFields count="11">
    <pivotField showAll="0" compact="0"/>
    <pivotField showAll="0" compact="0"/>
    <pivotField showAll="0" compact="0"/>
    <pivotField showAll="0" compact="0"/>
    <pivotField axis="axisRow" showAll="0" compact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4"/>
  </rowFields>
  <dataFields count="1">
    <dataField fld="10" subtotal="sum"/>
  </dataFields>
</pivotTableDefinition>
</file>

<file path=xl/pivotTables/pivotTable38.xml><?xml version="1.0" encoding="utf-8"?>
<pivotTableDefinition xmlns="http://schemas.openxmlformats.org/spreadsheetml/2006/main" name="DataPilot17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F28:G116" firstHeaderRow="1" firstDataRow="1" firstDataCol="1"/>
  <pivotFields count="11">
    <pivotField showAll="0" compact="0"/>
    <pivotField showAll="0" compact="0"/>
    <pivotField axis="axisRow" showAll="0" compact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  <pivotField dataField="1" showAll="0" compact="0"/>
  </pivotFields>
  <rowFields count="1">
    <field x="2"/>
  </rowFields>
  <dataFields count="1">
    <dataField fld="10" subtotal="sum"/>
  </dataFields>
</pivotTableDefinition>
</file>

<file path=xl/pivotTables/pivotTable39.xml><?xml version="1.0" encoding="utf-8"?>
<pivotTableDefinition xmlns="http://schemas.openxmlformats.org/spreadsheetml/2006/main" name="DataPilot18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F15:G16" firstHeaderRow="1" firstDataRow="1" firstDataCol="0" rowPageCount="4" colPageCount="1"/>
  <pivotFields count="11">
    <pivotField axis="axisPage" showAll="0" defaultSubtotal="0" compact="0" outline="0">
      <items count="1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</items>
    </pivotField>
    <pivotField axis="axisPage" showAll="0" defaultSubtotal="0" compact="0" outline="0">
      <items count="1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</items>
    </pivotField>
    <pivotField axis="axisPage" showAll="0" defaultSubtotal="0" compact="0" outline="0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</items>
    </pivotField>
    <pivotField axis="axisPage" showAll="0" defaultSubtotal="0" compact="0" outline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showAll="0" compact="0"/>
  </pivotFields>
  <colFields count="1">
    <field x="-2"/>
  </colFields>
  <pageFields count="4">
    <pageField fld="0" hier="-1"/>
    <pageField fld="1" hier="-1"/>
    <pageField fld="2" hier="-1"/>
    <pageField fld="3" hier="-1"/>
  </pageFields>
</pivotTableDefinition>
</file>

<file path=xl/pivotTables/pivotTable40.xml><?xml version="1.0" encoding="utf-8"?>
<pivotTableDefinition xmlns="http://schemas.openxmlformats.org/spreadsheetml/2006/main" name="DataPilot19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G164:H165" firstHeaderRow="1" firstDataRow="1" firstDataCol="0" rowPageCount="2" colPageCount="1"/>
  <pivotFields count="11">
    <pivotField showAll="0" compact="0"/>
    <pivotField showAll="0" compact="0"/>
    <pivotField showAll="0" compact="0"/>
    <pivotField showAll="0" compact="0"/>
    <pivotField showAll="0" compact="0"/>
    <pivotField axis="axisPage" showAll="0" defaultSubtotal="0" compact="0" outline="0">
      <items count="3">
        <item x="0"/>
        <item x="1"/>
        <item x="2"/>
      </items>
    </pivotField>
    <pivotField axis="axisPage" showAll="0" defaultSubtotal="0" compact="0" outline="0">
      <items count="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showAll="0" compact="0"/>
    <pivotField showAll="0" compact="0"/>
    <pivotField showAll="0" compact="0"/>
    <pivotField showAll="0" compact="0"/>
  </pivotFields>
  <colFields count="1">
    <field x="-2"/>
  </colFields>
  <pageFields count="2">
    <pageField fld="5" hier="-1"/>
    <pageField fld="6" hier="-1"/>
  </pageFields>
</pivotTableDefinition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ivotTable" Target="../pivotTables/pivotTable39.xml"/><Relationship Id="rId3" Type="http://schemas.openxmlformats.org/officeDocument/2006/relationships/pivotTable" Target="../pivotTables/pivotTable40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ivotTable" Target="../pivotTables/pivotTable1.xml"/><Relationship Id="rId3" Type="http://schemas.openxmlformats.org/officeDocument/2006/relationships/pivotTable" Target="../pivotTables/pivotTable2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3" Type="http://schemas.openxmlformats.org/officeDocument/2006/relationships/pivotTable" Target="../pivotTables/pivotTable4.xml"/><Relationship Id="rId4" Type="http://schemas.openxmlformats.org/officeDocument/2006/relationships/pivotTable" Target="../pivotTables/pivotTable5.xml"/><Relationship Id="rId5" Type="http://schemas.openxmlformats.org/officeDocument/2006/relationships/pivotTable" Target="../pivotTables/pivotTable6.xml"/><Relationship Id="rId6" Type="http://schemas.openxmlformats.org/officeDocument/2006/relationships/pivotTable" Target="../pivotTables/pivotTable7.xml"/><Relationship Id="rId7" Type="http://schemas.openxmlformats.org/officeDocument/2006/relationships/pivotTable" Target="../pivotTables/pivotTable8.xml"/><Relationship Id="rId8" Type="http://schemas.openxmlformats.org/officeDocument/2006/relationships/pivotTable" Target="../pivotTables/pivotTable9.xml"/><Relationship Id="rId9" Type="http://schemas.openxmlformats.org/officeDocument/2006/relationships/pivotTable" Target="../pivotTables/pivotTable10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pivotTable" Target="../pivotTables/pivotTable11.xml"/><Relationship Id="rId3" Type="http://schemas.openxmlformats.org/officeDocument/2006/relationships/pivotTable" Target="../pivotTables/pivotTable12.xml"/><Relationship Id="rId4" Type="http://schemas.openxmlformats.org/officeDocument/2006/relationships/pivotTable" Target="../pivotTables/pivotTable13.xml"/><Relationship Id="rId5" Type="http://schemas.openxmlformats.org/officeDocument/2006/relationships/pivotTable" Target="../pivotTables/pivotTable1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pivotTable" Target="../pivotTables/pivotTable15.xml"/><Relationship Id="rId3" Type="http://schemas.openxmlformats.org/officeDocument/2006/relationships/pivotTable" Target="../pivotTables/pivotTable16.xml"/><Relationship Id="rId4" Type="http://schemas.openxmlformats.org/officeDocument/2006/relationships/pivotTable" Target="../pivotTables/pivotTable17.xml"/><Relationship Id="rId5" Type="http://schemas.openxmlformats.org/officeDocument/2006/relationships/pivotTable" Target="../pivotTables/pivotTable18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pivotTable" Target="../pivotTables/pivotTable19.xml"/><Relationship Id="rId3" Type="http://schemas.openxmlformats.org/officeDocument/2006/relationships/pivotTable" Target="../pivotTables/pivotTable20.xml"/><Relationship Id="rId4" Type="http://schemas.openxmlformats.org/officeDocument/2006/relationships/pivotTable" Target="../pivotTables/pivotTable21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pivotTable" Target="../pivotTables/pivotTable22.xml"/><Relationship Id="rId3" Type="http://schemas.openxmlformats.org/officeDocument/2006/relationships/pivotTable" Target="../pivotTables/pivotTable23.xml"/><Relationship Id="rId4" Type="http://schemas.openxmlformats.org/officeDocument/2006/relationships/pivotTable" Target="../pivotTables/pivotTable24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pivotTable" Target="../pivotTables/pivotTable25.xml"/><Relationship Id="rId3" Type="http://schemas.openxmlformats.org/officeDocument/2006/relationships/pivotTable" Target="../pivotTables/pivotTable26.xml"/><Relationship Id="rId4" Type="http://schemas.openxmlformats.org/officeDocument/2006/relationships/pivotTable" Target="../pivotTables/pivotTable27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pivotTable" Target="../pivotTables/pivotTable28.xml"/><Relationship Id="rId3" Type="http://schemas.openxmlformats.org/officeDocument/2006/relationships/pivotTable" Target="../pivotTables/pivotTable29.xml"/><Relationship Id="rId4" Type="http://schemas.openxmlformats.org/officeDocument/2006/relationships/pivotTable" Target="../pivotTables/pivotTable30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pivotTable" Target="../pivotTables/pivotTable31.xml"/><Relationship Id="rId3" Type="http://schemas.openxmlformats.org/officeDocument/2006/relationships/pivotTable" Target="../pivotTables/pivotTable32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pivotTable" Target="../pivotTables/pivotTable33.xml"/><Relationship Id="rId3" Type="http://schemas.openxmlformats.org/officeDocument/2006/relationships/pivotTable" Target="../pivotTables/pivotTable34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pivotTable" Target="../pivotTables/pivotTable35.xml"/><Relationship Id="rId3" Type="http://schemas.openxmlformats.org/officeDocument/2006/relationships/pivotTable" Target="../pivotTables/pivotTable36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pivotTable" Target="../pivotTables/pivotTable37.xml"/><Relationship Id="rId3" Type="http://schemas.openxmlformats.org/officeDocument/2006/relationships/pivotTable" Target="../pivotTables/pivotTable3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" activeCellId="0" sqref="F1"/>
    </sheetView>
  </sheetViews>
  <sheetFormatPr defaultRowHeight="12" zeroHeight="false" outlineLevelRow="0" outlineLevelCol="0"/>
  <cols>
    <col collapsed="false" customWidth="true" hidden="false" outlineLevel="0" max="1025" min="1" style="0" width="9"/>
  </cols>
  <sheetData>
    <row r="1" customFormat="false" ht="18.5" hidden="false" customHeight="false" outlineLevel="0" collapsed="false">
      <c r="A1" s="1" t="s">
        <v>0</v>
      </c>
    </row>
    <row r="2" customFormat="false" ht="18.5" hidden="false" customHeight="false" outlineLevel="0" collapsed="false">
      <c r="A2" s="1" t="s">
        <v>1</v>
      </c>
    </row>
    <row r="3" customFormat="false" ht="18.5" hidden="false" customHeight="false" outlineLevel="0" collapsed="false">
      <c r="A3" s="1" t="s">
        <v>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4"/>
  <sheetViews>
    <sheetView showFormulas="false" showGridLines="fals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A1" activeCellId="0" sqref="A1"/>
    </sheetView>
  </sheetViews>
  <sheetFormatPr defaultRowHeight="12.5" zeroHeight="false" outlineLevelRow="0" outlineLevelCol="0"/>
  <cols>
    <col collapsed="false" customWidth="true" hidden="false" outlineLevel="0" max="1" min="1" style="2" width="9.34"/>
    <col collapsed="false" customWidth="true" hidden="false" outlineLevel="0" max="2" min="2" style="2" width="10.78"/>
    <col collapsed="false" customWidth="true" hidden="false" outlineLevel="0" max="3" min="3" style="2" width="34.33"/>
    <col collapsed="false" customWidth="true" hidden="false" outlineLevel="0" max="4" min="4" style="2" width="29"/>
    <col collapsed="false" customWidth="true" hidden="false" outlineLevel="0" max="5" min="5" style="2" width="40.67"/>
    <col collapsed="false" customWidth="true" hidden="false" outlineLevel="0" max="1025" min="6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">
        <v>3</v>
      </c>
    </row>
    <row r="7" customFormat="false" ht="13.5" hidden="false" customHeight="false" outlineLevel="0" collapsed="false">
      <c r="B7" s="4" t="s">
        <v>4</v>
      </c>
      <c r="C7" s="4" t="s">
        <v>5</v>
      </c>
      <c r="D7" s="4" t="s">
        <v>6</v>
      </c>
      <c r="E7" s="4" t="s">
        <v>7</v>
      </c>
    </row>
    <row r="8" customFormat="false" ht="12.5" hidden="false" customHeight="false" outlineLevel="0" collapsed="false">
      <c r="B8" s="2" t="n">
        <v>1</v>
      </c>
      <c r="C8" s="2" t="s">
        <v>8</v>
      </c>
      <c r="D8" s="2" t="s">
        <v>9</v>
      </c>
      <c r="E8" s="2" t="s">
        <v>10</v>
      </c>
    </row>
    <row r="9" customFormat="false" ht="12.5" hidden="false" customHeight="false" outlineLevel="0" collapsed="false">
      <c r="B9" s="2" t="n">
        <v>2</v>
      </c>
      <c r="C9" s="2" t="s">
        <v>11</v>
      </c>
      <c r="D9" s="2" t="s">
        <v>9</v>
      </c>
      <c r="E9" s="2" t="s">
        <v>10</v>
      </c>
    </row>
    <row r="10" customFormat="false" ht="12.5" hidden="true" customHeight="false" outlineLevel="0" collapsed="false">
      <c r="B10" s="2" t="n">
        <v>3</v>
      </c>
      <c r="C10" s="2" t="s">
        <v>12</v>
      </c>
      <c r="D10" s="2" t="s">
        <v>9</v>
      </c>
      <c r="E10" s="2" t="s">
        <v>10</v>
      </c>
    </row>
    <row r="11" customFormat="false" ht="12.5" hidden="false" customHeight="false" outlineLevel="0" collapsed="false">
      <c r="B11" s="2" t="n">
        <v>4</v>
      </c>
      <c r="C11" s="2" t="s">
        <v>13</v>
      </c>
      <c r="D11" s="2" t="s">
        <v>9</v>
      </c>
      <c r="E11" s="2" t="s">
        <v>10</v>
      </c>
    </row>
    <row r="12" customFormat="false" ht="12.5" hidden="false" customHeight="false" outlineLevel="0" collapsed="false">
      <c r="B12" s="2" t="n">
        <v>5</v>
      </c>
      <c r="C12" s="2" t="s">
        <v>14</v>
      </c>
      <c r="D12" s="2" t="s">
        <v>9</v>
      </c>
      <c r="E12" s="2" t="s">
        <v>10</v>
      </c>
    </row>
    <row r="13" customFormat="false" ht="12.5" hidden="false" customHeight="false" outlineLevel="0" collapsed="false">
      <c r="B13" s="2" t="n">
        <v>6</v>
      </c>
      <c r="C13" s="2" t="s">
        <v>15</v>
      </c>
      <c r="D13" s="2" t="s">
        <v>9</v>
      </c>
      <c r="E13" s="2" t="s">
        <v>10</v>
      </c>
    </row>
    <row r="14" customFormat="false" ht="12.5" hidden="false" customHeight="false" outlineLevel="0" collapsed="false">
      <c r="B14" s="2" t="n">
        <v>7</v>
      </c>
      <c r="C14" s="2" t="s">
        <v>16</v>
      </c>
      <c r="D14" s="2" t="s">
        <v>9</v>
      </c>
      <c r="E14" s="2" t="s">
        <v>10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000000"/>
    <pageSetUpPr fitToPage="false"/>
  </sheetPr>
  <dimension ref="A1:N110"/>
  <sheetViews>
    <sheetView showFormulas="false" showGridLines="fals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2" ySplit="3" topLeftCell="C4" activePane="bottomRight" state="frozen"/>
      <selection pane="topLeft" activeCell="A1" activeCellId="0" sqref="A1"/>
      <selection pane="topRight" activeCell="C1" activeCellId="0" sqref="C1"/>
      <selection pane="bottomLeft" activeCell="A4" activeCellId="0" sqref="A4"/>
      <selection pane="bottomRight" activeCell="C3" activeCellId="0" sqref="C3"/>
    </sheetView>
  </sheetViews>
  <sheetFormatPr defaultRowHeight="12.5" zeroHeight="false" outlineLevelRow="0" outlineLevelCol="0"/>
  <cols>
    <col collapsed="false" customWidth="true" hidden="false" outlineLevel="0" max="2" min="1" style="5" width="3.66"/>
    <col collapsed="false" customWidth="true" hidden="false" outlineLevel="0" max="3" min="3" style="5" width="21.33"/>
    <col collapsed="false" customWidth="true" hidden="false" outlineLevel="0" max="4" min="4" style="5" width="28.11"/>
    <col collapsed="false" customWidth="true" hidden="false" outlineLevel="0" max="5" min="5" style="5" width="48.34"/>
    <col collapsed="false" customWidth="true" hidden="false" outlineLevel="0" max="6" min="6" style="5" width="18.11"/>
    <col collapsed="false" customWidth="true" hidden="false" outlineLevel="0" max="7" min="7" style="5" width="41.33"/>
    <col collapsed="false" customWidth="true" hidden="false" outlineLevel="0" max="8" min="8" style="5" width="22.33"/>
    <col collapsed="false" customWidth="true" hidden="false" outlineLevel="0" max="9" min="9" style="5" width="16.33"/>
    <col collapsed="false" customWidth="true" hidden="false" outlineLevel="0" max="10" min="10" style="5" width="19.33"/>
    <col collapsed="false" customWidth="true" hidden="false" outlineLevel="0" max="11" min="11" style="5" width="17.67"/>
    <col collapsed="false" customWidth="true" hidden="false" outlineLevel="0" max="12" min="12" style="5" width="18"/>
    <col collapsed="false" customWidth="true" hidden="false" outlineLevel="0" max="13" min="13" style="5" width="17.33"/>
    <col collapsed="false" customWidth="true" hidden="false" outlineLevel="0" max="1025" min="14" style="5" width="12.78"/>
  </cols>
  <sheetData>
    <row r="1" s="11" customFormat="true" ht="13" hidden="false" customHeight="false" outlineLevel="0" collapsed="false">
      <c r="A1" s="6"/>
      <c r="B1" s="7"/>
      <c r="C1" s="8"/>
      <c r="D1" s="9"/>
      <c r="E1" s="10"/>
      <c r="F1" s="10"/>
      <c r="G1" s="10"/>
      <c r="J1" s="12"/>
      <c r="K1" s="13"/>
      <c r="M1" s="12"/>
    </row>
    <row r="2" customFormat="false" ht="13" hidden="false" customHeight="false" outlineLevel="0" collapsed="false">
      <c r="A2" s="14"/>
      <c r="B2" s="15"/>
      <c r="C2" s="16"/>
      <c r="D2" s="17"/>
      <c r="E2" s="18"/>
      <c r="F2" s="18"/>
      <c r="G2" s="18"/>
      <c r="K2" s="19"/>
      <c r="M2" s="20"/>
    </row>
    <row r="3" s="27" customFormat="true" ht="13" hidden="false" customHeight="false" outlineLevel="0" collapsed="false">
      <c r="A3" s="5"/>
      <c r="B3" s="21"/>
      <c r="C3" s="22" t="s">
        <v>17</v>
      </c>
      <c r="D3" s="22" t="s">
        <v>18</v>
      </c>
      <c r="E3" s="22" t="s">
        <v>19</v>
      </c>
      <c r="F3" s="22" t="s">
        <v>20</v>
      </c>
      <c r="G3" s="22" t="s">
        <v>21</v>
      </c>
      <c r="H3" s="23" t="s">
        <v>22</v>
      </c>
      <c r="I3" s="23" t="s">
        <v>23</v>
      </c>
      <c r="J3" s="24" t="s">
        <v>24</v>
      </c>
      <c r="K3" s="25" t="s">
        <v>25</v>
      </c>
      <c r="L3" s="26" t="s">
        <v>26</v>
      </c>
      <c r="M3" s="26" t="s">
        <v>27</v>
      </c>
      <c r="N3" s="5"/>
    </row>
    <row r="4" s="27" customFormat="true" ht="12.5" hidden="false" customHeight="false" outlineLevel="0" collapsed="false">
      <c r="A4" s="5"/>
      <c r="B4" s="28"/>
      <c r="C4" s="29" t="n">
        <v>23345</v>
      </c>
      <c r="D4" s="29" t="s">
        <v>28</v>
      </c>
      <c r="E4" s="29" t="s">
        <v>29</v>
      </c>
      <c r="F4" s="29" t="s">
        <v>30</v>
      </c>
      <c r="G4" s="30" t="s">
        <v>31</v>
      </c>
      <c r="H4" s="29" t="s">
        <v>32</v>
      </c>
      <c r="I4" s="31" t="n">
        <v>41150</v>
      </c>
      <c r="J4" s="32" t="n">
        <f aca="false">VALUE(MONTH(I4))</f>
        <v>8</v>
      </c>
      <c r="K4" s="33" t="n">
        <v>208</v>
      </c>
      <c r="L4" s="34" t="n">
        <v>14.5</v>
      </c>
      <c r="M4" s="35" t="n">
        <f aca="false">L4*K4</f>
        <v>3016</v>
      </c>
    </row>
    <row r="5" s="27" customFormat="true" ht="12.5" hidden="false" customHeight="false" outlineLevel="0" collapsed="false">
      <c r="B5" s="28"/>
      <c r="C5" s="29" t="n">
        <v>23278</v>
      </c>
      <c r="D5" s="29" t="s">
        <v>33</v>
      </c>
      <c r="E5" s="29" t="s">
        <v>34</v>
      </c>
      <c r="F5" s="29" t="s">
        <v>30</v>
      </c>
      <c r="G5" s="30" t="s">
        <v>31</v>
      </c>
      <c r="H5" s="29" t="s">
        <v>35</v>
      </c>
      <c r="I5" s="31" t="n">
        <v>41145</v>
      </c>
      <c r="J5" s="32" t="n">
        <f aca="false">VALUE(MONTH(I5))</f>
        <v>8</v>
      </c>
      <c r="K5" s="33" t="n">
        <v>197</v>
      </c>
      <c r="L5" s="34" t="n">
        <v>14.5</v>
      </c>
      <c r="M5" s="35" t="n">
        <f aca="false">L5*K5</f>
        <v>2856.5</v>
      </c>
    </row>
    <row r="6" s="27" customFormat="true" ht="12.5" hidden="false" customHeight="false" outlineLevel="0" collapsed="false">
      <c r="B6" s="28"/>
      <c r="C6" s="29" t="n">
        <v>23303</v>
      </c>
      <c r="D6" s="29" t="s">
        <v>36</v>
      </c>
      <c r="E6" s="36" t="s">
        <v>37</v>
      </c>
      <c r="F6" s="36" t="s">
        <v>30</v>
      </c>
      <c r="G6" s="37" t="s">
        <v>31</v>
      </c>
      <c r="H6" s="29" t="s">
        <v>38</v>
      </c>
      <c r="I6" s="31" t="n">
        <v>41138</v>
      </c>
      <c r="J6" s="32" t="n">
        <f aca="false">VALUE(MONTH(I6))</f>
        <v>8</v>
      </c>
      <c r="K6" s="33" t="n">
        <v>176</v>
      </c>
      <c r="L6" s="34" t="n">
        <v>14.5</v>
      </c>
      <c r="M6" s="35" t="n">
        <f aca="false">L6*K6</f>
        <v>2552</v>
      </c>
    </row>
    <row r="7" s="27" customFormat="true" ht="12.5" hidden="false" customHeight="false" outlineLevel="0" collapsed="false">
      <c r="B7" s="28"/>
      <c r="C7" s="38" t="n">
        <v>23353</v>
      </c>
      <c r="D7" s="38" t="s">
        <v>39</v>
      </c>
      <c r="E7" s="39" t="s">
        <v>40</v>
      </c>
      <c r="F7" s="39" t="s">
        <v>30</v>
      </c>
      <c r="G7" s="40" t="s">
        <v>31</v>
      </c>
      <c r="H7" s="29" t="s">
        <v>35</v>
      </c>
      <c r="I7" s="31" t="n">
        <v>41070</v>
      </c>
      <c r="J7" s="32" t="n">
        <f aca="false">VALUE(MONTH(I7))</f>
        <v>6</v>
      </c>
      <c r="K7" s="33" t="n">
        <v>168</v>
      </c>
      <c r="L7" s="34" t="n">
        <v>14.5</v>
      </c>
      <c r="M7" s="35" t="n">
        <f aca="false">L7*K7</f>
        <v>2436</v>
      </c>
    </row>
    <row r="8" s="27" customFormat="true" ht="12.5" hidden="false" customHeight="false" outlineLevel="0" collapsed="false">
      <c r="B8" s="28"/>
      <c r="C8" s="29" t="n">
        <v>23289</v>
      </c>
      <c r="D8" s="29" t="s">
        <v>41</v>
      </c>
      <c r="E8" s="36" t="s">
        <v>42</v>
      </c>
      <c r="F8" s="36" t="s">
        <v>30</v>
      </c>
      <c r="G8" s="37" t="s">
        <v>31</v>
      </c>
      <c r="H8" s="29" t="s">
        <v>38</v>
      </c>
      <c r="I8" s="31" t="n">
        <v>41123</v>
      </c>
      <c r="J8" s="32" t="n">
        <f aca="false">VALUE(MONTH(I8))</f>
        <v>8</v>
      </c>
      <c r="K8" s="33" t="n">
        <v>166</v>
      </c>
      <c r="L8" s="34" t="n">
        <v>14.5</v>
      </c>
      <c r="M8" s="35" t="n">
        <f aca="false">L8*K8</f>
        <v>2407</v>
      </c>
    </row>
    <row r="9" s="27" customFormat="true" ht="12.5" hidden="false" customHeight="false" outlineLevel="0" collapsed="false">
      <c r="B9" s="28"/>
      <c r="C9" s="29" t="n">
        <v>23378</v>
      </c>
      <c r="D9" s="29" t="s">
        <v>43</v>
      </c>
      <c r="E9" s="36" t="s">
        <v>44</v>
      </c>
      <c r="F9" s="36" t="s">
        <v>30</v>
      </c>
      <c r="G9" s="37" t="s">
        <v>31</v>
      </c>
      <c r="H9" s="29" t="s">
        <v>32</v>
      </c>
      <c r="I9" s="31" t="n">
        <v>41078</v>
      </c>
      <c r="J9" s="32" t="n">
        <f aca="false">VALUE(MONTH(I9))</f>
        <v>6</v>
      </c>
      <c r="K9" s="33" t="n">
        <v>157</v>
      </c>
      <c r="L9" s="34" t="n">
        <v>14.5</v>
      </c>
      <c r="M9" s="35" t="n">
        <f aca="false">L9*K9</f>
        <v>2276.5</v>
      </c>
    </row>
    <row r="10" s="27" customFormat="true" ht="12.5" hidden="false" customHeight="false" outlineLevel="0" collapsed="false">
      <c r="B10" s="28"/>
      <c r="C10" s="29" t="n">
        <v>23283</v>
      </c>
      <c r="D10" s="29" t="s">
        <v>45</v>
      </c>
      <c r="E10" s="36" t="s">
        <v>46</v>
      </c>
      <c r="F10" s="36" t="s">
        <v>30</v>
      </c>
      <c r="G10" s="37" t="s">
        <v>31</v>
      </c>
      <c r="H10" s="29" t="s">
        <v>32</v>
      </c>
      <c r="I10" s="31" t="n">
        <v>41084</v>
      </c>
      <c r="J10" s="32" t="n">
        <f aca="false">VALUE(MONTH(I10))</f>
        <v>6</v>
      </c>
      <c r="K10" s="33" t="n">
        <v>142</v>
      </c>
      <c r="L10" s="34" t="n">
        <v>14.5</v>
      </c>
      <c r="M10" s="35" t="n">
        <f aca="false">L10*K10</f>
        <v>2059</v>
      </c>
    </row>
    <row r="11" s="27" customFormat="true" ht="12.5" hidden="false" customHeight="false" outlineLevel="0" collapsed="false">
      <c r="B11" s="28"/>
      <c r="C11" s="41" t="n">
        <v>23324</v>
      </c>
      <c r="D11" s="41" t="s">
        <v>47</v>
      </c>
      <c r="E11" s="41" t="s">
        <v>48</v>
      </c>
      <c r="F11" s="41" t="s">
        <v>49</v>
      </c>
      <c r="G11" s="42" t="s">
        <v>50</v>
      </c>
      <c r="H11" s="29" t="s">
        <v>38</v>
      </c>
      <c r="I11" s="31" t="n">
        <v>41134</v>
      </c>
      <c r="J11" s="32" t="n">
        <f aca="false">VALUE(MONTH(I11))</f>
        <v>8</v>
      </c>
      <c r="K11" s="33" t="n">
        <v>193</v>
      </c>
      <c r="L11" s="34" t="n">
        <v>9.99</v>
      </c>
      <c r="M11" s="35" t="n">
        <f aca="false">L11*K11</f>
        <v>1928.07</v>
      </c>
    </row>
    <row r="12" s="27" customFormat="true" ht="12.5" hidden="false" customHeight="false" outlineLevel="0" collapsed="false">
      <c r="B12" s="28"/>
      <c r="C12" s="29" t="n">
        <v>23264</v>
      </c>
      <c r="D12" s="29" t="s">
        <v>51</v>
      </c>
      <c r="E12" s="36" t="s">
        <v>52</v>
      </c>
      <c r="F12" s="36" t="s">
        <v>53</v>
      </c>
      <c r="G12" s="37" t="s">
        <v>54</v>
      </c>
      <c r="H12" s="29" t="s">
        <v>32</v>
      </c>
      <c r="I12" s="31" t="n">
        <v>41139</v>
      </c>
      <c r="J12" s="32" t="n">
        <f aca="false">VALUE(MONTH(I12))</f>
        <v>8</v>
      </c>
      <c r="K12" s="33" t="n">
        <v>205</v>
      </c>
      <c r="L12" s="34" t="n">
        <v>9</v>
      </c>
      <c r="M12" s="35" t="n">
        <f aca="false">L12*K12</f>
        <v>1845</v>
      </c>
    </row>
    <row r="13" s="27" customFormat="true" ht="12.5" hidden="false" customHeight="false" outlineLevel="0" collapsed="false">
      <c r="B13" s="28"/>
      <c r="C13" s="29" t="n">
        <v>23291</v>
      </c>
      <c r="D13" s="29" t="s">
        <v>55</v>
      </c>
      <c r="E13" s="36" t="s">
        <v>56</v>
      </c>
      <c r="F13" s="36" t="s">
        <v>53</v>
      </c>
      <c r="G13" s="37" t="s">
        <v>54</v>
      </c>
      <c r="H13" s="29" t="s">
        <v>38</v>
      </c>
      <c r="I13" s="31" t="n">
        <v>41139</v>
      </c>
      <c r="J13" s="32" t="n">
        <f aca="false">VALUE(MONTH(I13))</f>
        <v>8</v>
      </c>
      <c r="K13" s="33" t="n">
        <v>199</v>
      </c>
      <c r="L13" s="34" t="n">
        <v>9</v>
      </c>
      <c r="M13" s="35" t="n">
        <f aca="false">L13*K13</f>
        <v>1791</v>
      </c>
    </row>
    <row r="14" s="27" customFormat="true" ht="12.5" hidden="false" customHeight="false" outlineLevel="0" collapsed="false">
      <c r="B14" s="28"/>
      <c r="C14" s="29" t="n">
        <v>23305</v>
      </c>
      <c r="D14" s="29" t="s">
        <v>57</v>
      </c>
      <c r="E14" s="29" t="s">
        <v>58</v>
      </c>
      <c r="F14" s="29" t="s">
        <v>53</v>
      </c>
      <c r="G14" s="30" t="s">
        <v>54</v>
      </c>
      <c r="H14" s="29" t="s">
        <v>32</v>
      </c>
      <c r="I14" s="31" t="n">
        <v>41147</v>
      </c>
      <c r="J14" s="32" t="n">
        <f aca="false">VALUE(MONTH(I14))</f>
        <v>8</v>
      </c>
      <c r="K14" s="33" t="n">
        <v>188</v>
      </c>
      <c r="L14" s="34" t="n">
        <v>9</v>
      </c>
      <c r="M14" s="35" t="n">
        <f aca="false">L14*K14</f>
        <v>1692</v>
      </c>
    </row>
    <row r="15" s="27" customFormat="true" ht="12.5" hidden="false" customHeight="false" outlineLevel="0" collapsed="false">
      <c r="B15" s="28"/>
      <c r="C15" s="29" t="n">
        <v>23350</v>
      </c>
      <c r="D15" s="29" t="s">
        <v>59</v>
      </c>
      <c r="E15" s="29" t="s">
        <v>60</v>
      </c>
      <c r="F15" s="29" t="s">
        <v>53</v>
      </c>
      <c r="G15" s="30" t="s">
        <v>54</v>
      </c>
      <c r="H15" s="29" t="s">
        <v>32</v>
      </c>
      <c r="I15" s="31" t="n">
        <v>41085</v>
      </c>
      <c r="J15" s="32" t="n">
        <f aca="false">VALUE(MONTH(I15))</f>
        <v>6</v>
      </c>
      <c r="K15" s="33" t="n">
        <v>188</v>
      </c>
      <c r="L15" s="34" t="n">
        <v>9</v>
      </c>
      <c r="M15" s="35" t="n">
        <f aca="false">L15*K15</f>
        <v>1692</v>
      </c>
    </row>
    <row r="16" s="27" customFormat="true" ht="12.5" hidden="false" customHeight="false" outlineLevel="0" collapsed="false">
      <c r="B16" s="28"/>
      <c r="C16" s="29" t="n">
        <v>23300</v>
      </c>
      <c r="D16" s="29" t="s">
        <v>61</v>
      </c>
      <c r="E16" s="29" t="s">
        <v>62</v>
      </c>
      <c r="F16" s="29" t="s">
        <v>49</v>
      </c>
      <c r="G16" s="30" t="s">
        <v>50</v>
      </c>
      <c r="H16" s="29" t="s">
        <v>32</v>
      </c>
      <c r="I16" s="31" t="n">
        <v>40915</v>
      </c>
      <c r="J16" s="32" t="n">
        <f aca="false">VALUE(MONTH(I16))</f>
        <v>1</v>
      </c>
      <c r="K16" s="33" t="n">
        <v>167</v>
      </c>
      <c r="L16" s="34" t="n">
        <v>9.99</v>
      </c>
      <c r="M16" s="35" t="n">
        <f aca="false">L16*K16</f>
        <v>1668.33</v>
      </c>
    </row>
    <row r="17" s="27" customFormat="true" ht="12.5" hidden="false" customHeight="false" outlineLevel="0" collapsed="false">
      <c r="B17" s="28"/>
      <c r="C17" s="29" t="n">
        <v>23348</v>
      </c>
      <c r="D17" s="29" t="s">
        <v>63</v>
      </c>
      <c r="E17" s="29" t="s">
        <v>64</v>
      </c>
      <c r="F17" s="29" t="s">
        <v>49</v>
      </c>
      <c r="G17" s="30" t="s">
        <v>50</v>
      </c>
      <c r="H17" s="29" t="s">
        <v>38</v>
      </c>
      <c r="I17" s="31" t="n">
        <v>41146</v>
      </c>
      <c r="J17" s="32" t="n">
        <f aca="false">VALUE(MONTH(I17))</f>
        <v>8</v>
      </c>
      <c r="K17" s="33" t="n">
        <v>163</v>
      </c>
      <c r="L17" s="34" t="n">
        <v>9.99</v>
      </c>
      <c r="M17" s="35" t="n">
        <f aca="false">L17*K17</f>
        <v>1628.37</v>
      </c>
    </row>
    <row r="18" s="27" customFormat="true" ht="12.5" hidden="false" customHeight="false" outlineLevel="0" collapsed="false">
      <c r="B18" s="28"/>
      <c r="C18" s="29" t="n">
        <v>23290</v>
      </c>
      <c r="D18" s="29" t="s">
        <v>65</v>
      </c>
      <c r="E18" s="29" t="s">
        <v>66</v>
      </c>
      <c r="F18" s="29" t="s">
        <v>53</v>
      </c>
      <c r="G18" s="30" t="s">
        <v>54</v>
      </c>
      <c r="H18" s="29" t="s">
        <v>32</v>
      </c>
      <c r="I18" s="31" t="n">
        <v>41132</v>
      </c>
      <c r="J18" s="32" t="n">
        <f aca="false">VALUE(MONTH(I18))</f>
        <v>8</v>
      </c>
      <c r="K18" s="33" t="n">
        <v>170</v>
      </c>
      <c r="L18" s="34" t="n">
        <v>9</v>
      </c>
      <c r="M18" s="35" t="n">
        <f aca="false">L18*K18</f>
        <v>1530</v>
      </c>
    </row>
    <row r="19" s="27" customFormat="true" ht="12.5" hidden="false" customHeight="false" outlineLevel="0" collapsed="false">
      <c r="B19" s="28"/>
      <c r="C19" s="29" t="n">
        <v>23328</v>
      </c>
      <c r="D19" s="29" t="s">
        <v>67</v>
      </c>
      <c r="E19" s="29" t="s">
        <v>68</v>
      </c>
      <c r="F19" s="29" t="s">
        <v>30</v>
      </c>
      <c r="G19" s="30" t="s">
        <v>31</v>
      </c>
      <c r="H19" s="29" t="s">
        <v>38</v>
      </c>
      <c r="I19" s="31" t="n">
        <v>40923</v>
      </c>
      <c r="J19" s="32" t="n">
        <f aca="false">VALUE(MONTH(I19))</f>
        <v>1</v>
      </c>
      <c r="K19" s="33" t="n">
        <v>102</v>
      </c>
      <c r="L19" s="34" t="n">
        <v>14.5</v>
      </c>
      <c r="M19" s="35" t="n">
        <f aca="false">L19*K19</f>
        <v>1479</v>
      </c>
    </row>
    <row r="20" s="27" customFormat="true" ht="12.5" hidden="false" customHeight="false" outlineLevel="0" collapsed="false">
      <c r="B20" s="28"/>
      <c r="C20" s="29" t="n">
        <v>23294</v>
      </c>
      <c r="D20" s="29" t="s">
        <v>69</v>
      </c>
      <c r="E20" s="29" t="s">
        <v>70</v>
      </c>
      <c r="F20" s="29" t="s">
        <v>53</v>
      </c>
      <c r="G20" s="30" t="s">
        <v>54</v>
      </c>
      <c r="H20" s="29" t="s">
        <v>38</v>
      </c>
      <c r="I20" s="31" t="n">
        <v>41082</v>
      </c>
      <c r="J20" s="32" t="n">
        <f aca="false">VALUE(MONTH(I20))</f>
        <v>6</v>
      </c>
      <c r="K20" s="33" t="n">
        <v>160</v>
      </c>
      <c r="L20" s="34" t="n">
        <v>9</v>
      </c>
      <c r="M20" s="35" t="n">
        <f aca="false">L20*K20</f>
        <v>1440</v>
      </c>
    </row>
    <row r="21" s="27" customFormat="true" ht="12.5" hidden="false" customHeight="false" outlineLevel="0" collapsed="false">
      <c r="B21" s="28"/>
      <c r="C21" s="29" t="n">
        <v>23371</v>
      </c>
      <c r="D21" s="29" t="s">
        <v>71</v>
      </c>
      <c r="E21" s="29" t="s">
        <v>72</v>
      </c>
      <c r="F21" s="29" t="s">
        <v>73</v>
      </c>
      <c r="G21" s="30" t="s">
        <v>74</v>
      </c>
      <c r="H21" s="29" t="s">
        <v>32</v>
      </c>
      <c r="I21" s="31" t="n">
        <v>41136</v>
      </c>
      <c r="J21" s="32" t="n">
        <f aca="false">VALUE(MONTH(I21))</f>
        <v>8</v>
      </c>
      <c r="K21" s="33" t="n">
        <v>204</v>
      </c>
      <c r="L21" s="34" t="n">
        <v>6.99</v>
      </c>
      <c r="M21" s="35" t="n">
        <f aca="false">L21*K21</f>
        <v>1425.96</v>
      </c>
    </row>
    <row r="22" s="27" customFormat="true" ht="12.5" hidden="false" customHeight="false" outlineLevel="0" collapsed="false">
      <c r="B22" s="28"/>
      <c r="C22" s="29" t="n">
        <v>23288</v>
      </c>
      <c r="D22" s="29" t="s">
        <v>75</v>
      </c>
      <c r="E22" s="29" t="s">
        <v>76</v>
      </c>
      <c r="F22" s="29" t="s">
        <v>49</v>
      </c>
      <c r="G22" s="30" t="s">
        <v>50</v>
      </c>
      <c r="H22" s="29" t="s">
        <v>35</v>
      </c>
      <c r="I22" s="31" t="n">
        <v>41074</v>
      </c>
      <c r="J22" s="32" t="n">
        <f aca="false">VALUE(MONTH(I22))</f>
        <v>6</v>
      </c>
      <c r="K22" s="33" t="n">
        <v>141</v>
      </c>
      <c r="L22" s="34" t="n">
        <v>9.99</v>
      </c>
      <c r="M22" s="35" t="n">
        <f aca="false">L22*K22</f>
        <v>1408.59</v>
      </c>
    </row>
    <row r="23" s="27" customFormat="true" ht="12.5" hidden="false" customHeight="false" outlineLevel="0" collapsed="false">
      <c r="B23" s="28"/>
      <c r="C23" s="29" t="n">
        <v>23347</v>
      </c>
      <c r="D23" s="29" t="s">
        <v>77</v>
      </c>
      <c r="E23" s="29" t="s">
        <v>78</v>
      </c>
      <c r="F23" s="29" t="s">
        <v>53</v>
      </c>
      <c r="G23" s="30" t="s">
        <v>54</v>
      </c>
      <c r="H23" s="29" t="s">
        <v>32</v>
      </c>
      <c r="I23" s="31" t="n">
        <v>41088</v>
      </c>
      <c r="J23" s="32" t="n">
        <f aca="false">VALUE(MONTH(I23))</f>
        <v>6</v>
      </c>
      <c r="K23" s="33" t="n">
        <v>147</v>
      </c>
      <c r="L23" s="34" t="n">
        <v>9</v>
      </c>
      <c r="M23" s="35" t="n">
        <f aca="false">L23*K23</f>
        <v>1323</v>
      </c>
    </row>
    <row r="24" s="27" customFormat="true" ht="12.5" hidden="false" customHeight="false" outlineLevel="0" collapsed="false">
      <c r="B24" s="28"/>
      <c r="C24" s="29" t="n">
        <v>23361</v>
      </c>
      <c r="D24" s="29" t="s">
        <v>79</v>
      </c>
      <c r="E24" s="29" t="s">
        <v>80</v>
      </c>
      <c r="F24" s="29" t="s">
        <v>73</v>
      </c>
      <c r="G24" s="30" t="s">
        <v>74</v>
      </c>
      <c r="H24" s="29" t="s">
        <v>32</v>
      </c>
      <c r="I24" s="31" t="n">
        <v>40915</v>
      </c>
      <c r="J24" s="32" t="n">
        <f aca="false">VALUE(MONTH(I24))</f>
        <v>1</v>
      </c>
      <c r="K24" s="33" t="n">
        <v>184</v>
      </c>
      <c r="L24" s="34" t="n">
        <v>6.99</v>
      </c>
      <c r="M24" s="35" t="n">
        <f aca="false">L24*K24</f>
        <v>1286.16</v>
      </c>
    </row>
    <row r="25" s="27" customFormat="true" ht="12.5" hidden="false" customHeight="false" outlineLevel="0" collapsed="false">
      <c r="B25" s="28"/>
      <c r="C25" s="29" t="n">
        <v>23275</v>
      </c>
      <c r="D25" s="29" t="s">
        <v>81</v>
      </c>
      <c r="E25" s="29" t="s">
        <v>82</v>
      </c>
      <c r="F25" s="29" t="s">
        <v>53</v>
      </c>
      <c r="G25" s="30" t="s">
        <v>54</v>
      </c>
      <c r="H25" s="29" t="s">
        <v>38</v>
      </c>
      <c r="I25" s="31" t="n">
        <v>40912</v>
      </c>
      <c r="J25" s="32" t="n">
        <f aca="false">VALUE(MONTH(I25))</f>
        <v>1</v>
      </c>
      <c r="K25" s="33" t="n">
        <v>141</v>
      </c>
      <c r="L25" s="34" t="n">
        <v>9</v>
      </c>
      <c r="M25" s="35" t="n">
        <f aca="false">L25*K25</f>
        <v>1269</v>
      </c>
    </row>
    <row r="26" s="27" customFormat="true" ht="12.5" hidden="false" customHeight="false" outlineLevel="0" collapsed="false">
      <c r="B26" s="28"/>
      <c r="C26" s="29" t="n">
        <v>23297</v>
      </c>
      <c r="D26" s="29" t="s">
        <v>83</v>
      </c>
      <c r="E26" s="29" t="s">
        <v>84</v>
      </c>
      <c r="F26" s="29" t="s">
        <v>53</v>
      </c>
      <c r="G26" s="30" t="s">
        <v>54</v>
      </c>
      <c r="H26" s="29" t="s">
        <v>32</v>
      </c>
      <c r="I26" s="31" t="n">
        <v>41133</v>
      </c>
      <c r="J26" s="32" t="n">
        <f aca="false">VALUE(MONTH(I26))</f>
        <v>8</v>
      </c>
      <c r="K26" s="33" t="n">
        <v>135</v>
      </c>
      <c r="L26" s="34" t="n">
        <v>9</v>
      </c>
      <c r="M26" s="35" t="n">
        <f aca="false">L26*K26</f>
        <v>1215</v>
      </c>
    </row>
    <row r="27" s="27" customFormat="true" ht="12.5" hidden="false" customHeight="false" outlineLevel="0" collapsed="false">
      <c r="B27" s="28"/>
      <c r="C27" s="29" t="n">
        <v>23327</v>
      </c>
      <c r="D27" s="29" t="s">
        <v>85</v>
      </c>
      <c r="E27" s="29" t="s">
        <v>86</v>
      </c>
      <c r="F27" s="29" t="s">
        <v>87</v>
      </c>
      <c r="G27" s="30" t="s">
        <v>88</v>
      </c>
      <c r="H27" s="29" t="s">
        <v>38</v>
      </c>
      <c r="I27" s="31" t="n">
        <v>40939</v>
      </c>
      <c r="J27" s="32" t="n">
        <f aca="false">VALUE(MONTH(I27))</f>
        <v>1</v>
      </c>
      <c r="K27" s="33" t="n">
        <v>176</v>
      </c>
      <c r="L27" s="34" t="n">
        <v>6.5</v>
      </c>
      <c r="M27" s="35" t="n">
        <f aca="false">L27*K27</f>
        <v>1144</v>
      </c>
    </row>
    <row r="28" s="27" customFormat="true" ht="12.5" hidden="false" customHeight="false" outlineLevel="0" collapsed="false">
      <c r="B28" s="28"/>
      <c r="C28" s="29" t="n">
        <v>23325</v>
      </c>
      <c r="D28" s="29" t="s">
        <v>89</v>
      </c>
      <c r="E28" s="29" t="s">
        <v>90</v>
      </c>
      <c r="F28" s="29" t="s">
        <v>91</v>
      </c>
      <c r="G28" s="30" t="s">
        <v>92</v>
      </c>
      <c r="H28" s="29" t="s">
        <v>38</v>
      </c>
      <c r="I28" s="31" t="n">
        <v>41082</v>
      </c>
      <c r="J28" s="32" t="n">
        <f aca="false">VALUE(MONTH(I28))</f>
        <v>6</v>
      </c>
      <c r="K28" s="33" t="n">
        <v>184</v>
      </c>
      <c r="L28" s="34" t="n">
        <v>6</v>
      </c>
      <c r="M28" s="35" t="n">
        <f aca="false">L28*K28</f>
        <v>1104</v>
      </c>
    </row>
    <row r="29" s="27" customFormat="true" ht="12.5" hidden="false" customHeight="false" outlineLevel="0" collapsed="false">
      <c r="B29" s="28"/>
      <c r="C29" s="29" t="n">
        <v>23292</v>
      </c>
      <c r="D29" s="29" t="s">
        <v>93</v>
      </c>
      <c r="E29" s="29" t="s">
        <v>94</v>
      </c>
      <c r="F29" s="29" t="s">
        <v>30</v>
      </c>
      <c r="G29" s="30" t="s">
        <v>31</v>
      </c>
      <c r="H29" s="29" t="s">
        <v>32</v>
      </c>
      <c r="I29" s="31" t="n">
        <v>40911</v>
      </c>
      <c r="J29" s="32" t="n">
        <f aca="false">VALUE(MONTH(I29))</f>
        <v>1</v>
      </c>
      <c r="K29" s="33" t="n">
        <v>73</v>
      </c>
      <c r="L29" s="34" t="n">
        <v>14.5</v>
      </c>
      <c r="M29" s="35" t="n">
        <f aca="false">L29*K29</f>
        <v>1058.5</v>
      </c>
    </row>
    <row r="30" s="27" customFormat="true" ht="12.5" hidden="false" customHeight="false" outlineLevel="0" collapsed="false">
      <c r="B30" s="28"/>
      <c r="C30" s="29" t="n">
        <v>23335</v>
      </c>
      <c r="D30" s="29" t="s">
        <v>95</v>
      </c>
      <c r="E30" s="29" t="s">
        <v>96</v>
      </c>
      <c r="F30" s="29" t="s">
        <v>53</v>
      </c>
      <c r="G30" s="30" t="s">
        <v>54</v>
      </c>
      <c r="H30" s="29" t="s">
        <v>32</v>
      </c>
      <c r="I30" s="31" t="n">
        <v>41134</v>
      </c>
      <c r="J30" s="32" t="n">
        <f aca="false">VALUE(MONTH(I30))</f>
        <v>8</v>
      </c>
      <c r="K30" s="33" t="n">
        <v>116</v>
      </c>
      <c r="L30" s="34" t="n">
        <v>9</v>
      </c>
      <c r="M30" s="35" t="n">
        <f aca="false">L30*K30</f>
        <v>1044</v>
      </c>
    </row>
    <row r="31" s="27" customFormat="true" ht="12.5" hidden="false" customHeight="false" outlineLevel="0" collapsed="false">
      <c r="B31" s="28"/>
      <c r="C31" s="29" t="n">
        <v>23314</v>
      </c>
      <c r="D31" s="29" t="s">
        <v>97</v>
      </c>
      <c r="E31" s="29" t="s">
        <v>98</v>
      </c>
      <c r="F31" s="29" t="s">
        <v>49</v>
      </c>
      <c r="G31" s="30" t="s">
        <v>50</v>
      </c>
      <c r="H31" s="29" t="s">
        <v>38</v>
      </c>
      <c r="I31" s="31" t="n">
        <v>41131</v>
      </c>
      <c r="J31" s="32" t="n">
        <f aca="false">VALUE(MONTH(I31))</f>
        <v>8</v>
      </c>
      <c r="K31" s="33" t="n">
        <v>95</v>
      </c>
      <c r="L31" s="34" t="n">
        <v>9.99</v>
      </c>
      <c r="M31" s="35" t="n">
        <f aca="false">L31*K31</f>
        <v>949.05</v>
      </c>
    </row>
    <row r="32" s="27" customFormat="true" ht="12.5" hidden="false" customHeight="false" outlineLevel="0" collapsed="false">
      <c r="B32" s="28"/>
      <c r="C32" s="29" t="n">
        <v>23329</v>
      </c>
      <c r="D32" s="29" t="s">
        <v>99</v>
      </c>
      <c r="E32" s="29" t="s">
        <v>100</v>
      </c>
      <c r="F32" s="29" t="s">
        <v>101</v>
      </c>
      <c r="G32" s="30" t="s">
        <v>102</v>
      </c>
      <c r="H32" s="29" t="s">
        <v>38</v>
      </c>
      <c r="I32" s="31" t="n">
        <v>40931</v>
      </c>
      <c r="J32" s="32" t="n">
        <f aca="false">VALUE(MONTH(I32))</f>
        <v>1</v>
      </c>
      <c r="K32" s="33" t="n">
        <v>203</v>
      </c>
      <c r="L32" s="34" t="n">
        <v>4.5</v>
      </c>
      <c r="M32" s="35" t="n">
        <f aca="false">L32*K32</f>
        <v>913.5</v>
      </c>
    </row>
    <row r="33" s="27" customFormat="true" ht="12.5" hidden="false" customHeight="false" outlineLevel="0" collapsed="false">
      <c r="B33" s="28"/>
      <c r="C33" s="29" t="n">
        <v>23332</v>
      </c>
      <c r="D33" s="29" t="s">
        <v>103</v>
      </c>
      <c r="E33" s="29" t="s">
        <v>104</v>
      </c>
      <c r="F33" s="29" t="s">
        <v>101</v>
      </c>
      <c r="G33" s="30" t="s">
        <v>102</v>
      </c>
      <c r="H33" s="29" t="s">
        <v>35</v>
      </c>
      <c r="I33" s="31" t="n">
        <v>40950</v>
      </c>
      <c r="J33" s="32" t="n">
        <f aca="false">VALUE(MONTH(I33))</f>
        <v>2</v>
      </c>
      <c r="K33" s="33" t="n">
        <v>203</v>
      </c>
      <c r="L33" s="34" t="n">
        <v>4.5</v>
      </c>
      <c r="M33" s="35" t="n">
        <f aca="false">L33*K33</f>
        <v>913.5</v>
      </c>
    </row>
    <row r="34" s="27" customFormat="true" ht="12.5" hidden="false" customHeight="false" outlineLevel="0" collapsed="false">
      <c r="B34" s="28"/>
      <c r="C34" s="29" t="n">
        <v>23317</v>
      </c>
      <c r="D34" s="29" t="s">
        <v>105</v>
      </c>
      <c r="E34" s="29" t="s">
        <v>106</v>
      </c>
      <c r="F34" s="29" t="s">
        <v>101</v>
      </c>
      <c r="G34" s="30" t="s">
        <v>102</v>
      </c>
      <c r="H34" s="29" t="s">
        <v>35</v>
      </c>
      <c r="I34" s="31" t="n">
        <v>40956</v>
      </c>
      <c r="J34" s="32" t="n">
        <f aca="false">VALUE(MONTH(I34))</f>
        <v>2</v>
      </c>
      <c r="K34" s="33" t="n">
        <v>196</v>
      </c>
      <c r="L34" s="34" t="n">
        <v>4.5</v>
      </c>
      <c r="M34" s="35" t="n">
        <f aca="false">L34*K34</f>
        <v>882</v>
      </c>
    </row>
    <row r="35" s="27" customFormat="true" ht="12.5" hidden="false" customHeight="false" outlineLevel="0" collapsed="false">
      <c r="B35" s="28"/>
      <c r="C35" s="29" t="n">
        <v>23271</v>
      </c>
      <c r="D35" s="29" t="s">
        <v>107</v>
      </c>
      <c r="E35" s="29" t="s">
        <v>108</v>
      </c>
      <c r="F35" s="29" t="s">
        <v>73</v>
      </c>
      <c r="G35" s="30" t="s">
        <v>74</v>
      </c>
      <c r="H35" s="29" t="s">
        <v>38</v>
      </c>
      <c r="I35" s="31" t="n">
        <v>40966</v>
      </c>
      <c r="J35" s="32" t="n">
        <f aca="false">VALUE(MONTH(I35))</f>
        <v>2</v>
      </c>
      <c r="K35" s="33" t="n">
        <v>125</v>
      </c>
      <c r="L35" s="34" t="n">
        <v>6.99</v>
      </c>
      <c r="M35" s="35" t="n">
        <f aca="false">L35*K35</f>
        <v>873.75</v>
      </c>
    </row>
    <row r="36" s="27" customFormat="true" ht="12.5" hidden="false" customHeight="false" outlineLevel="0" collapsed="false">
      <c r="B36" s="28"/>
      <c r="C36" s="29" t="n">
        <v>23287</v>
      </c>
      <c r="D36" s="29" t="s">
        <v>109</v>
      </c>
      <c r="E36" s="29" t="s">
        <v>110</v>
      </c>
      <c r="F36" s="29" t="s">
        <v>101</v>
      </c>
      <c r="G36" s="30" t="s">
        <v>102</v>
      </c>
      <c r="H36" s="29" t="s">
        <v>38</v>
      </c>
      <c r="I36" s="31" t="n">
        <v>41077</v>
      </c>
      <c r="J36" s="32" t="n">
        <f aca="false">VALUE(MONTH(I36))</f>
        <v>6</v>
      </c>
      <c r="K36" s="33" t="n">
        <v>189</v>
      </c>
      <c r="L36" s="34" t="n">
        <v>4.5</v>
      </c>
      <c r="M36" s="35" t="n">
        <f aca="false">L36*K36</f>
        <v>850.5</v>
      </c>
    </row>
    <row r="37" s="27" customFormat="true" ht="12.5" hidden="false" customHeight="false" outlineLevel="0" collapsed="false">
      <c r="B37" s="28"/>
      <c r="C37" s="29" t="n">
        <v>23349</v>
      </c>
      <c r="D37" s="29" t="s">
        <v>111</v>
      </c>
      <c r="E37" s="29" t="s">
        <v>112</v>
      </c>
      <c r="F37" s="29" t="s">
        <v>87</v>
      </c>
      <c r="G37" s="30" t="s">
        <v>88</v>
      </c>
      <c r="H37" s="29" t="s">
        <v>38</v>
      </c>
      <c r="I37" s="31" t="n">
        <v>41112</v>
      </c>
      <c r="J37" s="32" t="n">
        <f aca="false">VALUE(MONTH(I37))</f>
        <v>7</v>
      </c>
      <c r="K37" s="33" t="n">
        <v>126</v>
      </c>
      <c r="L37" s="34" t="n">
        <v>6.5</v>
      </c>
      <c r="M37" s="35" t="n">
        <f aca="false">L37*K37</f>
        <v>819</v>
      </c>
    </row>
    <row r="38" s="27" customFormat="true" ht="12.5" hidden="false" customHeight="false" outlineLevel="0" collapsed="false">
      <c r="B38" s="28"/>
      <c r="C38" s="29" t="n">
        <v>23309</v>
      </c>
      <c r="D38" s="29" t="s">
        <v>113</v>
      </c>
      <c r="E38" s="29" t="s">
        <v>114</v>
      </c>
      <c r="F38" s="29" t="s">
        <v>115</v>
      </c>
      <c r="G38" s="30" t="s">
        <v>116</v>
      </c>
      <c r="H38" s="29" t="s">
        <v>32</v>
      </c>
      <c r="I38" s="31" t="n">
        <v>41083</v>
      </c>
      <c r="J38" s="32" t="n">
        <f aca="false">VALUE(MONTH(I38))</f>
        <v>6</v>
      </c>
      <c r="K38" s="33" t="n">
        <v>201</v>
      </c>
      <c r="L38" s="34" t="n">
        <v>3.99</v>
      </c>
      <c r="M38" s="35" t="n">
        <f aca="false">L38*K38</f>
        <v>801.99</v>
      </c>
    </row>
    <row r="39" s="27" customFormat="true" ht="12.5" hidden="false" customHeight="false" outlineLevel="0" collapsed="false">
      <c r="B39" s="28"/>
      <c r="C39" s="29" t="n">
        <v>23338</v>
      </c>
      <c r="D39" s="29" t="s">
        <v>117</v>
      </c>
      <c r="E39" s="29" t="s">
        <v>118</v>
      </c>
      <c r="F39" s="29" t="s">
        <v>101</v>
      </c>
      <c r="G39" s="30" t="s">
        <v>102</v>
      </c>
      <c r="H39" s="29" t="s">
        <v>38</v>
      </c>
      <c r="I39" s="31" t="n">
        <v>41133</v>
      </c>
      <c r="J39" s="32" t="n">
        <f aca="false">VALUE(MONTH(I39))</f>
        <v>8</v>
      </c>
      <c r="K39" s="33" t="n">
        <v>178</v>
      </c>
      <c r="L39" s="34" t="n">
        <v>4.5</v>
      </c>
      <c r="M39" s="35" t="n">
        <f aca="false">L39*K39</f>
        <v>801</v>
      </c>
    </row>
    <row r="40" s="27" customFormat="true" ht="12.5" hidden="false" customHeight="false" outlineLevel="0" collapsed="false">
      <c r="B40" s="28"/>
      <c r="C40" s="29" t="n">
        <v>23301</v>
      </c>
      <c r="D40" s="29" t="s">
        <v>119</v>
      </c>
      <c r="E40" s="29" t="s">
        <v>120</v>
      </c>
      <c r="F40" s="29" t="s">
        <v>73</v>
      </c>
      <c r="G40" s="30" t="s">
        <v>74</v>
      </c>
      <c r="H40" s="29" t="s">
        <v>38</v>
      </c>
      <c r="I40" s="31" t="n">
        <v>41109</v>
      </c>
      <c r="J40" s="32" t="n">
        <f aca="false">VALUE(MONTH(I40))</f>
        <v>7</v>
      </c>
      <c r="K40" s="33" t="n">
        <v>108</v>
      </c>
      <c r="L40" s="34" t="n">
        <v>6.99</v>
      </c>
      <c r="M40" s="35" t="n">
        <f aca="false">L40*K40</f>
        <v>754.92</v>
      </c>
    </row>
    <row r="41" s="27" customFormat="true" ht="12.5" hidden="false" customHeight="false" outlineLevel="0" collapsed="false">
      <c r="B41" s="28"/>
      <c r="C41" s="29" t="n">
        <v>23320</v>
      </c>
      <c r="D41" s="29" t="s">
        <v>121</v>
      </c>
      <c r="E41" s="29" t="s">
        <v>122</v>
      </c>
      <c r="F41" s="29" t="s">
        <v>91</v>
      </c>
      <c r="G41" s="30" t="s">
        <v>92</v>
      </c>
      <c r="H41" s="29" t="s">
        <v>35</v>
      </c>
      <c r="I41" s="31" t="n">
        <v>41075</v>
      </c>
      <c r="J41" s="32" t="n">
        <f aca="false">VALUE(MONTH(I41))</f>
        <v>6</v>
      </c>
      <c r="K41" s="33" t="n">
        <v>125</v>
      </c>
      <c r="L41" s="34" t="n">
        <v>6</v>
      </c>
      <c r="M41" s="35" t="n">
        <f aca="false">L41*K41</f>
        <v>750</v>
      </c>
    </row>
    <row r="42" s="27" customFormat="true" ht="12.5" hidden="false" customHeight="false" outlineLevel="0" collapsed="false">
      <c r="B42" s="28"/>
      <c r="C42" s="29" t="n">
        <v>23365</v>
      </c>
      <c r="D42" s="29" t="s">
        <v>123</v>
      </c>
      <c r="E42" s="29" t="s">
        <v>124</v>
      </c>
      <c r="F42" s="29" t="s">
        <v>125</v>
      </c>
      <c r="G42" s="30" t="s">
        <v>126</v>
      </c>
      <c r="H42" s="29" t="s">
        <v>38</v>
      </c>
      <c r="I42" s="31" t="n">
        <v>41099</v>
      </c>
      <c r="J42" s="32" t="n">
        <f aca="false">VALUE(MONTH(I42))</f>
        <v>7</v>
      </c>
      <c r="K42" s="33" t="n">
        <v>165</v>
      </c>
      <c r="L42" s="34" t="n">
        <v>4.5</v>
      </c>
      <c r="M42" s="35" t="n">
        <f aca="false">L42*K42</f>
        <v>742.5</v>
      </c>
    </row>
    <row r="43" s="27" customFormat="true" ht="12.5" hidden="false" customHeight="false" outlineLevel="0" collapsed="false">
      <c r="B43" s="28"/>
      <c r="C43" s="29" t="n">
        <v>23302</v>
      </c>
      <c r="D43" s="29" t="s">
        <v>127</v>
      </c>
      <c r="E43" s="29" t="s">
        <v>98</v>
      </c>
      <c r="F43" s="29" t="s">
        <v>128</v>
      </c>
      <c r="G43" s="30" t="s">
        <v>129</v>
      </c>
      <c r="H43" s="29" t="s">
        <v>32</v>
      </c>
      <c r="I43" s="31" t="n">
        <v>41117</v>
      </c>
      <c r="J43" s="32" t="n">
        <f aca="false">VALUE(MONTH(I43))</f>
        <v>7</v>
      </c>
      <c r="K43" s="33" t="n">
        <v>105</v>
      </c>
      <c r="L43" s="34" t="n">
        <v>6.5</v>
      </c>
      <c r="M43" s="35" t="n">
        <f aca="false">L43*K43</f>
        <v>682.5</v>
      </c>
    </row>
    <row r="44" s="27" customFormat="true" ht="12.5" hidden="false" customHeight="false" outlineLevel="0" collapsed="false">
      <c r="B44" s="28"/>
      <c r="C44" s="29" t="n">
        <v>23266</v>
      </c>
      <c r="D44" s="29" t="s">
        <v>130</v>
      </c>
      <c r="E44" s="29" t="s">
        <v>131</v>
      </c>
      <c r="F44" s="29" t="s">
        <v>115</v>
      </c>
      <c r="G44" s="30" t="s">
        <v>116</v>
      </c>
      <c r="H44" s="29" t="s">
        <v>32</v>
      </c>
      <c r="I44" s="31" t="n">
        <v>41132</v>
      </c>
      <c r="J44" s="32" t="n">
        <f aca="false">VALUE(MONTH(I44))</f>
        <v>8</v>
      </c>
      <c r="K44" s="33" t="n">
        <v>170</v>
      </c>
      <c r="L44" s="34" t="n">
        <v>3.99</v>
      </c>
      <c r="M44" s="35" t="n">
        <f aca="false">L44*K44</f>
        <v>678.3</v>
      </c>
    </row>
    <row r="45" s="27" customFormat="true" ht="12.5" hidden="false" customHeight="false" outlineLevel="0" collapsed="false">
      <c r="B45" s="28"/>
      <c r="C45" s="29" t="n">
        <v>23307</v>
      </c>
      <c r="D45" s="29" t="s">
        <v>132</v>
      </c>
      <c r="E45" s="29" t="s">
        <v>133</v>
      </c>
      <c r="F45" s="29" t="s">
        <v>91</v>
      </c>
      <c r="G45" s="30" t="s">
        <v>92</v>
      </c>
      <c r="H45" s="29" t="s">
        <v>38</v>
      </c>
      <c r="I45" s="31" t="n">
        <v>41094</v>
      </c>
      <c r="J45" s="32" t="n">
        <f aca="false">VALUE(MONTH(I45))</f>
        <v>7</v>
      </c>
      <c r="K45" s="33" t="n">
        <v>113</v>
      </c>
      <c r="L45" s="34" t="n">
        <v>6</v>
      </c>
      <c r="M45" s="35" t="n">
        <f aca="false">L45*K45</f>
        <v>678</v>
      </c>
    </row>
    <row r="46" s="27" customFormat="true" ht="12.5" hidden="false" customHeight="false" outlineLevel="0" collapsed="false">
      <c r="B46" s="28"/>
      <c r="C46" s="29" t="n">
        <v>23368</v>
      </c>
      <c r="D46" s="29" t="s">
        <v>134</v>
      </c>
      <c r="E46" s="29" t="s">
        <v>135</v>
      </c>
      <c r="F46" s="29" t="s">
        <v>125</v>
      </c>
      <c r="G46" s="30" t="s">
        <v>126</v>
      </c>
      <c r="H46" s="29" t="s">
        <v>38</v>
      </c>
      <c r="I46" s="31" t="n">
        <v>41146</v>
      </c>
      <c r="J46" s="32" t="n">
        <f aca="false">VALUE(MONTH(I46))</f>
        <v>8</v>
      </c>
      <c r="K46" s="33" t="n">
        <v>150</v>
      </c>
      <c r="L46" s="34" t="n">
        <v>4.5</v>
      </c>
      <c r="M46" s="35" t="n">
        <f aca="false">L46*K46</f>
        <v>675</v>
      </c>
    </row>
    <row r="47" s="27" customFormat="true" ht="12.5" hidden="false" customHeight="false" outlineLevel="0" collapsed="false">
      <c r="B47" s="28"/>
      <c r="C47" s="29" t="n">
        <v>23286</v>
      </c>
      <c r="D47" s="29" t="s">
        <v>136</v>
      </c>
      <c r="E47" s="29" t="s">
        <v>137</v>
      </c>
      <c r="F47" s="29" t="s">
        <v>53</v>
      </c>
      <c r="G47" s="30" t="s">
        <v>54</v>
      </c>
      <c r="H47" s="29" t="s">
        <v>32</v>
      </c>
      <c r="I47" s="31" t="n">
        <v>41129</v>
      </c>
      <c r="J47" s="32" t="n">
        <f aca="false">VALUE(MONTH(I47))</f>
        <v>8</v>
      </c>
      <c r="K47" s="33" t="n">
        <v>69</v>
      </c>
      <c r="L47" s="34" t="n">
        <v>9</v>
      </c>
      <c r="M47" s="35" t="n">
        <f aca="false">L47*K47</f>
        <v>621</v>
      </c>
    </row>
    <row r="48" s="27" customFormat="true" ht="12.5" hidden="false" customHeight="false" outlineLevel="0" collapsed="false">
      <c r="B48" s="28"/>
      <c r="C48" s="29" t="n">
        <v>23373</v>
      </c>
      <c r="D48" s="29" t="s">
        <v>138</v>
      </c>
      <c r="E48" s="29" t="s">
        <v>139</v>
      </c>
      <c r="F48" s="29" t="s">
        <v>87</v>
      </c>
      <c r="G48" s="30" t="s">
        <v>88</v>
      </c>
      <c r="H48" s="29" t="s">
        <v>32</v>
      </c>
      <c r="I48" s="31" t="n">
        <v>41114</v>
      </c>
      <c r="J48" s="32" t="n">
        <f aca="false">VALUE(MONTH(I48))</f>
        <v>7</v>
      </c>
      <c r="K48" s="33" t="n">
        <v>95</v>
      </c>
      <c r="L48" s="34" t="n">
        <v>6.5</v>
      </c>
      <c r="M48" s="35" t="n">
        <f aca="false">L48*K48</f>
        <v>617.5</v>
      </c>
    </row>
    <row r="49" s="27" customFormat="true" ht="12.5" hidden="false" customHeight="false" outlineLevel="0" collapsed="false">
      <c r="B49" s="28"/>
      <c r="C49" s="29" t="n">
        <v>23380</v>
      </c>
      <c r="D49" s="29" t="s">
        <v>140</v>
      </c>
      <c r="E49" s="29" t="s">
        <v>141</v>
      </c>
      <c r="F49" s="29" t="s">
        <v>128</v>
      </c>
      <c r="G49" s="30" t="s">
        <v>129</v>
      </c>
      <c r="H49" s="29" t="s">
        <v>38</v>
      </c>
      <c r="I49" s="31" t="n">
        <v>41112</v>
      </c>
      <c r="J49" s="32" t="n">
        <f aca="false">VALUE(MONTH(I49))</f>
        <v>7</v>
      </c>
      <c r="K49" s="33" t="n">
        <v>95</v>
      </c>
      <c r="L49" s="34" t="n">
        <v>6.5</v>
      </c>
      <c r="M49" s="35" t="n">
        <f aca="false">L49*K49</f>
        <v>617.5</v>
      </c>
    </row>
    <row r="50" s="27" customFormat="true" ht="12.5" hidden="false" customHeight="false" outlineLevel="0" collapsed="false">
      <c r="B50" s="28"/>
      <c r="C50" s="29" t="n">
        <v>23284</v>
      </c>
      <c r="D50" s="29" t="s">
        <v>142</v>
      </c>
      <c r="E50" s="29" t="s">
        <v>143</v>
      </c>
      <c r="F50" s="29" t="s">
        <v>101</v>
      </c>
      <c r="G50" s="30" t="s">
        <v>102</v>
      </c>
      <c r="H50" s="29" t="s">
        <v>38</v>
      </c>
      <c r="I50" s="31" t="n">
        <v>41077</v>
      </c>
      <c r="J50" s="32" t="n">
        <f aca="false">VALUE(MONTH(I50))</f>
        <v>6</v>
      </c>
      <c r="K50" s="33" t="n">
        <v>135</v>
      </c>
      <c r="L50" s="34" t="n">
        <v>4.5</v>
      </c>
      <c r="M50" s="35" t="n">
        <f aca="false">L50*K50</f>
        <v>607.5</v>
      </c>
    </row>
    <row r="51" s="27" customFormat="true" ht="12.5" hidden="false" customHeight="false" outlineLevel="0" collapsed="false">
      <c r="B51" s="28"/>
      <c r="C51" s="29" t="n">
        <v>23306</v>
      </c>
      <c r="D51" s="29" t="s">
        <v>144</v>
      </c>
      <c r="E51" s="29" t="s">
        <v>145</v>
      </c>
      <c r="F51" s="29" t="s">
        <v>87</v>
      </c>
      <c r="G51" s="30" t="s">
        <v>88</v>
      </c>
      <c r="H51" s="29" t="s">
        <v>32</v>
      </c>
      <c r="I51" s="31" t="n">
        <v>41068</v>
      </c>
      <c r="J51" s="32" t="n">
        <f aca="false">VALUE(MONTH(I51))</f>
        <v>6</v>
      </c>
      <c r="K51" s="33" t="n">
        <v>93</v>
      </c>
      <c r="L51" s="34" t="n">
        <v>6.5</v>
      </c>
      <c r="M51" s="35" t="n">
        <f aca="false">L51*K51</f>
        <v>604.5</v>
      </c>
    </row>
    <row r="52" s="27" customFormat="true" ht="12.5" hidden="false" customHeight="false" outlineLevel="0" collapsed="false">
      <c r="B52" s="28"/>
      <c r="C52" s="29" t="n">
        <v>23281</v>
      </c>
      <c r="D52" s="29" t="s">
        <v>146</v>
      </c>
      <c r="E52" s="29" t="s">
        <v>147</v>
      </c>
      <c r="F52" s="29" t="s">
        <v>125</v>
      </c>
      <c r="G52" s="30" t="s">
        <v>126</v>
      </c>
      <c r="H52" s="29" t="s">
        <v>38</v>
      </c>
      <c r="I52" s="31" t="n">
        <v>41103</v>
      </c>
      <c r="J52" s="32" t="n">
        <f aca="false">VALUE(MONTH(I52))</f>
        <v>7</v>
      </c>
      <c r="K52" s="33" t="n">
        <v>134</v>
      </c>
      <c r="L52" s="34" t="n">
        <v>4.5</v>
      </c>
      <c r="M52" s="35" t="n">
        <f aca="false">L52*K52</f>
        <v>603</v>
      </c>
    </row>
    <row r="53" s="27" customFormat="true" ht="12.5" hidden="false" customHeight="false" outlineLevel="0" collapsed="false">
      <c r="B53" s="28"/>
      <c r="C53" s="29" t="n">
        <v>23351</v>
      </c>
      <c r="D53" s="29" t="s">
        <v>148</v>
      </c>
      <c r="E53" s="29" t="s">
        <v>149</v>
      </c>
      <c r="F53" s="29" t="s">
        <v>115</v>
      </c>
      <c r="G53" s="30" t="s">
        <v>116</v>
      </c>
      <c r="H53" s="29" t="s">
        <v>32</v>
      </c>
      <c r="I53" s="31" t="n">
        <v>41124</v>
      </c>
      <c r="J53" s="32" t="n">
        <f aca="false">VALUE(MONTH(I53))</f>
        <v>8</v>
      </c>
      <c r="K53" s="33" t="n">
        <v>151</v>
      </c>
      <c r="L53" s="34" t="n">
        <v>3.99</v>
      </c>
      <c r="M53" s="35" t="n">
        <f aca="false">L53*K53</f>
        <v>602.49</v>
      </c>
    </row>
    <row r="54" s="27" customFormat="true" ht="12.5" hidden="false" customHeight="false" outlineLevel="0" collapsed="false">
      <c r="B54" s="28"/>
      <c r="C54" s="29" t="n">
        <v>23282</v>
      </c>
      <c r="D54" s="29" t="s">
        <v>150</v>
      </c>
      <c r="E54" s="29" t="s">
        <v>151</v>
      </c>
      <c r="F54" s="29" t="s">
        <v>91</v>
      </c>
      <c r="G54" s="30" t="s">
        <v>92</v>
      </c>
      <c r="H54" s="29" t="s">
        <v>38</v>
      </c>
      <c r="I54" s="31" t="n">
        <v>41142</v>
      </c>
      <c r="J54" s="32" t="n">
        <f aca="false">VALUE(MONTH(I54))</f>
        <v>8</v>
      </c>
      <c r="K54" s="33" t="n">
        <v>100</v>
      </c>
      <c r="L54" s="34" t="n">
        <v>6</v>
      </c>
      <c r="M54" s="35" t="n">
        <f aca="false">L54*K54</f>
        <v>600</v>
      </c>
    </row>
    <row r="55" s="27" customFormat="true" ht="12.5" hidden="false" customHeight="false" outlineLevel="0" collapsed="false">
      <c r="B55" s="28"/>
      <c r="C55" s="29" t="n">
        <v>23376</v>
      </c>
      <c r="D55" s="29" t="s">
        <v>152</v>
      </c>
      <c r="E55" s="29" t="s">
        <v>153</v>
      </c>
      <c r="F55" s="29" t="s">
        <v>73</v>
      </c>
      <c r="G55" s="30" t="s">
        <v>74</v>
      </c>
      <c r="H55" s="29" t="s">
        <v>35</v>
      </c>
      <c r="I55" s="31" t="n">
        <v>41113</v>
      </c>
      <c r="J55" s="32" t="n">
        <f aca="false">VALUE(MONTH(I55))</f>
        <v>7</v>
      </c>
      <c r="K55" s="33" t="n">
        <v>85</v>
      </c>
      <c r="L55" s="34" t="n">
        <v>6.99</v>
      </c>
      <c r="M55" s="35" t="n">
        <f aca="false">L55*K55</f>
        <v>594.15</v>
      </c>
    </row>
    <row r="56" s="27" customFormat="true" ht="12.5" hidden="false" customHeight="false" outlineLevel="0" collapsed="false">
      <c r="B56" s="28"/>
      <c r="C56" s="29" t="n">
        <v>23354</v>
      </c>
      <c r="D56" s="29" t="s">
        <v>154</v>
      </c>
      <c r="E56" s="29" t="s">
        <v>155</v>
      </c>
      <c r="F56" s="29" t="s">
        <v>73</v>
      </c>
      <c r="G56" s="30" t="s">
        <v>74</v>
      </c>
      <c r="H56" s="29" t="s">
        <v>32</v>
      </c>
      <c r="I56" s="31" t="n">
        <v>41124</v>
      </c>
      <c r="J56" s="32" t="n">
        <f aca="false">VALUE(MONTH(I56))</f>
        <v>8</v>
      </c>
      <c r="K56" s="33" t="n">
        <v>84</v>
      </c>
      <c r="L56" s="34" t="n">
        <v>6.99</v>
      </c>
      <c r="M56" s="35" t="n">
        <f aca="false">L56*K56</f>
        <v>587.16</v>
      </c>
    </row>
    <row r="57" s="27" customFormat="true" ht="12.5" hidden="false" customHeight="false" outlineLevel="0" collapsed="false">
      <c r="B57" s="28"/>
      <c r="C57" s="29" t="n">
        <v>23337</v>
      </c>
      <c r="D57" s="29" t="s">
        <v>156</v>
      </c>
      <c r="E57" s="29" t="s">
        <v>157</v>
      </c>
      <c r="F57" s="29" t="s">
        <v>73</v>
      </c>
      <c r="G57" s="30" t="s">
        <v>74</v>
      </c>
      <c r="H57" s="29" t="s">
        <v>38</v>
      </c>
      <c r="I57" s="31" t="n">
        <v>41097</v>
      </c>
      <c r="J57" s="32" t="n">
        <f aca="false">VALUE(MONTH(I57))</f>
        <v>7</v>
      </c>
      <c r="K57" s="33" t="n">
        <v>82</v>
      </c>
      <c r="L57" s="34" t="n">
        <v>6.99</v>
      </c>
      <c r="M57" s="35" t="n">
        <f aca="false">L57*K57</f>
        <v>573.18</v>
      </c>
    </row>
    <row r="58" s="27" customFormat="true" ht="12.5" hidden="false" customHeight="false" outlineLevel="0" collapsed="false">
      <c r="B58" s="28"/>
      <c r="C58" s="29" t="n">
        <v>23326</v>
      </c>
      <c r="D58" s="29" t="s">
        <v>158</v>
      </c>
      <c r="E58" s="29" t="s">
        <v>159</v>
      </c>
      <c r="F58" s="29" t="s">
        <v>125</v>
      </c>
      <c r="G58" s="30" t="s">
        <v>126</v>
      </c>
      <c r="H58" s="29" t="s">
        <v>38</v>
      </c>
      <c r="I58" s="31" t="n">
        <v>41142</v>
      </c>
      <c r="J58" s="32" t="n">
        <f aca="false">VALUE(MONTH(I58))</f>
        <v>8</v>
      </c>
      <c r="K58" s="33" t="n">
        <v>126</v>
      </c>
      <c r="L58" s="34" t="n">
        <v>4.5</v>
      </c>
      <c r="M58" s="35" t="n">
        <f aca="false">L58*K58</f>
        <v>567</v>
      </c>
    </row>
    <row r="59" s="27" customFormat="true" ht="12.5" hidden="false" customHeight="false" outlineLevel="0" collapsed="false">
      <c r="B59" s="28"/>
      <c r="C59" s="29" t="n">
        <v>23316</v>
      </c>
      <c r="D59" s="29" t="s">
        <v>160</v>
      </c>
      <c r="E59" s="29" t="s">
        <v>161</v>
      </c>
      <c r="F59" s="29" t="s">
        <v>115</v>
      </c>
      <c r="G59" s="30" t="s">
        <v>116</v>
      </c>
      <c r="H59" s="29" t="s">
        <v>38</v>
      </c>
      <c r="I59" s="31" t="n">
        <v>41061</v>
      </c>
      <c r="J59" s="32" t="n">
        <f aca="false">VALUE(MONTH(I59))</f>
        <v>6</v>
      </c>
      <c r="K59" s="33" t="n">
        <v>137</v>
      </c>
      <c r="L59" s="34" t="n">
        <v>3.99</v>
      </c>
      <c r="M59" s="35" t="n">
        <f aca="false">L59*K59</f>
        <v>546.63</v>
      </c>
    </row>
    <row r="60" s="27" customFormat="true" ht="12.5" hidden="false" customHeight="false" outlineLevel="0" collapsed="false">
      <c r="B60" s="28"/>
      <c r="C60" s="29" t="n">
        <v>23362</v>
      </c>
      <c r="D60" s="29" t="s">
        <v>162</v>
      </c>
      <c r="E60" s="29" t="s">
        <v>163</v>
      </c>
      <c r="F60" s="29" t="s">
        <v>164</v>
      </c>
      <c r="G60" s="30" t="s">
        <v>165</v>
      </c>
      <c r="H60" s="29" t="s">
        <v>32</v>
      </c>
      <c r="I60" s="31" t="n">
        <v>41139</v>
      </c>
      <c r="J60" s="32" t="n">
        <f aca="false">VALUE(MONTH(I60))</f>
        <v>8</v>
      </c>
      <c r="K60" s="33" t="n">
        <v>179</v>
      </c>
      <c r="L60" s="34" t="n">
        <v>3</v>
      </c>
      <c r="M60" s="35" t="n">
        <f aca="false">L60*K60</f>
        <v>537</v>
      </c>
    </row>
    <row r="61" s="27" customFormat="true" ht="12.5" hidden="false" customHeight="false" outlineLevel="0" collapsed="false">
      <c r="B61" s="28"/>
      <c r="C61" s="29" t="n">
        <v>23296</v>
      </c>
      <c r="D61" s="29" t="s">
        <v>166</v>
      </c>
      <c r="E61" s="29" t="s">
        <v>167</v>
      </c>
      <c r="F61" s="29" t="s">
        <v>30</v>
      </c>
      <c r="G61" s="30" t="s">
        <v>31</v>
      </c>
      <c r="H61" s="29" t="s">
        <v>38</v>
      </c>
      <c r="I61" s="31" t="n">
        <v>41068</v>
      </c>
      <c r="J61" s="32" t="n">
        <f aca="false">VALUE(MONTH(I61))</f>
        <v>6</v>
      </c>
      <c r="K61" s="33" t="n">
        <v>37</v>
      </c>
      <c r="L61" s="34" t="n">
        <v>14.5</v>
      </c>
      <c r="M61" s="35" t="n">
        <f aca="false">L61*K61</f>
        <v>536.5</v>
      </c>
    </row>
    <row r="62" s="27" customFormat="true" ht="12.5" hidden="false" customHeight="false" outlineLevel="0" collapsed="false">
      <c r="B62" s="28"/>
      <c r="C62" s="29" t="n">
        <v>23352</v>
      </c>
      <c r="D62" s="29" t="s">
        <v>168</v>
      </c>
      <c r="E62" s="29" t="s">
        <v>169</v>
      </c>
      <c r="F62" s="29" t="s">
        <v>91</v>
      </c>
      <c r="G62" s="30" t="s">
        <v>92</v>
      </c>
      <c r="H62" s="29" t="s">
        <v>32</v>
      </c>
      <c r="I62" s="31" t="n">
        <v>41097</v>
      </c>
      <c r="J62" s="32" t="n">
        <f aca="false">VALUE(MONTH(I62))</f>
        <v>7</v>
      </c>
      <c r="K62" s="33" t="n">
        <v>89</v>
      </c>
      <c r="L62" s="34" t="n">
        <v>6</v>
      </c>
      <c r="M62" s="35" t="n">
        <f aca="false">L62*K62</f>
        <v>534</v>
      </c>
    </row>
    <row r="63" s="27" customFormat="true" ht="12.5" hidden="false" customHeight="false" outlineLevel="0" collapsed="false">
      <c r="B63" s="28"/>
      <c r="C63" s="29" t="n">
        <v>23304</v>
      </c>
      <c r="D63" s="29" t="s">
        <v>170</v>
      </c>
      <c r="E63" s="29" t="s">
        <v>171</v>
      </c>
      <c r="F63" s="29" t="s">
        <v>115</v>
      </c>
      <c r="G63" s="30" t="s">
        <v>116</v>
      </c>
      <c r="H63" s="29" t="s">
        <v>38</v>
      </c>
      <c r="I63" s="31" t="n">
        <v>41061</v>
      </c>
      <c r="J63" s="32" t="n">
        <f aca="false">VALUE(MONTH(I63))</f>
        <v>6</v>
      </c>
      <c r="K63" s="33" t="n">
        <v>131</v>
      </c>
      <c r="L63" s="34" t="n">
        <v>3.99</v>
      </c>
      <c r="M63" s="35" t="n">
        <f aca="false">L63*K63</f>
        <v>522.69</v>
      </c>
    </row>
    <row r="64" s="27" customFormat="true" ht="12.5" hidden="false" customHeight="false" outlineLevel="0" collapsed="false">
      <c r="B64" s="28"/>
      <c r="C64" s="29" t="n">
        <v>23369</v>
      </c>
      <c r="D64" s="29" t="s">
        <v>172</v>
      </c>
      <c r="E64" s="29" t="s">
        <v>173</v>
      </c>
      <c r="F64" s="29" t="s">
        <v>128</v>
      </c>
      <c r="G64" s="30" t="s">
        <v>129</v>
      </c>
      <c r="H64" s="29" t="s">
        <v>38</v>
      </c>
      <c r="I64" s="31" t="n">
        <v>41092</v>
      </c>
      <c r="J64" s="32" t="n">
        <f aca="false">VALUE(MONTH(I64))</f>
        <v>7</v>
      </c>
      <c r="K64" s="33" t="n">
        <v>77</v>
      </c>
      <c r="L64" s="34" t="n">
        <v>6.5</v>
      </c>
      <c r="M64" s="35" t="n">
        <f aca="false">L64*K64</f>
        <v>500.5</v>
      </c>
    </row>
    <row r="65" s="27" customFormat="true" ht="12.5" hidden="false" customHeight="false" outlineLevel="0" collapsed="false">
      <c r="B65" s="28"/>
      <c r="C65" s="29" t="n">
        <v>23268</v>
      </c>
      <c r="D65" s="29" t="s">
        <v>174</v>
      </c>
      <c r="E65" s="29" t="s">
        <v>175</v>
      </c>
      <c r="F65" s="29" t="s">
        <v>91</v>
      </c>
      <c r="G65" s="30" t="s">
        <v>92</v>
      </c>
      <c r="H65" s="29" t="s">
        <v>32</v>
      </c>
      <c r="I65" s="31" t="n">
        <v>41102</v>
      </c>
      <c r="J65" s="32" t="n">
        <f aca="false">VALUE(MONTH(I65))</f>
        <v>7</v>
      </c>
      <c r="K65" s="33" t="n">
        <v>82</v>
      </c>
      <c r="L65" s="34" t="n">
        <v>6</v>
      </c>
      <c r="M65" s="35" t="n">
        <f aca="false">L65*K65</f>
        <v>492</v>
      </c>
    </row>
    <row r="66" s="27" customFormat="true" ht="12.5" hidden="false" customHeight="false" outlineLevel="0" collapsed="false">
      <c r="B66" s="28"/>
      <c r="C66" s="29" t="n">
        <v>23315</v>
      </c>
      <c r="D66" s="29" t="s">
        <v>176</v>
      </c>
      <c r="E66" s="29" t="s">
        <v>48</v>
      </c>
      <c r="F66" s="29" t="s">
        <v>101</v>
      </c>
      <c r="G66" s="30" t="s">
        <v>102</v>
      </c>
      <c r="H66" s="29" t="s">
        <v>38</v>
      </c>
      <c r="I66" s="31" t="n">
        <v>41102</v>
      </c>
      <c r="J66" s="32" t="n">
        <f aca="false">VALUE(MONTH(I66))</f>
        <v>7</v>
      </c>
      <c r="K66" s="33" t="n">
        <v>109</v>
      </c>
      <c r="L66" s="34" t="n">
        <v>4.5</v>
      </c>
      <c r="M66" s="35" t="n">
        <f aca="false">L66*K66</f>
        <v>490.5</v>
      </c>
    </row>
    <row r="67" s="27" customFormat="true" ht="12.5" hidden="false" customHeight="false" outlineLevel="0" collapsed="false">
      <c r="B67" s="28"/>
      <c r="C67" s="29" t="n">
        <v>23342</v>
      </c>
      <c r="D67" s="29" t="s">
        <v>177</v>
      </c>
      <c r="E67" s="29" t="s">
        <v>178</v>
      </c>
      <c r="F67" s="29" t="s">
        <v>115</v>
      </c>
      <c r="G67" s="30" t="s">
        <v>116</v>
      </c>
      <c r="H67" s="29" t="s">
        <v>32</v>
      </c>
      <c r="I67" s="31" t="n">
        <v>41088</v>
      </c>
      <c r="J67" s="32" t="n">
        <f aca="false">VALUE(MONTH(I67))</f>
        <v>6</v>
      </c>
      <c r="K67" s="33" t="n">
        <v>122</v>
      </c>
      <c r="L67" s="34" t="n">
        <v>3.99</v>
      </c>
      <c r="M67" s="35" t="n">
        <f aca="false">L67*K67</f>
        <v>486.78</v>
      </c>
    </row>
    <row r="68" s="27" customFormat="true" ht="12.5" hidden="false" customHeight="false" outlineLevel="0" collapsed="false">
      <c r="B68" s="28"/>
      <c r="C68" s="29" t="n">
        <v>23333</v>
      </c>
      <c r="D68" s="29" t="s">
        <v>179</v>
      </c>
      <c r="E68" s="29" t="s">
        <v>106</v>
      </c>
      <c r="F68" s="29" t="s">
        <v>101</v>
      </c>
      <c r="G68" s="30" t="s">
        <v>102</v>
      </c>
      <c r="H68" s="29" t="s">
        <v>32</v>
      </c>
      <c r="I68" s="31" t="n">
        <v>41126</v>
      </c>
      <c r="J68" s="32" t="n">
        <f aca="false">VALUE(MONTH(I68))</f>
        <v>8</v>
      </c>
      <c r="K68" s="33" t="n">
        <v>106</v>
      </c>
      <c r="L68" s="34" t="n">
        <v>4.5</v>
      </c>
      <c r="M68" s="35" t="n">
        <f aca="false">L68*K68</f>
        <v>477</v>
      </c>
    </row>
    <row r="69" s="27" customFormat="true" ht="12.5" hidden="false" customHeight="false" outlineLevel="0" collapsed="false">
      <c r="B69" s="28"/>
      <c r="C69" s="29" t="n">
        <v>23263</v>
      </c>
      <c r="D69" s="29" t="s">
        <v>180</v>
      </c>
      <c r="E69" s="29" t="s">
        <v>98</v>
      </c>
      <c r="F69" s="29" t="s">
        <v>87</v>
      </c>
      <c r="G69" s="30" t="s">
        <v>88</v>
      </c>
      <c r="H69" s="29" t="s">
        <v>32</v>
      </c>
      <c r="I69" s="31" t="n">
        <v>41096</v>
      </c>
      <c r="J69" s="32" t="n">
        <f aca="false">VALUE(MONTH(I69))</f>
        <v>7</v>
      </c>
      <c r="K69" s="33" t="n">
        <v>73</v>
      </c>
      <c r="L69" s="34" t="n">
        <v>6.5</v>
      </c>
      <c r="M69" s="35" t="n">
        <f aca="false">L69*K69</f>
        <v>474.5</v>
      </c>
    </row>
    <row r="70" s="27" customFormat="true" ht="12.5" hidden="false" customHeight="false" outlineLevel="0" collapsed="false">
      <c r="B70" s="28"/>
      <c r="C70" s="29" t="n">
        <v>23270</v>
      </c>
      <c r="D70" s="29" t="s">
        <v>181</v>
      </c>
      <c r="E70" s="29" t="s">
        <v>182</v>
      </c>
      <c r="F70" s="29" t="s">
        <v>73</v>
      </c>
      <c r="G70" s="30" t="s">
        <v>74</v>
      </c>
      <c r="H70" s="29" t="s">
        <v>38</v>
      </c>
      <c r="I70" s="31" t="n">
        <v>41067</v>
      </c>
      <c r="J70" s="32" t="n">
        <f aca="false">VALUE(MONTH(I70))</f>
        <v>6</v>
      </c>
      <c r="K70" s="33" t="n">
        <v>67</v>
      </c>
      <c r="L70" s="34" t="n">
        <v>6.99</v>
      </c>
      <c r="M70" s="35" t="n">
        <f aca="false">L70*K70</f>
        <v>468.33</v>
      </c>
    </row>
    <row r="71" s="27" customFormat="true" ht="12.5" hidden="false" customHeight="false" outlineLevel="0" collapsed="false">
      <c r="B71" s="28"/>
      <c r="C71" s="29" t="n">
        <v>23272</v>
      </c>
      <c r="D71" s="29" t="s">
        <v>183</v>
      </c>
      <c r="E71" s="29" t="s">
        <v>184</v>
      </c>
      <c r="F71" s="29" t="s">
        <v>87</v>
      </c>
      <c r="G71" s="30" t="s">
        <v>88</v>
      </c>
      <c r="H71" s="29" t="s">
        <v>35</v>
      </c>
      <c r="I71" s="31" t="n">
        <v>41121</v>
      </c>
      <c r="J71" s="32" t="n">
        <f aca="false">VALUE(MONTH(I71))</f>
        <v>7</v>
      </c>
      <c r="K71" s="33" t="n">
        <v>71</v>
      </c>
      <c r="L71" s="34" t="n">
        <v>6.5</v>
      </c>
      <c r="M71" s="35" t="n">
        <f aca="false">L71*K71</f>
        <v>461.5</v>
      </c>
    </row>
    <row r="72" s="27" customFormat="true" ht="12.5" hidden="false" customHeight="false" outlineLevel="0" collapsed="false">
      <c r="B72" s="28"/>
      <c r="C72" s="29" t="n">
        <v>23274</v>
      </c>
      <c r="D72" s="29" t="s">
        <v>185</v>
      </c>
      <c r="E72" s="29" t="s">
        <v>186</v>
      </c>
      <c r="F72" s="29" t="s">
        <v>164</v>
      </c>
      <c r="G72" s="30" t="s">
        <v>165</v>
      </c>
      <c r="H72" s="29" t="s">
        <v>38</v>
      </c>
      <c r="I72" s="31" t="n">
        <v>41143</v>
      </c>
      <c r="J72" s="32" t="n">
        <f aca="false">VALUE(MONTH(I72))</f>
        <v>8</v>
      </c>
      <c r="K72" s="33" t="n">
        <v>153</v>
      </c>
      <c r="L72" s="34" t="n">
        <v>3</v>
      </c>
      <c r="M72" s="35" t="n">
        <f aca="false">L72*K72</f>
        <v>459</v>
      </c>
    </row>
    <row r="73" s="27" customFormat="true" ht="12.5" hidden="false" customHeight="false" outlineLevel="0" collapsed="false">
      <c r="B73" s="28"/>
      <c r="C73" s="29" t="n">
        <v>23364</v>
      </c>
      <c r="D73" s="29" t="s">
        <v>187</v>
      </c>
      <c r="E73" s="29" t="s">
        <v>188</v>
      </c>
      <c r="F73" s="29" t="s">
        <v>53</v>
      </c>
      <c r="G73" s="30" t="s">
        <v>54</v>
      </c>
      <c r="H73" s="29" t="s">
        <v>32</v>
      </c>
      <c r="I73" s="31" t="n">
        <v>41093</v>
      </c>
      <c r="J73" s="32" t="n">
        <f aca="false">VALUE(MONTH(I73))</f>
        <v>7</v>
      </c>
      <c r="K73" s="33" t="n">
        <v>47</v>
      </c>
      <c r="L73" s="34" t="n">
        <v>9</v>
      </c>
      <c r="M73" s="35" t="n">
        <f aca="false">L73*K73</f>
        <v>423</v>
      </c>
    </row>
    <row r="74" s="27" customFormat="true" ht="12.5" hidden="false" customHeight="false" outlineLevel="0" collapsed="false">
      <c r="B74" s="28"/>
      <c r="C74" s="29" t="n">
        <v>23276</v>
      </c>
      <c r="D74" s="29" t="s">
        <v>189</v>
      </c>
      <c r="E74" s="29" t="s">
        <v>190</v>
      </c>
      <c r="F74" s="29" t="s">
        <v>128</v>
      </c>
      <c r="G74" s="30" t="s">
        <v>129</v>
      </c>
      <c r="H74" s="29" t="s">
        <v>32</v>
      </c>
      <c r="I74" s="31" t="n">
        <v>41122</v>
      </c>
      <c r="J74" s="32" t="n">
        <f aca="false">VALUE(MONTH(I74))</f>
        <v>8</v>
      </c>
      <c r="K74" s="33" t="n">
        <v>65</v>
      </c>
      <c r="L74" s="34" t="n">
        <v>6.5</v>
      </c>
      <c r="M74" s="35" t="n">
        <f aca="false">L74*K74</f>
        <v>422.5</v>
      </c>
    </row>
    <row r="75" s="27" customFormat="true" ht="12.5" hidden="false" customHeight="false" outlineLevel="0" collapsed="false">
      <c r="B75" s="28"/>
      <c r="C75" s="29" t="n">
        <v>23343</v>
      </c>
      <c r="D75" s="29" t="s">
        <v>191</v>
      </c>
      <c r="E75" s="29" t="s">
        <v>139</v>
      </c>
      <c r="F75" s="29" t="s">
        <v>49</v>
      </c>
      <c r="G75" s="30" t="s">
        <v>50</v>
      </c>
      <c r="H75" s="29" t="s">
        <v>32</v>
      </c>
      <c r="I75" s="31" t="n">
        <v>41144</v>
      </c>
      <c r="J75" s="32" t="n">
        <f aca="false">VALUE(MONTH(I75))</f>
        <v>8</v>
      </c>
      <c r="K75" s="33" t="n">
        <v>42</v>
      </c>
      <c r="L75" s="34" t="n">
        <v>9.99</v>
      </c>
      <c r="M75" s="35" t="n">
        <f aca="false">L75*K75</f>
        <v>419.58</v>
      </c>
    </row>
    <row r="76" s="27" customFormat="true" ht="12.5" hidden="false" customHeight="false" outlineLevel="0" collapsed="false">
      <c r="B76" s="28"/>
      <c r="C76" s="29" t="n">
        <v>23344</v>
      </c>
      <c r="D76" s="29" t="s">
        <v>192</v>
      </c>
      <c r="E76" s="29" t="s">
        <v>193</v>
      </c>
      <c r="F76" s="29" t="s">
        <v>87</v>
      </c>
      <c r="G76" s="30" t="s">
        <v>88</v>
      </c>
      <c r="H76" s="29" t="s">
        <v>32</v>
      </c>
      <c r="I76" s="31" t="n">
        <v>41265</v>
      </c>
      <c r="J76" s="32" t="n">
        <f aca="false">VALUE(MONTH(I76))</f>
        <v>12</v>
      </c>
      <c r="K76" s="33" t="n">
        <v>64</v>
      </c>
      <c r="L76" s="34" t="n">
        <v>6.5</v>
      </c>
      <c r="M76" s="35" t="n">
        <f aca="false">L76*K76</f>
        <v>416</v>
      </c>
    </row>
    <row r="77" s="27" customFormat="true" ht="12.5" hidden="false" customHeight="false" outlineLevel="0" collapsed="false">
      <c r="B77" s="28"/>
      <c r="C77" s="29" t="n">
        <v>23299</v>
      </c>
      <c r="D77" s="29" t="s">
        <v>194</v>
      </c>
      <c r="E77" s="29" t="s">
        <v>153</v>
      </c>
      <c r="F77" s="29" t="s">
        <v>115</v>
      </c>
      <c r="G77" s="30" t="s">
        <v>116</v>
      </c>
      <c r="H77" s="29" t="s">
        <v>38</v>
      </c>
      <c r="I77" s="31" t="n">
        <v>41087</v>
      </c>
      <c r="J77" s="32" t="n">
        <f aca="false">VALUE(MONTH(I77))</f>
        <v>6</v>
      </c>
      <c r="K77" s="33" t="n">
        <v>104</v>
      </c>
      <c r="L77" s="34" t="n">
        <v>3.99</v>
      </c>
      <c r="M77" s="35" t="n">
        <f aca="false">L77*K77</f>
        <v>414.96</v>
      </c>
    </row>
    <row r="78" s="27" customFormat="true" ht="12.5" hidden="false" customHeight="false" outlineLevel="0" collapsed="false">
      <c r="B78" s="28"/>
      <c r="C78" s="29" t="n">
        <v>23310</v>
      </c>
      <c r="D78" s="29" t="s">
        <v>195</v>
      </c>
      <c r="E78" s="29" t="s">
        <v>40</v>
      </c>
      <c r="F78" s="29" t="s">
        <v>49</v>
      </c>
      <c r="G78" s="30" t="s">
        <v>50</v>
      </c>
      <c r="H78" s="29" t="s">
        <v>32</v>
      </c>
      <c r="I78" s="31" t="n">
        <v>41077</v>
      </c>
      <c r="J78" s="32" t="n">
        <f aca="false">VALUE(MONTH(I78))</f>
        <v>6</v>
      </c>
      <c r="K78" s="33" t="n">
        <v>41</v>
      </c>
      <c r="L78" s="34" t="n">
        <v>9.99</v>
      </c>
      <c r="M78" s="35" t="n">
        <f aca="false">L78*K78</f>
        <v>409.59</v>
      </c>
    </row>
    <row r="79" s="27" customFormat="true" ht="12.5" hidden="false" customHeight="false" outlineLevel="0" collapsed="false">
      <c r="B79" s="28"/>
      <c r="C79" s="29" t="n">
        <v>23358</v>
      </c>
      <c r="D79" s="29" t="s">
        <v>196</v>
      </c>
      <c r="E79" s="29" t="s">
        <v>197</v>
      </c>
      <c r="F79" s="29" t="s">
        <v>49</v>
      </c>
      <c r="G79" s="30" t="s">
        <v>50</v>
      </c>
      <c r="H79" s="29" t="s">
        <v>38</v>
      </c>
      <c r="I79" s="31" t="n">
        <v>41071</v>
      </c>
      <c r="J79" s="32" t="n">
        <f aca="false">VALUE(MONTH(I79))</f>
        <v>6</v>
      </c>
      <c r="K79" s="33" t="n">
        <v>41</v>
      </c>
      <c r="L79" s="34" t="n">
        <v>9.99</v>
      </c>
      <c r="M79" s="35" t="n">
        <f aca="false">L79*K79</f>
        <v>409.59</v>
      </c>
    </row>
    <row r="80" s="27" customFormat="true" ht="12.5" hidden="false" customHeight="false" outlineLevel="0" collapsed="false">
      <c r="B80" s="28"/>
      <c r="C80" s="29" t="n">
        <v>23323</v>
      </c>
      <c r="D80" s="29" t="s">
        <v>198</v>
      </c>
      <c r="E80" s="29" t="s">
        <v>199</v>
      </c>
      <c r="F80" s="29" t="s">
        <v>164</v>
      </c>
      <c r="G80" s="30" t="s">
        <v>165</v>
      </c>
      <c r="H80" s="29" t="s">
        <v>32</v>
      </c>
      <c r="I80" s="31" t="n">
        <v>41272</v>
      </c>
      <c r="J80" s="32" t="n">
        <f aca="false">VALUE(MONTH(I80))</f>
        <v>12</v>
      </c>
      <c r="K80" s="33" t="n">
        <v>135</v>
      </c>
      <c r="L80" s="34" t="n">
        <v>3</v>
      </c>
      <c r="M80" s="35" t="n">
        <f aca="false">L80*K80</f>
        <v>405</v>
      </c>
    </row>
    <row r="81" s="27" customFormat="true" ht="12.5" hidden="false" customHeight="false" outlineLevel="0" collapsed="false">
      <c r="B81" s="28"/>
      <c r="C81" s="29" t="n">
        <v>23267</v>
      </c>
      <c r="D81" s="29" t="s">
        <v>200</v>
      </c>
      <c r="E81" s="29" t="s">
        <v>201</v>
      </c>
      <c r="F81" s="29" t="s">
        <v>164</v>
      </c>
      <c r="G81" s="30" t="s">
        <v>165</v>
      </c>
      <c r="H81" s="29" t="s">
        <v>32</v>
      </c>
      <c r="I81" s="31" t="n">
        <v>41101</v>
      </c>
      <c r="J81" s="32" t="n">
        <f aca="false">VALUE(MONTH(I81))</f>
        <v>7</v>
      </c>
      <c r="K81" s="33" t="n">
        <v>129</v>
      </c>
      <c r="L81" s="34" t="n">
        <v>3</v>
      </c>
      <c r="M81" s="35" t="n">
        <f aca="false">L81*K81</f>
        <v>387</v>
      </c>
    </row>
    <row r="82" s="27" customFormat="true" ht="12.5" hidden="false" customHeight="false" outlineLevel="0" collapsed="false">
      <c r="B82" s="28"/>
      <c r="C82" s="29" t="n">
        <v>23340</v>
      </c>
      <c r="D82" s="29" t="s">
        <v>202</v>
      </c>
      <c r="E82" s="29" t="s">
        <v>203</v>
      </c>
      <c r="F82" s="29" t="s">
        <v>125</v>
      </c>
      <c r="G82" s="30" t="s">
        <v>126</v>
      </c>
      <c r="H82" s="29" t="s">
        <v>32</v>
      </c>
      <c r="I82" s="31" t="n">
        <v>41095</v>
      </c>
      <c r="J82" s="32" t="n">
        <f aca="false">VALUE(MONTH(I82))</f>
        <v>7</v>
      </c>
      <c r="K82" s="33" t="n">
        <v>85</v>
      </c>
      <c r="L82" s="34" t="n">
        <v>4.5</v>
      </c>
      <c r="M82" s="35" t="n">
        <f aca="false">L82*K82</f>
        <v>382.5</v>
      </c>
    </row>
    <row r="83" s="27" customFormat="true" ht="12.5" hidden="false" customHeight="false" outlineLevel="0" collapsed="false">
      <c r="B83" s="28"/>
      <c r="C83" s="29" t="n">
        <v>23269</v>
      </c>
      <c r="D83" s="29" t="s">
        <v>204</v>
      </c>
      <c r="E83" s="29" t="s">
        <v>186</v>
      </c>
      <c r="F83" s="29" t="s">
        <v>164</v>
      </c>
      <c r="G83" s="30" t="s">
        <v>165</v>
      </c>
      <c r="H83" s="29" t="s">
        <v>32</v>
      </c>
      <c r="I83" s="31" t="n">
        <v>41063</v>
      </c>
      <c r="J83" s="32" t="n">
        <f aca="false">VALUE(MONTH(I83))</f>
        <v>6</v>
      </c>
      <c r="K83" s="33" t="n">
        <v>116</v>
      </c>
      <c r="L83" s="34" t="n">
        <v>3</v>
      </c>
      <c r="M83" s="35" t="n">
        <f aca="false">L83*K83</f>
        <v>348</v>
      </c>
    </row>
    <row r="84" s="27" customFormat="true" ht="12.5" hidden="false" customHeight="false" outlineLevel="0" collapsed="false">
      <c r="B84" s="28"/>
      <c r="C84" s="29" t="n">
        <v>23308</v>
      </c>
      <c r="D84" s="29" t="s">
        <v>205</v>
      </c>
      <c r="E84" s="29" t="s">
        <v>206</v>
      </c>
      <c r="F84" s="29" t="s">
        <v>164</v>
      </c>
      <c r="G84" s="30" t="s">
        <v>165</v>
      </c>
      <c r="H84" s="29" t="s">
        <v>38</v>
      </c>
      <c r="I84" s="31" t="n">
        <v>41099</v>
      </c>
      <c r="J84" s="32" t="n">
        <f aca="false">VALUE(MONTH(I84))</f>
        <v>7</v>
      </c>
      <c r="K84" s="33" t="n">
        <v>112</v>
      </c>
      <c r="L84" s="34" t="n">
        <v>3</v>
      </c>
      <c r="M84" s="35" t="n">
        <f aca="false">L84*K84</f>
        <v>336</v>
      </c>
    </row>
    <row r="85" s="27" customFormat="true" ht="12.5" hidden="false" customHeight="false" outlineLevel="0" collapsed="false">
      <c r="B85" s="28"/>
      <c r="C85" s="29" t="n">
        <v>23356</v>
      </c>
      <c r="D85" s="29" t="s">
        <v>207</v>
      </c>
      <c r="E85" s="29" t="s">
        <v>208</v>
      </c>
      <c r="F85" s="29" t="s">
        <v>115</v>
      </c>
      <c r="G85" s="30" t="s">
        <v>116</v>
      </c>
      <c r="H85" s="29" t="s">
        <v>32</v>
      </c>
      <c r="I85" s="31" t="n">
        <v>41081</v>
      </c>
      <c r="J85" s="32" t="n">
        <f aca="false">VALUE(MONTH(I85))</f>
        <v>6</v>
      </c>
      <c r="K85" s="33" t="n">
        <v>80</v>
      </c>
      <c r="L85" s="34" t="n">
        <v>3.99</v>
      </c>
      <c r="M85" s="35" t="n">
        <f aca="false">L85*K85</f>
        <v>319.2</v>
      </c>
    </row>
    <row r="86" s="27" customFormat="true" ht="12.5" hidden="false" customHeight="false" outlineLevel="0" collapsed="false">
      <c r="B86" s="28"/>
      <c r="C86" s="29" t="n">
        <v>23318</v>
      </c>
      <c r="D86" s="29" t="s">
        <v>209</v>
      </c>
      <c r="E86" s="29" t="s">
        <v>210</v>
      </c>
      <c r="F86" s="29" t="s">
        <v>87</v>
      </c>
      <c r="G86" s="30" t="s">
        <v>88</v>
      </c>
      <c r="H86" s="29" t="s">
        <v>32</v>
      </c>
      <c r="I86" s="31" t="n">
        <v>41099</v>
      </c>
      <c r="J86" s="32" t="n">
        <f aca="false">VALUE(MONTH(I86))</f>
        <v>7</v>
      </c>
      <c r="K86" s="33" t="n">
        <v>48</v>
      </c>
      <c r="L86" s="34" t="n">
        <v>6.5</v>
      </c>
      <c r="M86" s="35" t="n">
        <f aca="false">L86*K86</f>
        <v>312</v>
      </c>
    </row>
    <row r="87" s="27" customFormat="true" ht="12.5" hidden="false" customHeight="false" outlineLevel="0" collapsed="false">
      <c r="B87" s="28"/>
      <c r="C87" s="29" t="n">
        <v>23357</v>
      </c>
      <c r="D87" s="29" t="s">
        <v>211</v>
      </c>
      <c r="E87" s="29" t="s">
        <v>167</v>
      </c>
      <c r="F87" s="29" t="s">
        <v>91</v>
      </c>
      <c r="G87" s="30" t="s">
        <v>92</v>
      </c>
      <c r="H87" s="29" t="s">
        <v>38</v>
      </c>
      <c r="I87" s="31" t="n">
        <v>41107</v>
      </c>
      <c r="J87" s="32" t="n">
        <f aca="false">VALUE(MONTH(I87))</f>
        <v>7</v>
      </c>
      <c r="K87" s="33" t="n">
        <v>50</v>
      </c>
      <c r="L87" s="34" t="n">
        <v>6</v>
      </c>
      <c r="M87" s="35" t="n">
        <f aca="false">L87*K87</f>
        <v>300</v>
      </c>
    </row>
    <row r="88" s="27" customFormat="true" ht="12.5" hidden="false" customHeight="false" outlineLevel="0" collapsed="false">
      <c r="B88" s="28"/>
      <c r="C88" s="29" t="n">
        <v>23377</v>
      </c>
      <c r="D88" s="29" t="s">
        <v>212</v>
      </c>
      <c r="E88" s="29" t="s">
        <v>155</v>
      </c>
      <c r="F88" s="29" t="s">
        <v>128</v>
      </c>
      <c r="G88" s="30" t="s">
        <v>129</v>
      </c>
      <c r="H88" s="29" t="s">
        <v>32</v>
      </c>
      <c r="I88" s="31" t="n">
        <v>41075</v>
      </c>
      <c r="J88" s="32" t="n">
        <f aca="false">VALUE(MONTH(I88))</f>
        <v>6</v>
      </c>
      <c r="K88" s="33" t="n">
        <v>43</v>
      </c>
      <c r="L88" s="34" t="n">
        <v>6.5</v>
      </c>
      <c r="M88" s="35" t="n">
        <f aca="false">L88*K88</f>
        <v>279.5</v>
      </c>
    </row>
    <row r="89" s="27" customFormat="true" ht="12.5" hidden="false" customHeight="false" outlineLevel="0" collapsed="false">
      <c r="B89" s="28"/>
      <c r="C89" s="29" t="n">
        <v>23311</v>
      </c>
      <c r="D89" s="29" t="s">
        <v>213</v>
      </c>
      <c r="E89" s="29" t="s">
        <v>214</v>
      </c>
      <c r="F89" s="29" t="s">
        <v>30</v>
      </c>
      <c r="G89" s="30" t="s">
        <v>31</v>
      </c>
      <c r="H89" s="29" t="s">
        <v>38</v>
      </c>
      <c r="I89" s="31" t="n">
        <v>41072</v>
      </c>
      <c r="J89" s="32" t="n">
        <f aca="false">VALUE(MONTH(I89))</f>
        <v>6</v>
      </c>
      <c r="K89" s="33" t="n">
        <v>18</v>
      </c>
      <c r="L89" s="34" t="n">
        <v>14.5</v>
      </c>
      <c r="M89" s="35" t="n">
        <f aca="false">L89*K89</f>
        <v>261</v>
      </c>
    </row>
    <row r="90" s="27" customFormat="true" ht="12.5" hidden="false" customHeight="false" outlineLevel="0" collapsed="false">
      <c r="B90" s="28"/>
      <c r="C90" s="29" t="n">
        <v>23379</v>
      </c>
      <c r="D90" s="29" t="s">
        <v>215</v>
      </c>
      <c r="E90" s="29" t="s">
        <v>216</v>
      </c>
      <c r="F90" s="29" t="s">
        <v>115</v>
      </c>
      <c r="G90" s="30" t="s">
        <v>116</v>
      </c>
      <c r="H90" s="29" t="s">
        <v>32</v>
      </c>
      <c r="I90" s="31" t="n">
        <v>41270</v>
      </c>
      <c r="J90" s="32" t="n">
        <f aca="false">VALUE(MONTH(I90))</f>
        <v>12</v>
      </c>
      <c r="K90" s="33" t="n">
        <v>65</v>
      </c>
      <c r="L90" s="34" t="n">
        <v>3.99</v>
      </c>
      <c r="M90" s="35" t="n">
        <f aca="false">L90*K90</f>
        <v>259.35</v>
      </c>
    </row>
    <row r="91" s="27" customFormat="true" ht="12.5" hidden="false" customHeight="false" outlineLevel="0" collapsed="false">
      <c r="B91" s="28"/>
      <c r="C91" s="29" t="n">
        <v>23360</v>
      </c>
      <c r="D91" s="29" t="s">
        <v>217</v>
      </c>
      <c r="E91" s="29" t="s">
        <v>201</v>
      </c>
      <c r="F91" s="29" t="s">
        <v>73</v>
      </c>
      <c r="G91" s="30" t="s">
        <v>74</v>
      </c>
      <c r="H91" s="29" t="s">
        <v>32</v>
      </c>
      <c r="I91" s="31" t="n">
        <v>41073</v>
      </c>
      <c r="J91" s="32" t="n">
        <f aca="false">VALUE(MONTH(I91))</f>
        <v>6</v>
      </c>
      <c r="K91" s="33" t="n">
        <v>37</v>
      </c>
      <c r="L91" s="34" t="n">
        <v>6.99</v>
      </c>
      <c r="M91" s="35" t="n">
        <f aca="false">L91*K91</f>
        <v>258.63</v>
      </c>
    </row>
    <row r="92" s="27" customFormat="true" ht="12.5" hidden="false" customHeight="false" outlineLevel="0" collapsed="false">
      <c r="B92" s="28"/>
      <c r="C92" s="29" t="n">
        <v>23339</v>
      </c>
      <c r="D92" s="29" t="s">
        <v>218</v>
      </c>
      <c r="E92" s="29" t="s">
        <v>219</v>
      </c>
      <c r="F92" s="29" t="s">
        <v>91</v>
      </c>
      <c r="G92" s="30" t="s">
        <v>92</v>
      </c>
      <c r="H92" s="29" t="s">
        <v>32</v>
      </c>
      <c r="I92" s="31" t="n">
        <v>41101</v>
      </c>
      <c r="J92" s="32" t="n">
        <f aca="false">VALUE(MONTH(I92))</f>
        <v>7</v>
      </c>
      <c r="K92" s="33" t="n">
        <v>41</v>
      </c>
      <c r="L92" s="34" t="n">
        <v>6</v>
      </c>
      <c r="M92" s="35" t="n">
        <f aca="false">L92*K92</f>
        <v>246</v>
      </c>
    </row>
    <row r="93" s="27" customFormat="true" ht="12.5" hidden="false" customHeight="false" outlineLevel="0" collapsed="false">
      <c r="B93" s="28"/>
      <c r="C93" s="29" t="n">
        <v>23341</v>
      </c>
      <c r="D93" s="29" t="s">
        <v>220</v>
      </c>
      <c r="E93" s="29" t="s">
        <v>221</v>
      </c>
      <c r="F93" s="29" t="s">
        <v>164</v>
      </c>
      <c r="G93" s="30" t="s">
        <v>165</v>
      </c>
      <c r="H93" s="29" t="s">
        <v>38</v>
      </c>
      <c r="I93" s="31" t="n">
        <v>41026</v>
      </c>
      <c r="J93" s="32" t="n">
        <f aca="false">VALUE(MONTH(I93))</f>
        <v>4</v>
      </c>
      <c r="K93" s="33" t="n">
        <v>77</v>
      </c>
      <c r="L93" s="34" t="n">
        <v>3</v>
      </c>
      <c r="M93" s="35" t="n">
        <f aca="false">L93*K93</f>
        <v>231</v>
      </c>
    </row>
    <row r="94" s="27" customFormat="true" ht="12.5" hidden="false" customHeight="false" outlineLevel="0" collapsed="false">
      <c r="B94" s="28"/>
      <c r="C94" s="29" t="n">
        <v>23374</v>
      </c>
      <c r="D94" s="29" t="s">
        <v>222</v>
      </c>
      <c r="E94" s="29" t="s">
        <v>223</v>
      </c>
      <c r="F94" s="29" t="s">
        <v>115</v>
      </c>
      <c r="G94" s="30" t="s">
        <v>116</v>
      </c>
      <c r="H94" s="29" t="s">
        <v>32</v>
      </c>
      <c r="I94" s="31" t="n">
        <v>41257</v>
      </c>
      <c r="J94" s="32" t="n">
        <f aca="false">VALUE(MONTH(I94))</f>
        <v>12</v>
      </c>
      <c r="K94" s="33" t="n">
        <v>57</v>
      </c>
      <c r="L94" s="34" t="n">
        <v>3.99</v>
      </c>
      <c r="M94" s="35" t="n">
        <f aca="false">L94*K94</f>
        <v>227.43</v>
      </c>
    </row>
    <row r="95" s="27" customFormat="true" ht="12.5" hidden="false" customHeight="false" outlineLevel="0" collapsed="false">
      <c r="B95" s="28"/>
      <c r="C95" s="29" t="n">
        <v>23273</v>
      </c>
      <c r="D95" s="29" t="s">
        <v>224</v>
      </c>
      <c r="E95" s="29" t="s">
        <v>225</v>
      </c>
      <c r="F95" s="29" t="s">
        <v>49</v>
      </c>
      <c r="G95" s="30" t="s">
        <v>50</v>
      </c>
      <c r="H95" s="29" t="s">
        <v>32</v>
      </c>
      <c r="I95" s="31" t="n">
        <v>41256</v>
      </c>
      <c r="J95" s="32" t="n">
        <f aca="false">VALUE(MONTH(I95))</f>
        <v>12</v>
      </c>
      <c r="K95" s="33" t="n">
        <v>22</v>
      </c>
      <c r="L95" s="34" t="n">
        <v>9.99</v>
      </c>
      <c r="M95" s="35" t="n">
        <f aca="false">L95*K95</f>
        <v>219.78</v>
      </c>
    </row>
    <row r="96" s="27" customFormat="true" ht="12.5" hidden="false" customHeight="false" outlineLevel="0" collapsed="false">
      <c r="B96" s="28"/>
      <c r="C96" s="29" t="n">
        <v>23280</v>
      </c>
      <c r="D96" s="29" t="s">
        <v>226</v>
      </c>
      <c r="E96" s="29" t="s">
        <v>48</v>
      </c>
      <c r="F96" s="29" t="s">
        <v>73</v>
      </c>
      <c r="G96" s="30" t="s">
        <v>74</v>
      </c>
      <c r="H96" s="29" t="s">
        <v>32</v>
      </c>
      <c r="I96" s="31" t="n">
        <v>41002</v>
      </c>
      <c r="J96" s="32" t="n">
        <f aca="false">VALUE(MONTH(I96))</f>
        <v>4</v>
      </c>
      <c r="K96" s="33" t="n">
        <v>30</v>
      </c>
      <c r="L96" s="34" t="n">
        <v>6.99</v>
      </c>
      <c r="M96" s="35" t="n">
        <f aca="false">L96*K96</f>
        <v>209.7</v>
      </c>
    </row>
    <row r="97" s="27" customFormat="true" ht="12.5" hidden="false" customHeight="false" outlineLevel="0" collapsed="false">
      <c r="B97" s="28"/>
      <c r="C97" s="29" t="n">
        <v>23370</v>
      </c>
      <c r="D97" s="29" t="s">
        <v>227</v>
      </c>
      <c r="E97" s="29" t="s">
        <v>90</v>
      </c>
      <c r="F97" s="29" t="s">
        <v>164</v>
      </c>
      <c r="G97" s="30" t="s">
        <v>165</v>
      </c>
      <c r="H97" s="29" t="s">
        <v>38</v>
      </c>
      <c r="I97" s="31" t="n">
        <v>41028</v>
      </c>
      <c r="J97" s="32" t="n">
        <f aca="false">VALUE(MONTH(I97))</f>
        <v>4</v>
      </c>
      <c r="K97" s="33" t="n">
        <v>63</v>
      </c>
      <c r="L97" s="34" t="n">
        <v>3</v>
      </c>
      <c r="M97" s="35" t="n">
        <f aca="false">L97*K97</f>
        <v>189</v>
      </c>
    </row>
    <row r="98" s="27" customFormat="true" ht="12.5" hidden="false" customHeight="false" outlineLevel="0" collapsed="false">
      <c r="B98" s="28"/>
      <c r="C98" s="29" t="n">
        <v>23372</v>
      </c>
      <c r="D98" s="29" t="s">
        <v>228</v>
      </c>
      <c r="E98" s="29" t="s">
        <v>229</v>
      </c>
      <c r="F98" s="29" t="s">
        <v>128</v>
      </c>
      <c r="G98" s="30" t="s">
        <v>129</v>
      </c>
      <c r="H98" s="29" t="s">
        <v>32</v>
      </c>
      <c r="I98" s="31" t="n">
        <v>41255</v>
      </c>
      <c r="J98" s="32" t="n">
        <f aca="false">VALUE(MONTH(I98))</f>
        <v>12</v>
      </c>
      <c r="K98" s="33" t="n">
        <v>22</v>
      </c>
      <c r="L98" s="34" t="n">
        <v>6.5</v>
      </c>
      <c r="M98" s="35" t="n">
        <f aca="false">L98*K98</f>
        <v>143</v>
      </c>
    </row>
    <row r="99" s="27" customFormat="true" ht="12.5" hidden="false" customHeight="false" outlineLevel="0" collapsed="false">
      <c r="B99" s="28"/>
      <c r="C99" s="29" t="n">
        <v>23265</v>
      </c>
      <c r="D99" s="29" t="s">
        <v>230</v>
      </c>
      <c r="E99" s="29" t="s">
        <v>231</v>
      </c>
      <c r="F99" s="29" t="s">
        <v>49</v>
      </c>
      <c r="G99" s="30" t="s">
        <v>50</v>
      </c>
      <c r="H99" s="29" t="s">
        <v>38</v>
      </c>
      <c r="I99" s="31" t="n">
        <v>41248</v>
      </c>
      <c r="J99" s="32" t="n">
        <f aca="false">VALUE(MONTH(I99))</f>
        <v>12</v>
      </c>
      <c r="K99" s="33" t="n">
        <v>14</v>
      </c>
      <c r="L99" s="34" t="n">
        <v>9.99</v>
      </c>
      <c r="M99" s="35" t="n">
        <f aca="false">L99*K99</f>
        <v>139.86</v>
      </c>
    </row>
    <row r="100" s="27" customFormat="true" ht="12.5" hidden="false" customHeight="false" outlineLevel="0" collapsed="false">
      <c r="B100" s="28"/>
      <c r="C100" s="29" t="n">
        <v>23346</v>
      </c>
      <c r="D100" s="29" t="s">
        <v>232</v>
      </c>
      <c r="E100" s="29" t="s">
        <v>147</v>
      </c>
      <c r="F100" s="29" t="s">
        <v>49</v>
      </c>
      <c r="G100" s="30" t="s">
        <v>50</v>
      </c>
      <c r="H100" s="29" t="s">
        <v>32</v>
      </c>
      <c r="I100" s="31" t="n">
        <v>41119</v>
      </c>
      <c r="J100" s="32" t="n">
        <f aca="false">VALUE(MONTH(I100))</f>
        <v>7</v>
      </c>
      <c r="K100" s="33" t="n">
        <v>13</v>
      </c>
      <c r="L100" s="34" t="n">
        <v>9.99</v>
      </c>
      <c r="M100" s="35" t="n">
        <f aca="false">L100*K100</f>
        <v>129.87</v>
      </c>
    </row>
    <row r="101" s="27" customFormat="true" ht="12.5" hidden="false" customHeight="false" outlineLevel="0" collapsed="false">
      <c r="B101" s="28"/>
      <c r="C101" s="29" t="n">
        <v>23312</v>
      </c>
      <c r="D101" s="29" t="s">
        <v>233</v>
      </c>
      <c r="E101" s="29" t="s">
        <v>234</v>
      </c>
      <c r="F101" s="29" t="s">
        <v>115</v>
      </c>
      <c r="G101" s="30" t="s">
        <v>116</v>
      </c>
      <c r="H101" s="29" t="s">
        <v>32</v>
      </c>
      <c r="I101" s="31" t="n">
        <v>41096</v>
      </c>
      <c r="J101" s="32" t="n">
        <f aca="false">VALUE(MONTH(I101))</f>
        <v>7</v>
      </c>
      <c r="K101" s="33" t="n">
        <v>28</v>
      </c>
      <c r="L101" s="34" t="n">
        <v>3.99</v>
      </c>
      <c r="M101" s="35" t="n">
        <f aca="false">L101*K101</f>
        <v>111.72</v>
      </c>
    </row>
    <row r="102" s="27" customFormat="true" ht="12.5" hidden="false" customHeight="false" outlineLevel="0" collapsed="false">
      <c r="B102" s="28"/>
      <c r="C102" s="29" t="n">
        <v>23355</v>
      </c>
      <c r="D102" s="29" t="s">
        <v>235</v>
      </c>
      <c r="E102" s="29" t="s">
        <v>143</v>
      </c>
      <c r="F102" s="29" t="s">
        <v>101</v>
      </c>
      <c r="G102" s="30" t="s">
        <v>102</v>
      </c>
      <c r="H102" s="29" t="s">
        <v>32</v>
      </c>
      <c r="I102" s="31" t="n">
        <v>41026</v>
      </c>
      <c r="J102" s="32" t="n">
        <f aca="false">VALUE(MONTH(I102))</f>
        <v>4</v>
      </c>
      <c r="K102" s="33" t="n">
        <v>16</v>
      </c>
      <c r="L102" s="34" t="n">
        <v>4.5</v>
      </c>
      <c r="M102" s="35" t="n">
        <f aca="false">L102*K102</f>
        <v>72</v>
      </c>
    </row>
    <row r="103" s="27" customFormat="true" ht="12.5" hidden="false" customHeight="false" outlineLevel="0" collapsed="false">
      <c r="B103" s="28"/>
      <c r="C103" s="29" t="n">
        <v>23322</v>
      </c>
      <c r="D103" s="29" t="s">
        <v>236</v>
      </c>
      <c r="E103" s="29" t="s">
        <v>104</v>
      </c>
      <c r="F103" s="29" t="s">
        <v>164</v>
      </c>
      <c r="G103" s="30" t="s">
        <v>165</v>
      </c>
      <c r="H103" s="29" t="s">
        <v>38</v>
      </c>
      <c r="I103" s="31" t="n">
        <v>41009</v>
      </c>
      <c r="J103" s="32" t="n">
        <f aca="false">VALUE(MONTH(I103))</f>
        <v>4</v>
      </c>
      <c r="K103" s="33" t="n">
        <v>20</v>
      </c>
      <c r="L103" s="34" t="n">
        <v>3</v>
      </c>
      <c r="M103" s="35" t="n">
        <f aca="false">L103*K103</f>
        <v>60</v>
      </c>
    </row>
    <row r="104" s="27" customFormat="true" ht="12.5" hidden="false" customHeight="false" outlineLevel="0" collapsed="false">
      <c r="B104" s="28"/>
      <c r="C104" s="29" t="n">
        <v>23298</v>
      </c>
      <c r="D104" s="29" t="s">
        <v>237</v>
      </c>
      <c r="E104" s="29" t="s">
        <v>238</v>
      </c>
      <c r="F104" s="29" t="s">
        <v>101</v>
      </c>
      <c r="G104" s="30" t="s">
        <v>102</v>
      </c>
      <c r="H104" s="29" t="s">
        <v>35</v>
      </c>
      <c r="I104" s="31" t="n">
        <v>41118</v>
      </c>
      <c r="J104" s="32" t="n">
        <f aca="false">VALUE(MONTH(I104))</f>
        <v>7</v>
      </c>
      <c r="K104" s="33" t="n">
        <v>12</v>
      </c>
      <c r="L104" s="34" t="n">
        <v>4.5</v>
      </c>
      <c r="M104" s="35" t="n">
        <f aca="false">L104*K104</f>
        <v>54</v>
      </c>
    </row>
    <row r="105" s="27" customFormat="true" ht="12.5" hidden="false" customHeight="false" outlineLevel="0" collapsed="false">
      <c r="B105" s="28"/>
      <c r="C105" s="29" t="n">
        <v>23367</v>
      </c>
      <c r="D105" s="29" t="s">
        <v>239</v>
      </c>
      <c r="E105" s="29" t="s">
        <v>240</v>
      </c>
      <c r="F105" s="29" t="s">
        <v>101</v>
      </c>
      <c r="G105" s="30" t="s">
        <v>102</v>
      </c>
      <c r="H105" s="29" t="s">
        <v>38</v>
      </c>
      <c r="I105" s="31" t="n">
        <v>41023</v>
      </c>
      <c r="J105" s="32" t="n">
        <f aca="false">VALUE(MONTH(I105))</f>
        <v>4</v>
      </c>
      <c r="K105" s="33" t="n">
        <v>10</v>
      </c>
      <c r="L105" s="34" t="n">
        <v>4.5</v>
      </c>
      <c r="M105" s="35" t="n">
        <f aca="false">L105*K105</f>
        <v>45</v>
      </c>
    </row>
    <row r="106" s="27" customFormat="true" ht="12.5" hidden="false" customHeight="false" outlineLevel="0" collapsed="false">
      <c r="B106" s="28"/>
      <c r="C106" s="29" t="n">
        <v>23334</v>
      </c>
      <c r="D106" s="29" t="s">
        <v>241</v>
      </c>
      <c r="E106" s="29" t="s">
        <v>135</v>
      </c>
      <c r="F106" s="29" t="s">
        <v>164</v>
      </c>
      <c r="G106" s="30" t="s">
        <v>165</v>
      </c>
      <c r="H106" s="29" t="s">
        <v>32</v>
      </c>
      <c r="I106" s="31" t="n">
        <v>41260</v>
      </c>
      <c r="J106" s="32" t="n">
        <f aca="false">VALUE(MONTH(I106))</f>
        <v>12</v>
      </c>
      <c r="K106" s="33" t="n">
        <v>14</v>
      </c>
      <c r="L106" s="34" t="n">
        <v>3</v>
      </c>
      <c r="M106" s="35" t="n">
        <f aca="false">L106*K106</f>
        <v>42</v>
      </c>
    </row>
    <row r="107" s="27" customFormat="true" ht="12.5" hidden="false" customHeight="false" outlineLevel="0" collapsed="false">
      <c r="B107" s="28"/>
      <c r="C107" s="29" t="n">
        <v>23285</v>
      </c>
      <c r="D107" s="29" t="s">
        <v>242</v>
      </c>
      <c r="E107" s="29" t="s">
        <v>155</v>
      </c>
      <c r="F107" s="29" t="s">
        <v>125</v>
      </c>
      <c r="G107" s="30" t="s">
        <v>126</v>
      </c>
      <c r="H107" s="29" t="s">
        <v>38</v>
      </c>
      <c r="I107" s="31" t="n">
        <v>41114</v>
      </c>
      <c r="J107" s="32" t="n">
        <f aca="false">VALUE(MONTH(I107))</f>
        <v>7</v>
      </c>
      <c r="K107" s="33" t="n">
        <v>9</v>
      </c>
      <c r="L107" s="34" t="n">
        <v>4.5</v>
      </c>
      <c r="M107" s="35" t="n">
        <f aca="false">L107*K107</f>
        <v>40.5</v>
      </c>
    </row>
    <row r="108" s="27" customFormat="true" ht="12.5" hidden="false" customHeight="false" outlineLevel="0" collapsed="false">
      <c r="B108" s="28"/>
      <c r="C108" s="29" t="n">
        <v>23375</v>
      </c>
      <c r="D108" s="29" t="s">
        <v>243</v>
      </c>
      <c r="E108" s="29" t="s">
        <v>143</v>
      </c>
      <c r="F108" s="29" t="s">
        <v>73</v>
      </c>
      <c r="G108" s="30" t="s">
        <v>74</v>
      </c>
      <c r="H108" s="29" t="s">
        <v>38</v>
      </c>
      <c r="I108" s="31" t="n">
        <v>41029</v>
      </c>
      <c r="J108" s="32" t="n">
        <f aca="false">VALUE(MONTH(I108))</f>
        <v>4</v>
      </c>
      <c r="K108" s="33" t="n">
        <v>5</v>
      </c>
      <c r="L108" s="34" t="n">
        <v>6.99</v>
      </c>
      <c r="M108" s="35" t="n">
        <f aca="false">L108*K108</f>
        <v>34.95</v>
      </c>
    </row>
    <row r="109" s="27" customFormat="true" ht="12.5" hidden="false" customHeight="false" outlineLevel="0" collapsed="false">
      <c r="B109" s="28"/>
      <c r="C109" s="29" t="n">
        <v>23336</v>
      </c>
      <c r="D109" s="29" t="s">
        <v>244</v>
      </c>
      <c r="E109" s="29" t="s">
        <v>245</v>
      </c>
      <c r="F109" s="29" t="s">
        <v>125</v>
      </c>
      <c r="G109" s="30" t="s">
        <v>126</v>
      </c>
      <c r="H109" s="29" t="s">
        <v>38</v>
      </c>
      <c r="I109" s="31" t="n">
        <v>41091</v>
      </c>
      <c r="J109" s="32" t="n">
        <f aca="false">VALUE(MONTH(I109))</f>
        <v>7</v>
      </c>
      <c r="K109" s="33" t="n">
        <v>7</v>
      </c>
      <c r="L109" s="34" t="n">
        <v>4.5</v>
      </c>
      <c r="M109" s="35" t="n">
        <f aca="false">L109*K109</f>
        <v>31.5</v>
      </c>
    </row>
    <row r="110" s="27" customFormat="true" ht="12.5" hidden="false" customHeight="false" outlineLevel="0" collapsed="false">
      <c r="B110" s="28"/>
      <c r="C110" s="29" t="n">
        <v>23279</v>
      </c>
      <c r="D110" s="29" t="s">
        <v>246</v>
      </c>
      <c r="E110" s="29" t="s">
        <v>219</v>
      </c>
      <c r="F110" s="29" t="s">
        <v>164</v>
      </c>
      <c r="G110" s="30" t="s">
        <v>165</v>
      </c>
      <c r="H110" s="29" t="s">
        <v>32</v>
      </c>
      <c r="I110" s="31" t="n">
        <v>41020</v>
      </c>
      <c r="J110" s="32" t="n">
        <f aca="false">VALUE(MONTH(I110))</f>
        <v>4</v>
      </c>
      <c r="K110" s="33" t="n">
        <v>10</v>
      </c>
      <c r="L110" s="34" t="n">
        <v>3</v>
      </c>
      <c r="M110" s="35" t="n">
        <f aca="false">L110*K110</f>
        <v>30</v>
      </c>
    </row>
  </sheetData>
  <autoFilter ref="C3:M110"/>
  <conditionalFormatting sqref="C4:M110">
    <cfRule type="expression" priority="2" aboveAverage="0" equalAverage="0" bottom="0" percent="0" rank="0" text="" dxfId="0">
      <formula>MOD(ROW(C4),2)</formula>
    </cfRule>
  </conditionalFormatting>
  <printOptions headings="false" gridLines="false" gridLinesSet="true" horizontalCentered="false" verticalCentered="false"/>
  <pageMargins left="0.45" right="0.45" top="0.75" bottom="0.75" header="0.3" footer="0.3"/>
  <pageSetup paperSize="3" scale="74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&amp;LPwC Confidential&amp;C&amp;F - &amp;A&amp;RPreliminary</oddHeader>
    <oddFooter>&amp;LPrepared by James M. Larmer
Email: james.m.larmer@us.pwc.com&amp;CPage &amp;P of &amp;N&amp;RPrinted: &amp;D
&amp;T</oddFooter>
  </headerFooter>
  <rowBreaks count="1" manualBreakCount="1">
    <brk id="57" man="true" max="16383" min="0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7"/>
  <sheetViews>
    <sheetView showFormulas="false" showGridLines="false" showRowColHeaders="true" showZeros="true" rightToLeft="false" tabSelected="false" showOutlineSymbols="true" defaultGridColor="true" view="normal" topLeftCell="A4" colorId="64" zoomScale="80" zoomScaleNormal="80" zoomScalePageLayoutView="100" workbookViewId="0">
      <selection pane="topLeft" activeCell="G161" activeCellId="0" sqref="G161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8" min="6" style="2" width="15.33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1" min="11" style="2" width="14.33"/>
    <col collapsed="false" customWidth="true" hidden="false" outlineLevel="0" max="1025" min="12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1 - Create Pivot Table</v>
      </c>
    </row>
    <row r="7" customFormat="false" ht="27.65" hidden="false" customHeight="true" outlineLevel="0" collapsed="false">
      <c r="B7" s="43" t="s">
        <v>247</v>
      </c>
    </row>
    <row r="8" customFormat="false" ht="18" hidden="true" customHeight="true" outlineLevel="1" collapsed="false">
      <c r="F8" s="44" t="s">
        <v>248</v>
      </c>
    </row>
    <row r="9" customFormat="false" ht="53.15" hidden="true" customHeight="true" outlineLevel="1" collapsed="false">
      <c r="F9" s="45" t="s">
        <v>249</v>
      </c>
      <c r="G9" s="0"/>
    </row>
    <row r="10" customFormat="false" ht="53.15" hidden="true" customHeight="true" outlineLevel="1" collapsed="false">
      <c r="F10" s="46" t="s">
        <v>17</v>
      </c>
      <c r="G10" s="47" t="s">
        <v>250</v>
      </c>
    </row>
    <row r="11" customFormat="false" ht="66" hidden="true" customHeight="true" outlineLevel="1" collapsed="false">
      <c r="F11" s="46" t="s">
        <v>18</v>
      </c>
      <c r="G11" s="47" t="s">
        <v>250</v>
      </c>
    </row>
    <row r="12" customFormat="false" ht="26.5" hidden="true" customHeight="true" outlineLevel="1" collapsed="false">
      <c r="F12" s="46" t="s">
        <v>19</v>
      </c>
      <c r="G12" s="47" t="s">
        <v>250</v>
      </c>
    </row>
    <row r="13" customFormat="false" ht="53.15" hidden="true" customHeight="true" outlineLevel="1" collapsed="false">
      <c r="F13" s="46" t="s">
        <v>20</v>
      </c>
      <c r="G13" s="47" t="s">
        <v>250</v>
      </c>
    </row>
    <row r="14" customFormat="false" ht="13.4" hidden="true" customHeight="true" outlineLevel="1" collapsed="false">
      <c r="F14" s="0"/>
      <c r="G14" s="0"/>
    </row>
    <row r="15" customFormat="false" ht="13.4" hidden="true" customHeight="true" outlineLevel="1" collapsed="false">
      <c r="F15" s="48" t="s">
        <v>251</v>
      </c>
      <c r="G15" s="49"/>
    </row>
    <row r="16" customFormat="false" ht="13.4" hidden="true" customHeight="true" outlineLevel="1" collapsed="false">
      <c r="F16" s="50"/>
      <c r="G16" s="51"/>
    </row>
    <row r="17" customFormat="false" ht="13.4" hidden="true" customHeight="true" outlineLevel="1" collapsed="false"/>
    <row r="18" customFormat="false" ht="13.4" hidden="true" customHeight="true" outlineLevel="1" collapsed="false"/>
    <row r="19" customFormat="false" ht="13.4" hidden="true" customHeight="true" outlineLevel="1" collapsed="false"/>
    <row r="20" customFormat="false" ht="13.4" hidden="true" customHeight="true" outlineLevel="1" collapsed="false"/>
    <row r="21" customFormat="false" ht="13.4" hidden="true" customHeight="true" outlineLevel="1" collapsed="false"/>
    <row r="22" customFormat="false" ht="13.4" hidden="true" customHeight="true" outlineLevel="1" collapsed="false"/>
    <row r="23" customFormat="false" ht="13.4" hidden="true" customHeight="true" outlineLevel="1" collapsed="false"/>
    <row r="24" customFormat="false" ht="13.4" hidden="true" customHeight="true" outlineLevel="1" collapsed="false"/>
    <row r="25" customFormat="false" ht="13.4" hidden="true" customHeight="true" outlineLevel="1" collapsed="false"/>
    <row r="26" customFormat="false" ht="13.4" hidden="true" customHeight="true" outlineLevel="1" collapsed="false"/>
    <row r="27" customFormat="false" ht="13.4" hidden="true" customHeight="true" outlineLevel="1" collapsed="false"/>
    <row r="28" customFormat="false" ht="13.4" hidden="true" customHeight="true" outlineLevel="1" collapsed="false"/>
    <row r="29" customFormat="false" ht="13.4" hidden="true" customHeight="true" outlineLevel="1" collapsed="false"/>
    <row r="30" customFormat="false" ht="13.4" hidden="true" customHeight="true" outlineLevel="1" collapsed="false"/>
    <row r="31" customFormat="false" ht="13.4" hidden="true" customHeight="true" outlineLevel="1" collapsed="false"/>
    <row r="32" customFormat="false" ht="13.4" hidden="true" customHeight="true" outlineLevel="1" collapsed="false"/>
    <row r="33" customFormat="false" ht="13.4" hidden="true" customHeight="true" outlineLevel="1" collapsed="false"/>
    <row r="34" customFormat="false" ht="13.4" hidden="true" customHeight="true" outlineLevel="1" collapsed="false"/>
    <row r="35" customFormat="false" ht="13.4" hidden="true" customHeight="true" outlineLevel="1" collapsed="false"/>
    <row r="36" customFormat="false" ht="13.4" hidden="true" customHeight="true" outlineLevel="1" collapsed="false"/>
    <row r="37" customFormat="false" ht="13.4" hidden="true" customHeight="true" outlineLevel="1" collapsed="false"/>
    <row r="38" customFormat="false" ht="13.4" hidden="true" customHeight="true" outlineLevel="1" collapsed="false"/>
    <row r="39" customFormat="false" ht="13.4" hidden="true" customHeight="true" outlineLevel="1" collapsed="false"/>
    <row r="40" customFormat="false" ht="13.4" hidden="true" customHeight="true" outlineLevel="1" collapsed="false"/>
    <row r="41" customFormat="false" ht="13.4" hidden="true" customHeight="true" outlineLevel="1" collapsed="false"/>
    <row r="42" customFormat="false" ht="13.4" hidden="true" customHeight="true" outlineLevel="1" collapsed="false"/>
    <row r="43" customFormat="false" ht="13.4" hidden="true" customHeight="true" outlineLevel="1" collapsed="false"/>
    <row r="44" customFormat="false" ht="13.4" hidden="true" customHeight="true" outlineLevel="1" collapsed="false"/>
    <row r="45" customFormat="false" ht="13.4" hidden="true" customHeight="true" outlineLevel="1" collapsed="false"/>
    <row r="46" customFormat="false" ht="13.4" hidden="true" customHeight="true" outlineLevel="1" collapsed="false"/>
    <row r="47" customFormat="false" ht="13.4" hidden="true" customHeight="true" outlineLevel="1" collapsed="false"/>
    <row r="48" customFormat="false" ht="13.4" hidden="true" customHeight="true" outlineLevel="1" collapsed="false"/>
    <row r="49" customFormat="false" ht="13.4" hidden="true" customHeight="true" outlineLevel="1" collapsed="false"/>
    <row r="50" customFormat="false" ht="13.4" hidden="true" customHeight="true" outlineLevel="1" collapsed="false"/>
    <row r="51" customFormat="false" ht="13.4" hidden="true" customHeight="true" outlineLevel="1" collapsed="false"/>
    <row r="52" customFormat="false" ht="13.4" hidden="true" customHeight="true" outlineLevel="1" collapsed="false"/>
    <row r="53" customFormat="false" ht="13.4" hidden="true" customHeight="true" outlineLevel="1" collapsed="false"/>
    <row r="54" customFormat="false" ht="13.4" hidden="true" customHeight="true" outlineLevel="1" collapsed="false"/>
    <row r="55" customFormat="false" ht="13.4" hidden="true" customHeight="true" outlineLevel="1" collapsed="false"/>
    <row r="56" customFormat="false" ht="13.4" hidden="true" customHeight="true" outlineLevel="1" collapsed="false"/>
    <row r="57" customFormat="false" ht="13.4" hidden="true" customHeight="true" outlineLevel="1" collapsed="false"/>
    <row r="58" customFormat="false" ht="13.4" hidden="true" customHeight="true" outlineLevel="1" collapsed="false"/>
    <row r="59" customFormat="false" ht="13.4" hidden="true" customHeight="true" outlineLevel="1" collapsed="false"/>
    <row r="60" customFormat="false" ht="13.4" hidden="true" customHeight="true" outlineLevel="1" collapsed="false"/>
    <row r="61" customFormat="false" ht="13.4" hidden="true" customHeight="true" outlineLevel="1" collapsed="false"/>
    <row r="62" customFormat="false" ht="13.4" hidden="true" customHeight="true" outlineLevel="1" collapsed="false"/>
    <row r="63" customFormat="false" ht="13.4" hidden="true" customHeight="true" outlineLevel="1" collapsed="false"/>
    <row r="64" customFormat="false" ht="13.4" hidden="true" customHeight="true" outlineLevel="1" collapsed="false"/>
    <row r="65" customFormat="false" ht="13.4" hidden="true" customHeight="true" outlineLevel="1" collapsed="false"/>
    <row r="66" customFormat="false" ht="13.4" hidden="true" customHeight="true" outlineLevel="1" collapsed="false"/>
    <row r="67" customFormat="false" ht="13.4" hidden="true" customHeight="true" outlineLevel="1" collapsed="false"/>
    <row r="68" customFormat="false" ht="13.4" hidden="true" customHeight="true" outlineLevel="1" collapsed="false"/>
    <row r="69" customFormat="false" ht="13.4" hidden="true" customHeight="true" outlineLevel="1" collapsed="false"/>
    <row r="70" customFormat="false" ht="13.4" hidden="true" customHeight="true" outlineLevel="1" collapsed="false"/>
    <row r="71" customFormat="false" ht="13.4" hidden="true" customHeight="true" outlineLevel="1" collapsed="false"/>
    <row r="72" customFormat="false" ht="13.4" hidden="true" customHeight="true" outlineLevel="1" collapsed="false"/>
    <row r="73" customFormat="false" ht="13.4" hidden="true" customHeight="true" outlineLevel="1" collapsed="false"/>
    <row r="74" customFormat="false" ht="13.4" hidden="true" customHeight="true" outlineLevel="1" collapsed="false"/>
    <row r="75" customFormat="false" ht="13.4" hidden="true" customHeight="true" outlineLevel="1" collapsed="false"/>
    <row r="76" customFormat="false" ht="13.4" hidden="true" customHeight="true" outlineLevel="1" collapsed="false"/>
    <row r="77" customFormat="false" ht="13.4" hidden="true" customHeight="true" outlineLevel="1" collapsed="false"/>
    <row r="78" customFormat="false" ht="13.4" hidden="true" customHeight="true" outlineLevel="1" collapsed="false"/>
    <row r="79" customFormat="false" ht="13.4" hidden="true" customHeight="true" outlineLevel="1" collapsed="false"/>
    <row r="80" customFormat="false" ht="13.4" hidden="true" customHeight="true" outlineLevel="1" collapsed="false"/>
    <row r="81" customFormat="false" ht="13.4" hidden="true" customHeight="true" outlineLevel="1" collapsed="false"/>
    <row r="82" customFormat="false" ht="13.4" hidden="true" customHeight="true" outlineLevel="1" collapsed="false"/>
    <row r="83" customFormat="false" ht="13.4" hidden="true" customHeight="true" outlineLevel="1" collapsed="false"/>
    <row r="84" customFormat="false" ht="13.4" hidden="true" customHeight="true" outlineLevel="1" collapsed="false"/>
    <row r="85" customFormat="false" ht="13.4" hidden="true" customHeight="true" outlineLevel="1" collapsed="false"/>
    <row r="86" customFormat="false" ht="13.4" hidden="true" customHeight="true" outlineLevel="1" collapsed="false"/>
    <row r="87" customFormat="false" ht="13.4" hidden="true" customHeight="true" outlineLevel="1" collapsed="false"/>
    <row r="88" customFormat="false" ht="13.4" hidden="true" customHeight="true" outlineLevel="1" collapsed="false"/>
    <row r="89" customFormat="false" ht="13.4" hidden="true" customHeight="true" outlineLevel="1" collapsed="false"/>
    <row r="90" customFormat="false" ht="13.4" hidden="true" customHeight="true" outlineLevel="1" collapsed="false"/>
    <row r="91" customFormat="false" ht="13.4" hidden="true" customHeight="true" outlineLevel="1" collapsed="false"/>
    <row r="92" customFormat="false" ht="13.4" hidden="true" customHeight="true" outlineLevel="1" collapsed="false"/>
    <row r="93" customFormat="false" ht="13.4" hidden="true" customHeight="true" outlineLevel="1" collapsed="false"/>
    <row r="94" customFormat="false" ht="13.4" hidden="true" customHeight="true" outlineLevel="1" collapsed="false"/>
    <row r="95" customFormat="false" ht="13.4" hidden="true" customHeight="true" outlineLevel="1" collapsed="false"/>
    <row r="96" customFormat="false" ht="13.4" hidden="true" customHeight="true" outlineLevel="1" collapsed="false"/>
    <row r="97" customFormat="false" ht="13.4" hidden="true" customHeight="true" outlineLevel="1" collapsed="false"/>
    <row r="98" customFormat="false" ht="13.4" hidden="true" customHeight="true" outlineLevel="1" collapsed="false"/>
    <row r="99" customFormat="false" ht="13.4" hidden="true" customHeight="true" outlineLevel="1" collapsed="false"/>
    <row r="100" customFormat="false" ht="13.4" hidden="true" customHeight="true" outlineLevel="1" collapsed="false"/>
    <row r="101" customFormat="false" ht="13.4" hidden="true" customHeight="true" outlineLevel="1" collapsed="false"/>
    <row r="102" customFormat="false" ht="13.4" hidden="true" customHeight="true" outlineLevel="1" collapsed="false"/>
    <row r="103" customFormat="false" ht="13.4" hidden="true" customHeight="true" outlineLevel="1" collapsed="false"/>
    <row r="104" customFormat="false" ht="13.4" hidden="true" customHeight="true" outlineLevel="1" collapsed="false"/>
    <row r="105" customFormat="false" ht="13.4" hidden="true" customHeight="true" outlineLevel="1" collapsed="false"/>
    <row r="106" customFormat="false" ht="13.4" hidden="true" customHeight="true" outlineLevel="1" collapsed="false"/>
    <row r="107" customFormat="false" ht="13.4" hidden="true" customHeight="true" outlineLevel="1" collapsed="false"/>
    <row r="108" customFormat="false" ht="13.4" hidden="true" customHeight="true" outlineLevel="1" collapsed="false"/>
    <row r="109" customFormat="false" ht="13.4" hidden="true" customHeight="true" outlineLevel="1" collapsed="false"/>
    <row r="110" customFormat="false" ht="13.4" hidden="true" customHeight="true" outlineLevel="1" collapsed="false"/>
    <row r="111" customFormat="false" ht="13.4" hidden="true" customHeight="true" outlineLevel="1" collapsed="false"/>
    <row r="112" customFormat="false" ht="13.4" hidden="true" customHeight="true" outlineLevel="1" collapsed="false"/>
    <row r="113" customFormat="false" ht="13.4" hidden="true" customHeight="true" outlineLevel="1" collapsed="false"/>
    <row r="114" customFormat="false" ht="13.4" hidden="true" customHeight="true" outlineLevel="1" collapsed="false"/>
    <row r="115" customFormat="false" ht="13.4" hidden="true" customHeight="true" outlineLevel="1" collapsed="false"/>
    <row r="116" customFormat="false" ht="13.4" hidden="true" customHeight="true" outlineLevel="1" collapsed="false"/>
    <row r="117" customFormat="false" ht="13.4" hidden="true" customHeight="true" outlineLevel="1" collapsed="false"/>
    <row r="118" customFormat="false" ht="13.4" hidden="true" customHeight="true" outlineLevel="1" collapsed="false"/>
    <row r="119" customFormat="false" ht="13.4" hidden="true" customHeight="true" outlineLevel="1" collapsed="false"/>
    <row r="120" customFormat="false" ht="13.4" hidden="true" customHeight="true" outlineLevel="1" collapsed="false"/>
    <row r="121" customFormat="false" ht="13.4" hidden="true" customHeight="true" outlineLevel="1" collapsed="false"/>
    <row r="122" customFormat="false" ht="13.4" hidden="true" customHeight="true" outlineLevel="1" collapsed="false"/>
    <row r="123" customFormat="false" ht="13.4" hidden="true" customHeight="true" outlineLevel="1" collapsed="false"/>
    <row r="124" customFormat="false" ht="13.4" hidden="true" customHeight="true" outlineLevel="1" collapsed="false"/>
    <row r="125" customFormat="false" ht="13.4" hidden="true" customHeight="true" outlineLevel="1" collapsed="false"/>
    <row r="126" customFormat="false" ht="13.4" hidden="true" customHeight="true" outlineLevel="1" collapsed="false"/>
    <row r="127" customFormat="false" ht="13.4" hidden="true" customHeight="true" outlineLevel="1" collapsed="false"/>
    <row r="128" customFormat="false" ht="13.4" hidden="true" customHeight="true" outlineLevel="1" collapsed="false"/>
    <row r="129" customFormat="false" ht="13.4" hidden="true" customHeight="true" outlineLevel="1" collapsed="false"/>
    <row r="130" customFormat="false" ht="13.4" hidden="true" customHeight="true" outlineLevel="1" collapsed="false"/>
    <row r="131" customFormat="false" ht="13.4" hidden="true" customHeight="true" outlineLevel="1" collapsed="false"/>
    <row r="132" customFormat="false" ht="13.4" hidden="true" customHeight="true" outlineLevel="1" collapsed="false"/>
    <row r="133" customFormat="false" ht="13.4" hidden="true" customHeight="true" outlineLevel="1" collapsed="false"/>
    <row r="134" customFormat="false" ht="13.4" hidden="true" customHeight="true" outlineLevel="1" collapsed="false"/>
    <row r="135" customFormat="false" ht="13.4" hidden="true" customHeight="true" outlineLevel="1" collapsed="false"/>
    <row r="136" customFormat="false" ht="13.4" hidden="true" customHeight="true" outlineLevel="1" collapsed="false"/>
    <row r="137" customFormat="false" ht="13.4" hidden="true" customHeight="true" outlineLevel="1" collapsed="false"/>
    <row r="138" customFormat="false" ht="13.4" hidden="true" customHeight="true" outlineLevel="1" collapsed="false"/>
    <row r="139" customFormat="false" ht="13.4" hidden="true" customHeight="true" outlineLevel="1" collapsed="false"/>
    <row r="140" customFormat="false" ht="13.4" hidden="true" customHeight="true" outlineLevel="1" collapsed="false"/>
    <row r="141" customFormat="false" ht="13.4" hidden="true" customHeight="true" outlineLevel="1" collapsed="false"/>
    <row r="142" customFormat="false" ht="13.4" hidden="true" customHeight="true" outlineLevel="1" collapsed="false"/>
    <row r="143" customFormat="false" ht="13.4" hidden="true" customHeight="true" outlineLevel="1" collapsed="false"/>
    <row r="144" customFormat="false" ht="13.4" hidden="true" customHeight="true" outlineLevel="1" collapsed="false"/>
    <row r="145" customFormat="false" ht="13.4" hidden="true" customHeight="true" outlineLevel="1" collapsed="false"/>
    <row r="146" customFormat="false" ht="13.4" hidden="true" customHeight="true" outlineLevel="1" collapsed="false"/>
    <row r="147" customFormat="false" ht="13.4" hidden="true" customHeight="true" outlineLevel="1" collapsed="false"/>
    <row r="148" customFormat="false" ht="13.4" hidden="true" customHeight="true" outlineLevel="1" collapsed="false"/>
    <row r="149" customFormat="false" ht="13.4" hidden="true" customHeight="true" outlineLevel="1" collapsed="false"/>
    <row r="150" customFormat="false" ht="13.4" hidden="true" customHeight="true" outlineLevel="1" collapsed="false"/>
    <row r="151" customFormat="false" ht="13.4" hidden="true" customHeight="true" outlineLevel="1" collapsed="false"/>
    <row r="152" customFormat="false" ht="13.4" hidden="true" customHeight="true" outlineLevel="1" collapsed="false"/>
    <row r="153" customFormat="false" ht="13.4" hidden="true" customHeight="true" outlineLevel="1" collapsed="false"/>
    <row r="154" customFormat="false" ht="13.4" hidden="true" customHeight="true" outlineLevel="1" collapsed="false"/>
    <row r="155" customFormat="false" ht="11.5" hidden="true" customHeight="true" outlineLevel="1" collapsed="false"/>
    <row r="156" customFormat="false" ht="13.4" hidden="true" customHeight="true" outlineLevel="1" collapsed="false"/>
    <row r="157" customFormat="false" ht="13.4" hidden="true" customHeight="true" outlineLevel="1" collapsed="false"/>
    <row r="158" customFormat="false" ht="18.5" hidden="false" customHeight="false" outlineLevel="0" collapsed="false">
      <c r="B158" s="43" t="s">
        <v>252</v>
      </c>
    </row>
    <row r="159" customFormat="false" ht="13.4" hidden="false" customHeight="true" outlineLevel="1" collapsed="false">
      <c r="F159" s="44" t="s">
        <v>253</v>
      </c>
    </row>
    <row r="160" customFormat="false" ht="26.5" hidden="false" customHeight="true" outlineLevel="1" collapsed="false"/>
    <row r="161" customFormat="false" ht="26.5" hidden="false" customHeight="true" outlineLevel="1" collapsed="false">
      <c r="G161" s="46" t="s">
        <v>22</v>
      </c>
      <c r="H161" s="47" t="s">
        <v>250</v>
      </c>
    </row>
    <row r="162" customFormat="false" ht="13.4" hidden="false" customHeight="true" outlineLevel="1" collapsed="false">
      <c r="G162" s="46" t="s">
        <v>23</v>
      </c>
      <c r="H162" s="47" t="s">
        <v>250</v>
      </c>
    </row>
    <row r="163" customFormat="false" ht="13.4" hidden="false" customHeight="true" outlineLevel="1" collapsed="false">
      <c r="G163" s="0"/>
      <c r="H163" s="0"/>
    </row>
    <row r="164" customFormat="false" ht="13.4" hidden="false" customHeight="true" outlineLevel="1" collapsed="false">
      <c r="G164" s="48" t="s">
        <v>251</v>
      </c>
      <c r="H164" s="49"/>
    </row>
    <row r="165" customFormat="false" ht="13.4" hidden="false" customHeight="true" outlineLevel="1" collapsed="false">
      <c r="G165" s="50"/>
      <c r="H165" s="51"/>
    </row>
    <row r="166" customFormat="false" ht="13.4" hidden="false" customHeight="true" outlineLevel="1" collapsed="false"/>
    <row r="167" customFormat="false" ht="13.4" hidden="false" customHeight="true" outlineLevel="1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P58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L10" activeCellId="0" sqref="L10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18.67"/>
    <col collapsed="false" customWidth="true" hidden="false" outlineLevel="0" max="7" min="7" style="2" width="20.77"/>
    <col collapsed="false" customWidth="true" hidden="false" outlineLevel="0" max="8" min="8" style="2" width="15.33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6" min="11" style="2" width="9.34"/>
    <col collapsed="false" customWidth="true" hidden="false" outlineLevel="0" max="17" min="17" style="2" width="18.67"/>
    <col collapsed="false" customWidth="true" hidden="false" outlineLevel="0" max="19" min="18" style="2" width="20.77"/>
    <col collapsed="false" customWidth="true" hidden="false" outlineLevel="0" max="1025" min="20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1 - Create Table (ANS)</v>
      </c>
    </row>
    <row r="5" customFormat="false" ht="12.5" hidden="false" customHeight="false" outlineLevel="0" collapsed="false">
      <c r="P5" s="52"/>
    </row>
    <row r="6" customFormat="false" ht="13" hidden="false" customHeight="false" outlineLevel="0" collapsed="false"/>
    <row r="7" customFormat="false" ht="18.5" hidden="false" customHeight="false" outlineLevel="0" collapsed="false">
      <c r="B7" s="43" t="s">
        <v>247</v>
      </c>
    </row>
    <row r="8" customFormat="false" ht="13" hidden="false" customHeight="false" outlineLevel="1" collapsed="false">
      <c r="F8" s="44" t="s">
        <v>248</v>
      </c>
    </row>
    <row r="9" customFormat="false" ht="13" hidden="false" customHeight="false" outlineLevel="1" collapsed="false"/>
    <row r="10" customFormat="false" ht="13" hidden="false" customHeight="false" outlineLevel="1" collapsed="false">
      <c r="F10" s="53" t="s">
        <v>251</v>
      </c>
      <c r="G10" s="0"/>
      <c r="H10" s="0"/>
    </row>
    <row r="11" customFormat="false" ht="13" hidden="false" customHeight="false" outlineLevel="1" collapsed="false">
      <c r="F11" s="54"/>
      <c r="G11" s="0"/>
      <c r="H11" s="0"/>
    </row>
    <row r="12" customFormat="false" ht="13" hidden="false" customHeight="false" outlineLevel="1" collapsed="false">
      <c r="F12" s="0"/>
      <c r="G12" s="0"/>
      <c r="H12" s="0"/>
    </row>
    <row r="13" customFormat="false" ht="13" hidden="false" customHeight="false" outlineLevel="1" collapsed="false">
      <c r="F13" s="0"/>
      <c r="G13" s="0"/>
      <c r="H13" s="0"/>
    </row>
    <row r="14" customFormat="false" ht="13" hidden="false" customHeight="false" outlineLevel="1" collapsed="false">
      <c r="F14" s="0"/>
      <c r="G14" s="0"/>
      <c r="H14" s="0"/>
    </row>
    <row r="15" customFormat="false" ht="13" hidden="false" customHeight="false" outlineLevel="1" collapsed="false">
      <c r="F15" s="0"/>
      <c r="G15" s="0"/>
      <c r="H15" s="0"/>
    </row>
    <row r="16" customFormat="false" ht="13" hidden="false" customHeight="false" outlineLevel="1" collapsed="false">
      <c r="F16" s="0"/>
      <c r="G16" s="0"/>
      <c r="H16" s="0"/>
    </row>
    <row r="17" customFormat="false" ht="13" hidden="false" customHeight="false" outlineLevel="1" collapsed="false">
      <c r="F17" s="0"/>
      <c r="G17" s="0"/>
      <c r="H17" s="0"/>
    </row>
    <row r="18" customFormat="false" ht="13" hidden="false" customHeight="false" outlineLevel="1" collapsed="false">
      <c r="F18" s="0"/>
      <c r="G18" s="0"/>
      <c r="H18" s="0"/>
    </row>
    <row r="19" customFormat="false" ht="13" hidden="false" customHeight="false" outlineLevel="1" collapsed="false">
      <c r="F19" s="0"/>
      <c r="G19" s="0"/>
      <c r="H19" s="0"/>
    </row>
    <row r="20" customFormat="false" ht="13" hidden="false" customHeight="false" outlineLevel="1" collapsed="false">
      <c r="F20" s="0"/>
      <c r="G20" s="0"/>
      <c r="H20" s="0"/>
    </row>
    <row r="21" customFormat="false" ht="13" hidden="false" customHeight="false" outlineLevel="1" collapsed="false">
      <c r="F21" s="0"/>
      <c r="G21" s="0"/>
      <c r="H21" s="0"/>
    </row>
    <row r="22" customFormat="false" ht="13" hidden="false" customHeight="false" outlineLevel="1" collapsed="false">
      <c r="F22" s="0"/>
      <c r="G22" s="0"/>
      <c r="H22" s="0"/>
    </row>
    <row r="23" customFormat="false" ht="13" hidden="false" customHeight="false" outlineLevel="1" collapsed="false">
      <c r="F23" s="0"/>
      <c r="G23" s="0"/>
      <c r="H23" s="0"/>
    </row>
    <row r="24" customFormat="false" ht="13" hidden="false" customHeight="false" outlineLevel="1" collapsed="false">
      <c r="F24" s="0"/>
      <c r="G24" s="0"/>
      <c r="H24" s="0"/>
    </row>
    <row r="25" customFormat="false" ht="13" hidden="false" customHeight="false" outlineLevel="1" collapsed="false">
      <c r="F25" s="0"/>
      <c r="G25" s="0"/>
      <c r="H25" s="0"/>
    </row>
    <row r="26" customFormat="false" ht="13" hidden="false" customHeight="false" outlineLevel="1" collapsed="false">
      <c r="F26" s="0"/>
      <c r="G26" s="0"/>
      <c r="H26" s="0"/>
    </row>
    <row r="27" customFormat="false" ht="13" hidden="false" customHeight="false" outlineLevel="1" collapsed="false">
      <c r="F27" s="0"/>
      <c r="G27" s="0"/>
      <c r="H27" s="0"/>
    </row>
    <row r="28" customFormat="false" ht="13" hidden="false" customHeight="false" outlineLevel="1" collapsed="false"/>
    <row r="29" customFormat="false" ht="13" hidden="false" customHeight="false" outlineLevel="1" collapsed="false"/>
    <row r="30" customFormat="false" ht="13" hidden="false" customHeight="false" outlineLevel="1" collapsed="false"/>
    <row r="31" customFormat="false" ht="13" hidden="false" customHeight="false" outlineLevel="1" collapsed="false"/>
    <row r="32" customFormat="false" ht="18.5" hidden="false" customHeight="false" outlineLevel="0" collapsed="false">
      <c r="B32" s="43" t="s">
        <v>254</v>
      </c>
    </row>
    <row r="33" customFormat="false" ht="13" hidden="false" customHeight="false" outlineLevel="1" collapsed="false">
      <c r="F33" s="44" t="s">
        <v>253</v>
      </c>
    </row>
    <row r="34" customFormat="false" ht="13" hidden="false" customHeight="false" outlineLevel="1" collapsed="false">
      <c r="F34" s="44"/>
    </row>
    <row r="35" customFormat="false" ht="13" hidden="false" customHeight="false" outlineLevel="1" collapsed="false">
      <c r="F35" s="53" t="s">
        <v>251</v>
      </c>
      <c r="G35" s="0"/>
      <c r="H35" s="0"/>
    </row>
    <row r="36" customFormat="false" ht="13" hidden="false" customHeight="false" outlineLevel="1" collapsed="false">
      <c r="F36" s="54"/>
      <c r="G36" s="0"/>
      <c r="H36" s="0"/>
    </row>
    <row r="37" customFormat="false" ht="13" hidden="false" customHeight="false" outlineLevel="1" collapsed="false"/>
    <row r="38" customFormat="false" ht="13" hidden="false" customHeight="false" outlineLevel="1" collapsed="false"/>
    <row r="39" customFormat="false" ht="13" hidden="false" customHeight="false" outlineLevel="1" collapsed="false"/>
    <row r="40" customFormat="false" ht="13" hidden="false" customHeight="false" outlineLevel="1" collapsed="false"/>
    <row r="41" customFormat="false" ht="13" hidden="false" customHeight="false" outlineLevel="1" collapsed="false"/>
    <row r="42" customFormat="false" ht="13" hidden="false" customHeight="false" outlineLevel="1" collapsed="false"/>
    <row r="43" customFormat="false" ht="13" hidden="false" customHeight="false" outlineLevel="1" collapsed="false"/>
    <row r="44" customFormat="false" ht="13" hidden="false" customHeight="false" outlineLevel="1" collapsed="false"/>
    <row r="45" customFormat="false" ht="13" hidden="false" customHeight="false" outlineLevel="1" collapsed="false"/>
    <row r="46" customFormat="false" ht="13" hidden="false" customHeight="false" outlineLevel="1" collapsed="false"/>
    <row r="47" customFormat="false" ht="13" hidden="false" customHeight="false" outlineLevel="1" collapsed="false"/>
    <row r="48" customFormat="false" ht="13" hidden="false" customHeight="false" outlineLevel="1" collapsed="false"/>
    <row r="49" customFormat="false" ht="13" hidden="false" customHeight="false" outlineLevel="1" collapsed="false"/>
    <row r="50" customFormat="false" ht="13" hidden="false" customHeight="false" outlineLevel="1" collapsed="false"/>
    <row r="51" customFormat="false" ht="13" hidden="false" customHeight="false" outlineLevel="1" collapsed="false"/>
    <row r="52" customFormat="false" ht="13" hidden="false" customHeight="false" outlineLevel="1" collapsed="false"/>
    <row r="53" customFormat="false" ht="13" hidden="false" customHeight="false" outlineLevel="1" collapsed="false"/>
    <row r="54" customFormat="false" ht="13" hidden="false" customHeight="false" outlineLevel="1" collapsed="false"/>
    <row r="55" customFormat="false" ht="13" hidden="false" customHeight="false" outlineLevel="1" collapsed="false"/>
    <row r="56" customFormat="false" ht="13" hidden="false" customHeight="false" outlineLevel="1" collapsed="false"/>
    <row r="57" customFormat="false" ht="13" hidden="false" customHeight="false" outlineLevel="1" collapsed="false"/>
    <row r="58" customFormat="false" ht="13" hidden="false" customHeight="false" outlineLevel="0" collapsed="false"/>
    <row r="59" customFormat="false" ht="13" hidden="false" customHeight="false" outlineLevel="0" collapsed="false"/>
    <row r="60" customFormat="false" ht="13" hidden="false" customHeight="false" outlineLevel="0" collapsed="false"/>
    <row r="61" customFormat="false" ht="13" hidden="false" customHeight="false" outlineLevel="0" collapsed="false"/>
    <row r="62" customFormat="false" ht="13" hidden="false" customHeight="false" outlineLevel="0" collapsed="false"/>
    <row r="63" customFormat="false" ht="13" hidden="false" customHeight="false" outlineLevel="0" collapsed="false"/>
    <row r="64" customFormat="false" ht="13" hidden="false" customHeight="false" outlineLevel="0" collapsed="false"/>
    <row r="65" customFormat="false" ht="13" hidden="false" customHeight="false" outlineLevel="0" collapsed="false"/>
    <row r="66" customFormat="false" ht="13" hidden="false" customHeight="false" outlineLevel="0" collapsed="false"/>
    <row r="67" customFormat="false" ht="13" hidden="false" customHeight="false" outlineLevel="0" collapsed="false"/>
    <row r="68" customFormat="false" ht="13" hidden="false" customHeight="false" outlineLevel="0" collapsed="false"/>
    <row r="69" customFormat="false" ht="13" hidden="false" customHeight="false" outlineLevel="0" collapsed="false"/>
    <row r="70" customFormat="false" ht="13" hidden="false" customHeight="false" outlineLevel="0" collapsed="false"/>
    <row r="71" customFormat="false" ht="13" hidden="false" customHeight="false" outlineLevel="0" collapsed="false"/>
    <row r="72" customFormat="false" ht="13" hidden="false" customHeight="false" outlineLevel="0" collapsed="false"/>
    <row r="73" customFormat="false" ht="13" hidden="false" customHeight="false" outlineLevel="0" collapsed="false"/>
    <row r="74" customFormat="false" ht="13" hidden="false" customHeight="false" outlineLevel="0" collapsed="false"/>
    <row r="75" customFormat="false" ht="13" hidden="false" customHeight="false" outlineLevel="0" collapsed="false"/>
    <row r="76" customFormat="false" ht="13" hidden="false" customHeight="false" outlineLevel="0" collapsed="false"/>
    <row r="77" customFormat="false" ht="13" hidden="false" customHeight="false" outlineLevel="0" collapsed="false"/>
    <row r="78" customFormat="false" ht="13" hidden="false" customHeight="false" outlineLevel="0" collapsed="false"/>
    <row r="79" customFormat="false" ht="13" hidden="false" customHeight="false" outlineLevel="0" collapsed="false"/>
    <row r="80" customFormat="false" ht="13" hidden="false" customHeight="false" outlineLevel="0" collapsed="false"/>
    <row r="81" customFormat="false" ht="13" hidden="false" customHeight="false" outlineLevel="0" collapsed="false"/>
    <row r="82" customFormat="false" ht="13" hidden="false" customHeight="false" outlineLevel="0" collapsed="false"/>
    <row r="83" customFormat="false" ht="13" hidden="false" customHeight="false" outlineLevel="0" collapsed="false"/>
    <row r="84" customFormat="false" ht="13" hidden="false" customHeight="false" outlineLevel="0" collapsed="false"/>
    <row r="85" customFormat="false" ht="13" hidden="false" customHeight="false" outlineLevel="0" collapsed="false"/>
    <row r="86" customFormat="false" ht="13" hidden="false" customHeight="false" outlineLevel="0" collapsed="false"/>
    <row r="87" customFormat="false" ht="13" hidden="false" customHeight="false" outlineLevel="0" collapsed="false"/>
    <row r="88" customFormat="false" ht="13" hidden="false" customHeight="false" outlineLevel="0" collapsed="false"/>
    <row r="89" customFormat="false" ht="13" hidden="false" customHeight="false" outlineLevel="0" collapsed="false"/>
    <row r="90" customFormat="false" ht="13" hidden="false" customHeight="false" outlineLevel="0" collapsed="false"/>
    <row r="91" customFormat="false" ht="13" hidden="false" customHeight="false" outlineLevel="0" collapsed="false"/>
    <row r="92" customFormat="false" ht="13" hidden="false" customHeight="false" outlineLevel="0" collapsed="false"/>
    <row r="93" customFormat="false" ht="13" hidden="false" customHeight="false" outlineLevel="0" collapsed="false"/>
    <row r="94" customFormat="false" ht="13" hidden="false" customHeight="false" outlineLevel="0" collapsed="false"/>
    <row r="95" customFormat="false" ht="13" hidden="false" customHeight="false" outlineLevel="0" collapsed="false"/>
    <row r="96" customFormat="false" ht="13" hidden="false" customHeight="false" outlineLevel="0" collapsed="false"/>
    <row r="97" customFormat="false" ht="13" hidden="false" customHeight="false" outlineLevel="0" collapsed="false"/>
    <row r="98" customFormat="false" ht="13" hidden="false" customHeight="false" outlineLevel="0" collapsed="false"/>
    <row r="99" customFormat="false" ht="13" hidden="false" customHeight="false" outlineLevel="0" collapsed="false"/>
    <row r="100" customFormat="false" ht="13" hidden="false" customHeight="false" outlineLevel="0" collapsed="false"/>
    <row r="101" customFormat="false" ht="13" hidden="false" customHeight="false" outlineLevel="0" collapsed="false"/>
    <row r="102" customFormat="false" ht="13" hidden="false" customHeight="false" outlineLevel="0" collapsed="false"/>
    <row r="103" customFormat="false" ht="13" hidden="false" customHeight="false" outlineLevel="0" collapsed="false"/>
    <row r="104" customFormat="false" ht="13" hidden="false" customHeight="false" outlineLevel="0" collapsed="false"/>
    <row r="105" customFormat="false" ht="13" hidden="false" customHeight="false" outlineLevel="0" collapsed="false"/>
    <row r="106" customFormat="false" ht="13" hidden="false" customHeight="false" outlineLevel="0" collapsed="false"/>
    <row r="107" customFormat="false" ht="13" hidden="false" customHeight="false" outlineLevel="0" collapsed="false"/>
    <row r="108" customFormat="false" ht="13" hidden="false" customHeight="false" outlineLevel="0" collapsed="false"/>
    <row r="109" customFormat="false" ht="13" hidden="false" customHeight="false" outlineLevel="0" collapsed="false"/>
    <row r="110" customFormat="false" ht="13" hidden="false" customHeight="false" outlineLevel="0" collapsed="false"/>
    <row r="111" customFormat="false" ht="13" hidden="false" customHeight="false" outlineLevel="0" collapsed="false"/>
    <row r="112" customFormat="false" ht="13" hidden="false" customHeight="false" outlineLevel="0" collapsed="false"/>
    <row r="113" customFormat="false" ht="13" hidden="false" customHeight="false" outlineLevel="0" collapsed="false"/>
    <row r="114" customFormat="false" ht="13" hidden="false" customHeight="false" outlineLevel="0" collapsed="false"/>
    <row r="115" customFormat="false" ht="13" hidden="false" customHeight="false" outlineLevel="0" collapsed="false"/>
    <row r="116" customFormat="false" ht="13" hidden="false" customHeight="false" outlineLevel="0" collapsed="false"/>
    <row r="117" customFormat="false" ht="13" hidden="false" customHeight="false" outlineLevel="0" collapsed="false"/>
    <row r="118" customFormat="false" ht="13" hidden="false" customHeight="false" outlineLevel="0" collapsed="false"/>
    <row r="119" customFormat="false" ht="13" hidden="false" customHeight="false" outlineLevel="0" collapsed="false"/>
    <row r="120" customFormat="false" ht="13" hidden="false" customHeight="false" outlineLevel="0" collapsed="false"/>
    <row r="121" customFormat="false" ht="13" hidden="false" customHeight="false" outlineLevel="0" collapsed="false"/>
    <row r="122" customFormat="false" ht="13" hidden="false" customHeight="false" outlineLevel="0" collapsed="false"/>
    <row r="123" customFormat="false" ht="13" hidden="false" customHeight="false" outlineLevel="0" collapsed="false"/>
    <row r="124" customFormat="false" ht="13" hidden="false" customHeight="false" outlineLevel="0" collapsed="false"/>
    <row r="125" customFormat="false" ht="13" hidden="false" customHeight="false" outlineLevel="0" collapsed="false"/>
    <row r="126" customFormat="false" ht="13" hidden="false" customHeight="false" outlineLevel="0" collapsed="false"/>
    <row r="127" customFormat="false" ht="13" hidden="false" customHeight="false" outlineLevel="0" collapsed="false"/>
    <row r="128" customFormat="false" ht="13" hidden="false" customHeight="false" outlineLevel="0" collapsed="false"/>
    <row r="129" customFormat="false" ht="13" hidden="false" customHeight="false" outlineLevel="0" collapsed="false"/>
    <row r="130" customFormat="false" ht="13" hidden="false" customHeight="false" outlineLevel="0" collapsed="false"/>
    <row r="131" customFormat="false" ht="13" hidden="false" customHeight="false" outlineLevel="0" collapsed="false"/>
    <row r="132" customFormat="false" ht="13" hidden="false" customHeight="false" outlineLevel="0" collapsed="false"/>
    <row r="133" customFormat="false" ht="13" hidden="false" customHeight="false" outlineLevel="0" collapsed="false"/>
    <row r="134" customFormat="false" ht="13" hidden="false" customHeight="false" outlineLevel="0" collapsed="false"/>
    <row r="135" customFormat="false" ht="13" hidden="false" customHeight="false" outlineLevel="0" collapsed="false"/>
    <row r="136" customFormat="false" ht="13" hidden="false" customHeight="false" outlineLevel="0" collapsed="false"/>
    <row r="137" customFormat="false" ht="13" hidden="false" customHeight="false" outlineLevel="0" collapsed="false"/>
    <row r="138" customFormat="false" ht="13" hidden="false" customHeight="false" outlineLevel="0" collapsed="false"/>
    <row r="139" customFormat="false" ht="13" hidden="false" customHeight="false" outlineLevel="0" collapsed="false"/>
    <row r="140" customFormat="false" ht="13" hidden="false" customHeight="false" outlineLevel="0" collapsed="false"/>
    <row r="141" customFormat="false" ht="13" hidden="false" customHeight="false" outlineLevel="0" collapsed="false"/>
    <row r="142" customFormat="false" ht="13" hidden="false" customHeight="false" outlineLevel="0" collapsed="false"/>
    <row r="143" customFormat="false" ht="13" hidden="false" customHeight="false" outlineLevel="0" collapsed="false"/>
    <row r="144" customFormat="false" ht="13" hidden="false" customHeight="false" outlineLevel="0" collapsed="false"/>
    <row r="145" customFormat="false" ht="13" hidden="false" customHeight="false" outlineLevel="0" collapsed="false"/>
    <row r="146" customFormat="false" ht="13" hidden="false" customHeight="false" outlineLevel="0" collapsed="false"/>
    <row r="147" customFormat="false" ht="13" hidden="false" customHeight="false" outlineLevel="0" collapsed="false"/>
    <row r="148" customFormat="false" ht="13" hidden="false" customHeight="false" outlineLevel="0" collapsed="false"/>
    <row r="149" customFormat="false" ht="13" hidden="false" customHeight="false" outlineLevel="0" collapsed="false"/>
    <row r="150" customFormat="false" ht="13" hidden="false" customHeight="false" outlineLevel="0" collapsed="false"/>
    <row r="151" customFormat="false" ht="13" hidden="false" customHeight="false" outlineLevel="0" collapsed="false"/>
    <row r="152" customFormat="false" ht="13" hidden="false" customHeight="false" outlineLevel="0" collapsed="false"/>
    <row r="153" customFormat="false" ht="13" hidden="false" customHeight="false" outlineLevel="0" collapsed="false"/>
    <row r="154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75"/>
  <sheetViews>
    <sheetView showFormulas="false" showGridLines="fals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F9" activeCellId="0" sqref="F9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8" min="6" style="2" width="15.33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1" min="11" style="2" width="14.33"/>
    <col collapsed="false" customWidth="true" hidden="false" outlineLevel="0" max="1025" min="12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2 - Navigating </v>
      </c>
    </row>
    <row r="5" customFormat="false" ht="12.5" hidden="false" customHeight="false" outlineLevel="0" collapsed="false">
      <c r="O5" s="52"/>
    </row>
    <row r="6" customFormat="false" ht="18.5" hidden="false" customHeight="false" outlineLevel="0" collapsed="false">
      <c r="B6" s="43" t="s">
        <v>255</v>
      </c>
    </row>
    <row r="7" customFormat="false" ht="18.5" hidden="false" customHeight="false" outlineLevel="1" collapsed="false">
      <c r="B7" s="43"/>
      <c r="F7" s="44" t="s">
        <v>256</v>
      </c>
    </row>
    <row r="8" customFormat="false" ht="12.5" hidden="false" customHeight="false" outlineLevel="1" collapsed="false"/>
    <row r="9" customFormat="false" ht="18.5" hidden="false" customHeight="false" outlineLevel="1" collapsed="false">
      <c r="B9" s="43"/>
    </row>
    <row r="10" customFormat="false" ht="18.5" hidden="false" customHeight="false" outlineLevel="1" collapsed="false">
      <c r="B10" s="43"/>
    </row>
    <row r="11" customFormat="false" ht="13" hidden="false" customHeight="false" outlineLevel="1" collapsed="false"/>
    <row r="12" customFormat="false" ht="13" hidden="false" customHeight="false" outlineLevel="1" collapsed="false"/>
    <row r="13" customFormat="false" ht="13" hidden="false" customHeight="false" outlineLevel="1" collapsed="false"/>
    <row r="14" customFormat="false" ht="13" hidden="false" customHeight="false" outlineLevel="1" collapsed="false">
      <c r="F14" s="55"/>
      <c r="G14" s="56"/>
    </row>
    <row r="15" customFormat="false" ht="13" hidden="false" customHeight="false" outlineLevel="1" collapsed="false"/>
    <row r="16" customFormat="false" ht="13" hidden="false" customHeight="false" outlineLevel="1" collapsed="false"/>
    <row r="17" customFormat="false" ht="13" hidden="false" customHeight="false" outlineLevel="1" collapsed="false"/>
    <row r="18" customFormat="false" ht="13" hidden="false" customHeight="false" outlineLevel="1" collapsed="false"/>
    <row r="19" customFormat="false" ht="13" hidden="false" customHeight="false" outlineLevel="1" collapsed="false"/>
    <row r="20" customFormat="false" ht="13" hidden="false" customHeight="false" outlineLevel="1" collapsed="false"/>
    <row r="21" customFormat="false" ht="13" hidden="false" customHeight="false" outlineLevel="1" collapsed="false"/>
    <row r="22" customFormat="false" ht="13" hidden="false" customHeight="false" outlineLevel="1" collapsed="false"/>
    <row r="23" customFormat="false" ht="13" hidden="false" customHeight="false" outlineLevel="1" collapsed="false"/>
    <row r="24" customFormat="false" ht="13" hidden="false" customHeight="false" outlineLevel="1" collapsed="false"/>
    <row r="25" customFormat="false" ht="13" hidden="false" customHeight="false" outlineLevel="1" collapsed="false"/>
    <row r="26" customFormat="false" ht="13" hidden="false" customHeight="false" outlineLevel="1" collapsed="false"/>
    <row r="27" customFormat="false" ht="13" hidden="false" customHeight="false" outlineLevel="1" collapsed="false"/>
    <row r="28" customFormat="false" ht="13" hidden="false" customHeight="false" outlineLevel="1" collapsed="false"/>
    <row r="29" customFormat="false" ht="13" hidden="false" customHeight="false" outlineLevel="1" collapsed="false"/>
    <row r="30" customFormat="false" ht="13" hidden="false" customHeight="false" outlineLevel="1" collapsed="false"/>
    <row r="31" customFormat="false" ht="13" hidden="false" customHeight="false" outlineLevel="1" collapsed="false"/>
    <row r="32" customFormat="false" ht="13" hidden="false" customHeight="false" outlineLevel="1" collapsed="false"/>
    <row r="33" customFormat="false" ht="13" hidden="false" customHeight="false" outlineLevel="1" collapsed="false"/>
    <row r="34" customFormat="false" ht="13" hidden="false" customHeight="false" outlineLevel="1" collapsed="false"/>
    <row r="35" customFormat="false" ht="13" hidden="false" customHeight="false" outlineLevel="1" collapsed="false"/>
    <row r="36" customFormat="false" ht="13" hidden="false" customHeight="false" outlineLevel="1" collapsed="false"/>
    <row r="37" customFormat="false" ht="13" hidden="false" customHeight="false" outlineLevel="1" collapsed="false"/>
    <row r="38" customFormat="false" ht="13" hidden="false" customHeight="false" outlineLevel="1" collapsed="false"/>
    <row r="39" customFormat="false" ht="13" hidden="false" customHeight="false" outlineLevel="1" collapsed="false"/>
    <row r="40" customFormat="false" ht="13" hidden="false" customHeight="false" outlineLevel="1" collapsed="false"/>
    <row r="41" customFormat="false" ht="13" hidden="false" customHeight="false" outlineLevel="1" collapsed="false"/>
    <row r="42" customFormat="false" ht="13" hidden="false" customHeight="false" outlineLevel="1" collapsed="false"/>
    <row r="43" customFormat="false" ht="13" hidden="false" customHeight="false" outlineLevel="1" collapsed="false"/>
    <row r="44" customFormat="false" ht="13" hidden="false" customHeight="false" outlineLevel="1" collapsed="false"/>
    <row r="45" customFormat="false" ht="13" hidden="false" customHeight="false" outlineLevel="1" collapsed="false"/>
    <row r="46" customFormat="false" ht="13" hidden="false" customHeight="false" outlineLevel="1" collapsed="false"/>
    <row r="47" customFormat="false" ht="13" hidden="false" customHeight="false" outlineLevel="1" collapsed="false"/>
    <row r="48" customFormat="false" ht="13" hidden="false" customHeight="false" outlineLevel="1" collapsed="false"/>
    <row r="49" customFormat="false" ht="13" hidden="false" customHeight="false" outlineLevel="1" collapsed="false"/>
    <row r="50" customFormat="false" ht="13" hidden="false" customHeight="false" outlineLevel="1" collapsed="false"/>
    <row r="51" customFormat="false" ht="13" hidden="false" customHeight="false" outlineLevel="1" collapsed="false"/>
    <row r="52" customFormat="false" ht="13" hidden="false" customHeight="false" outlineLevel="1" collapsed="false"/>
    <row r="53" customFormat="false" ht="13" hidden="false" customHeight="false" outlineLevel="1" collapsed="false"/>
    <row r="54" customFormat="false" ht="13" hidden="false" customHeight="false" outlineLevel="1" collapsed="false"/>
    <row r="55" customFormat="false" ht="13" hidden="false" customHeight="false" outlineLevel="1" collapsed="false"/>
    <row r="56" customFormat="false" ht="13" hidden="false" customHeight="false" outlineLevel="1" collapsed="false"/>
    <row r="57" customFormat="false" ht="13" hidden="false" customHeight="false" outlineLevel="1" collapsed="false"/>
    <row r="58" customFormat="false" ht="13" hidden="false" customHeight="false" outlineLevel="1" collapsed="false"/>
    <row r="59" customFormat="false" ht="13" hidden="false" customHeight="false" outlineLevel="1" collapsed="false"/>
    <row r="60" customFormat="false" ht="13" hidden="false" customHeight="false" outlineLevel="1" collapsed="false"/>
    <row r="61" customFormat="false" ht="13" hidden="false" customHeight="false" outlineLevel="1" collapsed="false"/>
    <row r="62" customFormat="false" ht="13" hidden="false" customHeight="false" outlineLevel="1" collapsed="false"/>
    <row r="63" customFormat="false" ht="13" hidden="false" customHeight="false" outlineLevel="1" collapsed="false"/>
    <row r="64" customFormat="false" ht="13" hidden="false" customHeight="false" outlineLevel="1" collapsed="false"/>
    <row r="65" customFormat="false" ht="13" hidden="false" customHeight="false" outlineLevel="1" collapsed="false"/>
    <row r="66" customFormat="false" ht="13" hidden="false" customHeight="false" outlineLevel="1" collapsed="false"/>
    <row r="67" customFormat="false" ht="13" hidden="false" customHeight="false" outlineLevel="1" collapsed="false"/>
    <row r="68" customFormat="false" ht="13" hidden="false" customHeight="false" outlineLevel="1" collapsed="false"/>
    <row r="69" customFormat="false" ht="13" hidden="false" customHeight="false" outlineLevel="1" collapsed="false"/>
    <row r="70" customFormat="false" ht="13" hidden="false" customHeight="false" outlineLevel="1" collapsed="false"/>
    <row r="71" customFormat="false" ht="13" hidden="false" customHeight="false" outlineLevel="1" collapsed="false"/>
    <row r="72" customFormat="false" ht="13" hidden="false" customHeight="false" outlineLevel="1" collapsed="false"/>
    <row r="73" customFormat="false" ht="13" hidden="false" customHeight="false" outlineLevel="1" collapsed="false"/>
    <row r="74" customFormat="false" ht="13" hidden="false" customHeight="false" outlineLevel="1" collapsed="false"/>
    <row r="75" customFormat="false" ht="13" hidden="false" customHeight="false" outlineLevel="1" collapsed="false"/>
    <row r="76" customFormat="false" ht="13" hidden="false" customHeight="false" outlineLevel="1" collapsed="false"/>
    <row r="77" customFormat="false" ht="13" hidden="false" customHeight="false" outlineLevel="1" collapsed="false"/>
    <row r="78" customFormat="false" ht="13" hidden="false" customHeight="false" outlineLevel="1" collapsed="false"/>
    <row r="79" customFormat="false" ht="13" hidden="false" customHeight="false" outlineLevel="1" collapsed="false"/>
    <row r="80" customFormat="false" ht="13" hidden="false" customHeight="false" outlineLevel="1" collapsed="false"/>
    <row r="81" customFormat="false" ht="13" hidden="false" customHeight="false" outlineLevel="1" collapsed="false"/>
    <row r="82" customFormat="false" ht="13" hidden="false" customHeight="false" outlineLevel="1" collapsed="false"/>
    <row r="83" customFormat="false" ht="13" hidden="false" customHeight="false" outlineLevel="1" collapsed="false"/>
    <row r="84" customFormat="false" ht="13" hidden="false" customHeight="false" outlineLevel="1" collapsed="false"/>
    <row r="85" customFormat="false" ht="13" hidden="false" customHeight="false" outlineLevel="1" collapsed="false"/>
    <row r="86" customFormat="false" ht="13" hidden="false" customHeight="false" outlineLevel="1" collapsed="false"/>
    <row r="87" customFormat="false" ht="13" hidden="false" customHeight="false" outlineLevel="1" collapsed="false"/>
    <row r="88" customFormat="false" ht="13" hidden="false" customHeight="false" outlineLevel="1" collapsed="false"/>
    <row r="89" customFormat="false" ht="13" hidden="false" customHeight="false" outlineLevel="1" collapsed="false"/>
    <row r="90" customFormat="false" ht="13" hidden="false" customHeight="false" outlineLevel="1" collapsed="false"/>
    <row r="91" customFormat="false" ht="13" hidden="false" customHeight="false" outlineLevel="1" collapsed="false"/>
    <row r="92" customFormat="false" ht="13" hidden="false" customHeight="false" outlineLevel="1" collapsed="false"/>
    <row r="93" customFormat="false" ht="13" hidden="false" customHeight="false" outlineLevel="1" collapsed="false"/>
    <row r="94" customFormat="false" ht="13" hidden="false" customHeight="false" outlineLevel="1" collapsed="false"/>
    <row r="95" customFormat="false" ht="13" hidden="false" customHeight="false" outlineLevel="1" collapsed="false"/>
    <row r="96" customFormat="false" ht="13" hidden="false" customHeight="false" outlineLevel="1" collapsed="false"/>
    <row r="97" customFormat="false" ht="13" hidden="false" customHeight="false" outlineLevel="1" collapsed="false"/>
    <row r="98" customFormat="false" ht="13" hidden="false" customHeight="false" outlineLevel="1" collapsed="false"/>
    <row r="99" customFormat="false" ht="13" hidden="false" customHeight="false" outlineLevel="1" collapsed="false"/>
    <row r="100" customFormat="false" ht="13" hidden="false" customHeight="false" outlineLevel="1" collapsed="false"/>
    <row r="101" customFormat="false" ht="13" hidden="false" customHeight="false" outlineLevel="1" collapsed="false"/>
    <row r="102" customFormat="false" ht="13" hidden="false" customHeight="false" outlineLevel="1" collapsed="false"/>
    <row r="103" customFormat="false" ht="13" hidden="false" customHeight="false" outlineLevel="1" collapsed="false"/>
    <row r="104" customFormat="false" ht="13" hidden="false" customHeight="false" outlineLevel="1" collapsed="false"/>
    <row r="105" customFormat="false" ht="18.5" hidden="false" customHeight="false" outlineLevel="0" collapsed="false">
      <c r="B105" s="43" t="s">
        <v>254</v>
      </c>
    </row>
    <row r="106" customFormat="false" ht="13" hidden="true" customHeight="false" outlineLevel="1" collapsed="false">
      <c r="F106" s="44" t="s">
        <v>257</v>
      </c>
    </row>
    <row r="107" customFormat="false" ht="13" hidden="true" customHeight="false" outlineLevel="1" collapsed="false"/>
    <row r="108" customFormat="false" ht="13" hidden="true" customHeight="false" outlineLevel="1" collapsed="false"/>
    <row r="109" customFormat="false" ht="13" hidden="true" customHeight="false" outlineLevel="1" collapsed="false"/>
    <row r="110" customFormat="false" ht="13" hidden="true" customHeight="false" outlineLevel="1" collapsed="false">
      <c r="F110" s="55"/>
      <c r="G110" s="56"/>
    </row>
    <row r="111" customFormat="false" ht="13" hidden="true" customHeight="false" outlineLevel="1" collapsed="false">
      <c r="F111" s="55"/>
      <c r="G111" s="56"/>
    </row>
    <row r="112" customFormat="false" ht="13" hidden="true" customHeight="false" outlineLevel="1" collapsed="false">
      <c r="F112" s="55"/>
      <c r="G112" s="56"/>
    </row>
    <row r="113" customFormat="false" ht="13" hidden="true" customHeight="false" outlineLevel="1" collapsed="false">
      <c r="F113" s="55"/>
      <c r="G113" s="56"/>
    </row>
    <row r="114" customFormat="false" ht="13" hidden="true" customHeight="false" outlineLevel="1" collapsed="false">
      <c r="F114" s="55"/>
      <c r="G114" s="56"/>
    </row>
    <row r="115" customFormat="false" ht="12.5" hidden="true" customHeight="false" outlineLevel="1" collapsed="false"/>
    <row r="116" customFormat="false" ht="13" hidden="true" customHeight="false" outlineLevel="1" collapsed="false"/>
    <row r="117" customFormat="false" ht="18.5" hidden="false" customHeight="false" outlineLevel="0" collapsed="false">
      <c r="B117" s="43" t="s">
        <v>258</v>
      </c>
    </row>
    <row r="118" customFormat="false" ht="13" hidden="true" customHeight="false" outlineLevel="1" collapsed="false">
      <c r="F118" s="44" t="s">
        <v>259</v>
      </c>
    </row>
    <row r="119" customFormat="false" ht="18" hidden="true" customHeight="true" outlineLevel="1" collapsed="false"/>
    <row r="120" customFormat="false" ht="13" hidden="true" customHeight="false" outlineLevel="1" collapsed="false"/>
    <row r="121" customFormat="false" ht="13" hidden="true" customHeight="false" outlineLevel="1" collapsed="false"/>
    <row r="122" customFormat="false" ht="13" hidden="true" customHeight="false" outlineLevel="1" collapsed="false"/>
    <row r="123" customFormat="false" ht="13" hidden="true" customHeight="false" outlineLevel="1" collapsed="false">
      <c r="F123" s="55"/>
      <c r="G123" s="57"/>
    </row>
    <row r="124" customFormat="false" ht="13" hidden="true" customHeight="false" outlineLevel="1" collapsed="false">
      <c r="F124" s="55"/>
      <c r="G124" s="57"/>
    </row>
    <row r="125" customFormat="false" ht="13" hidden="true" customHeight="false" outlineLevel="1" collapsed="false">
      <c r="F125" s="55"/>
      <c r="G125" s="57"/>
    </row>
    <row r="126" customFormat="false" ht="18.5" hidden="false" customHeight="false" outlineLevel="0" collapsed="false">
      <c r="B126" s="43" t="s">
        <v>260</v>
      </c>
    </row>
    <row r="127" customFormat="false" ht="13" hidden="true" customHeight="false" outlineLevel="1" collapsed="false">
      <c r="F127" s="44" t="s">
        <v>261</v>
      </c>
    </row>
    <row r="128" customFormat="false" ht="13" hidden="true" customHeight="false" outlineLevel="1" collapsed="false"/>
    <row r="129" customFormat="false" ht="13" hidden="true" customHeight="false" outlineLevel="1" collapsed="false"/>
    <row r="130" customFormat="false" ht="13" hidden="true" customHeight="false" outlineLevel="1" collapsed="false"/>
    <row r="131" customFormat="false" ht="13" hidden="true" customHeight="false" outlineLevel="1" collapsed="false"/>
    <row r="132" customFormat="false" ht="13" hidden="true" customHeight="false" outlineLevel="1" collapsed="false"/>
    <row r="133" customFormat="false" ht="13" hidden="true" customHeight="false" outlineLevel="1" collapsed="false">
      <c r="F133" s="55"/>
      <c r="G133" s="58"/>
    </row>
    <row r="134" customFormat="false" ht="12.5" hidden="true" customHeight="false" outlineLevel="1" collapsed="false"/>
    <row r="135" customFormat="false" ht="12.5" hidden="true" customHeight="false" outlineLevel="1" collapsed="false"/>
    <row r="136" customFormat="false" ht="12.5" hidden="true" customHeight="false" outlineLevel="1" collapsed="false"/>
    <row r="137" customFormat="false" ht="18.5" hidden="false" customHeight="false" outlineLevel="0" collapsed="false">
      <c r="B137" s="43" t="s">
        <v>262</v>
      </c>
    </row>
    <row r="138" customFormat="false" ht="13" hidden="true" customHeight="false" outlineLevel="1" collapsed="false">
      <c r="F138" s="44" t="s">
        <v>263</v>
      </c>
    </row>
    <row r="139" customFormat="false" ht="13" hidden="true" customHeight="false" outlineLevel="1" collapsed="false"/>
    <row r="140" customFormat="false" ht="13" hidden="true" customHeight="false" outlineLevel="1" collapsed="false"/>
    <row r="141" customFormat="false" ht="13" hidden="true" customHeight="false" outlineLevel="1" collapsed="false">
      <c r="F141" s="55"/>
      <c r="G141" s="58"/>
    </row>
    <row r="142" customFormat="false" ht="13" hidden="true" customHeight="false" outlineLevel="1" collapsed="false">
      <c r="F142" s="55"/>
      <c r="G142" s="58"/>
    </row>
    <row r="143" customFormat="false" ht="13" hidden="true" customHeight="false" outlineLevel="1" collapsed="false">
      <c r="F143" s="55"/>
      <c r="G143" s="58"/>
    </row>
    <row r="144" customFormat="false" ht="13" hidden="true" customHeight="false" outlineLevel="1" collapsed="false">
      <c r="F144" s="55"/>
      <c r="G144" s="58"/>
    </row>
    <row r="145" customFormat="false" ht="18.5" hidden="false" customHeight="false" outlineLevel="0" collapsed="false">
      <c r="B145" s="43" t="s">
        <v>264</v>
      </c>
    </row>
    <row r="146" customFormat="false" ht="13" hidden="true" customHeight="false" outlineLevel="1" collapsed="false">
      <c r="F146" s="44" t="s">
        <v>265</v>
      </c>
    </row>
    <row r="147" customFormat="false" ht="13" hidden="true" customHeight="false" outlineLevel="1" collapsed="false"/>
    <row r="148" customFormat="false" ht="13" hidden="true" customHeight="false" outlineLevel="1" collapsed="false"/>
    <row r="149" customFormat="false" ht="13" hidden="true" customHeight="false" outlineLevel="1" collapsed="false"/>
    <row r="150" customFormat="false" ht="13" hidden="true" customHeight="false" outlineLevel="1" collapsed="false"/>
    <row r="151" customFormat="false" ht="12.5" hidden="true" customHeight="false" outlineLevel="1" collapsed="false"/>
    <row r="152" customFormat="false" ht="12.5" hidden="true" customHeight="false" outlineLevel="1" collapsed="false"/>
    <row r="153" customFormat="false" ht="12.5" hidden="true" customHeight="false" outlineLevel="1" collapsed="false"/>
    <row r="154" customFormat="false" ht="18.5" hidden="false" customHeight="false" outlineLevel="0" collapsed="false">
      <c r="B154" s="43" t="s">
        <v>266</v>
      </c>
    </row>
    <row r="155" customFormat="false" ht="13" hidden="true" customHeight="false" outlineLevel="1" collapsed="false">
      <c r="F155" s="44" t="s">
        <v>267</v>
      </c>
    </row>
    <row r="156" customFormat="false" ht="12.5" hidden="true" customHeight="false" outlineLevel="1" collapsed="false"/>
    <row r="157" customFormat="false" ht="12.5" hidden="true" customHeight="false" outlineLevel="1" collapsed="false"/>
    <row r="158" customFormat="false" ht="13" hidden="true" customHeight="false" outlineLevel="1" collapsed="false">
      <c r="B158" s="59"/>
    </row>
    <row r="159" customFormat="false" ht="13" hidden="true" customHeight="false" outlineLevel="1" collapsed="false">
      <c r="F159" s="44"/>
    </row>
    <row r="160" customFormat="false" ht="13" hidden="true" customHeight="false" outlineLevel="1" collapsed="false"/>
    <row r="161" customFormat="false" ht="13" hidden="true" customHeight="false" outlineLevel="1" collapsed="false"/>
    <row r="162" customFormat="false" ht="13" hidden="true" customHeight="false" outlineLevel="1" collapsed="false"/>
    <row r="163" customFormat="false" ht="13" hidden="true" customHeight="false" outlineLevel="1" collapsed="false"/>
    <row r="164" customFormat="false" ht="18.5" hidden="true" customHeight="false" outlineLevel="1" collapsed="false">
      <c r="B164" s="43"/>
    </row>
    <row r="165" customFormat="false" ht="18.5" hidden="false" customHeight="false" outlineLevel="0" collapsed="false">
      <c r="B165" s="43" t="s">
        <v>268</v>
      </c>
    </row>
    <row r="166" customFormat="false" ht="13" hidden="true" customHeight="false" outlineLevel="1" collapsed="false">
      <c r="F166" s="44" t="s">
        <v>269</v>
      </c>
    </row>
    <row r="167" customFormat="false" ht="13" hidden="true" customHeight="false" outlineLevel="1" collapsed="false"/>
    <row r="168" customFormat="false" ht="13" hidden="true" customHeight="false" outlineLevel="1" collapsed="false"/>
    <row r="169" customFormat="false" ht="13" hidden="true" customHeight="false" outlineLevel="1" collapsed="false">
      <c r="B169" s="59"/>
    </row>
    <row r="170" customFormat="false" ht="13" hidden="true" customHeight="false" outlineLevel="1" collapsed="false"/>
    <row r="171" customFormat="false" ht="13" hidden="true" customHeight="false" outlineLevel="1" collapsed="false"/>
    <row r="172" customFormat="false" ht="13" hidden="true" customHeight="false" outlineLevel="1" collapsed="false"/>
    <row r="173" customFormat="false" ht="13" hidden="true" customHeight="false" outlineLevel="1" collapsed="false"/>
    <row r="174" customFormat="false" ht="13" hidden="true" customHeight="false" outlineLevel="1" collapsed="false"/>
    <row r="175" customFormat="false" ht="13" hidden="false" customHeight="false" outlineLevel="0" collapsed="false"/>
    <row r="176" customFormat="false" ht="13" hidden="false" customHeight="false" outlineLevel="0" collapsed="false"/>
    <row r="177" customFormat="false" ht="13" hidden="false" customHeight="false" outlineLevel="0" collapsed="false"/>
    <row r="178" customFormat="false" ht="13" hidden="false" customHeight="false" outlineLevel="0" collapsed="false"/>
    <row r="179" customFormat="false" ht="13" hidden="false" customHeight="false" outlineLevel="0" collapsed="false"/>
    <row r="180" customFormat="false" ht="13" hidden="false" customHeight="false" outlineLevel="0" collapsed="false"/>
    <row r="181" customFormat="false" ht="13" hidden="false" customHeight="false" outlineLevel="0" collapsed="false"/>
    <row r="182" customFormat="false" ht="13" hidden="false" customHeight="false" outlineLevel="0" collapsed="false"/>
    <row r="183" customFormat="false" ht="13" hidden="false" customHeight="false" outlineLevel="0" collapsed="false"/>
    <row r="184" customFormat="false" ht="13" hidden="false" customHeight="false" outlineLevel="0" collapsed="false"/>
    <row r="185" customFormat="false" ht="13" hidden="false" customHeight="false" outlineLevel="0" collapsed="false"/>
    <row r="186" customFormat="false" ht="13" hidden="false" customHeight="false" outlineLevel="0" collapsed="false"/>
    <row r="187" customFormat="false" ht="13" hidden="false" customHeight="false" outlineLevel="0" collapsed="false"/>
    <row r="188" customFormat="false" ht="13" hidden="false" customHeight="false" outlineLevel="0" collapsed="false"/>
    <row r="189" customFormat="false" ht="13" hidden="false" customHeight="false" outlineLevel="0" collapsed="false"/>
    <row r="190" customFormat="false" ht="13" hidden="false" customHeight="false" outlineLevel="0" collapsed="false"/>
    <row r="191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P96"/>
  <sheetViews>
    <sheetView showFormulas="false" showGridLines="false" showRowColHeaders="true" showZeros="true" rightToLeft="false" tabSelected="false" showOutlineSymbols="true" defaultGridColor="true" view="normal" topLeftCell="A49" colorId="64" zoomScale="80" zoomScaleNormal="80" zoomScalePageLayoutView="100" workbookViewId="0">
      <selection pane="topLeft" activeCell="L83" activeCellId="0" sqref="L83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43.33"/>
    <col collapsed="false" customWidth="true" hidden="false" outlineLevel="0" max="7" min="7" style="2" width="36.33"/>
    <col collapsed="false" customWidth="true" hidden="false" outlineLevel="0" max="8" min="8" style="2" width="20.77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4" min="11" style="2" width="9.34"/>
    <col collapsed="false" customWidth="true" hidden="false" outlineLevel="0" max="15" min="15" style="2" width="37.33"/>
    <col collapsed="false" customWidth="true" hidden="false" outlineLevel="0" max="16" min="16" style="2" width="9.34"/>
    <col collapsed="false" customWidth="true" hidden="false" outlineLevel="0" max="17" min="17" style="2" width="18.67"/>
    <col collapsed="false" customWidth="true" hidden="false" outlineLevel="0" max="19" min="18" style="2" width="20.77"/>
    <col collapsed="false" customWidth="true" hidden="false" outlineLevel="0" max="1025" min="20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2 - Navigating (ANS)</v>
      </c>
    </row>
    <row r="5" customFormat="false" ht="12.5" hidden="false" customHeight="false" outlineLevel="0" collapsed="false">
      <c r="P5" s="52"/>
    </row>
    <row r="6" customFormat="false" ht="13" hidden="false" customHeight="false" outlineLevel="0" collapsed="false"/>
    <row r="7" customFormat="false" ht="18.5" hidden="false" customHeight="false" outlineLevel="0" collapsed="false">
      <c r="B7" s="43" t="s">
        <v>255</v>
      </c>
      <c r="J7" s="60"/>
    </row>
    <row r="8" customFormat="false" ht="13" hidden="false" customHeight="false" outlineLevel="1" collapsed="false">
      <c r="F8" s="44" t="s">
        <v>256</v>
      </c>
      <c r="J8" s="60"/>
    </row>
    <row r="9" customFormat="false" ht="13" hidden="false" customHeight="false" outlineLevel="1" collapsed="false">
      <c r="J9" s="60"/>
    </row>
    <row r="10" customFormat="false" ht="13" hidden="false" customHeight="false" outlineLevel="1" collapsed="false">
      <c r="F10" s="61" t="s">
        <v>19</v>
      </c>
      <c r="G10" s="62" t="s">
        <v>270</v>
      </c>
      <c r="J10" s="60"/>
    </row>
    <row r="11" customFormat="false" ht="13" hidden="false" customHeight="false" outlineLevel="1" collapsed="false">
      <c r="F11" s="63" t="s">
        <v>29</v>
      </c>
      <c r="G11" s="64" t="n">
        <v>3016</v>
      </c>
      <c r="J11" s="60"/>
    </row>
    <row r="12" customFormat="false" ht="13" hidden="false" customHeight="false" outlineLevel="1" collapsed="false">
      <c r="J12" s="60"/>
    </row>
    <row r="13" customFormat="false" ht="13" hidden="false" customHeight="false" outlineLevel="1" collapsed="false"/>
    <row r="14" customFormat="false" ht="13" hidden="false" customHeight="false" outlineLevel="1" collapsed="false"/>
    <row r="15" customFormat="false" ht="13" hidden="false" customHeight="false" outlineLevel="1" collapsed="false"/>
    <row r="16" customFormat="false" ht="18.5" hidden="false" customHeight="false" outlineLevel="0" collapsed="false">
      <c r="B16" s="43" t="s">
        <v>254</v>
      </c>
    </row>
    <row r="17" customFormat="false" ht="13" hidden="false" customHeight="false" outlineLevel="1" collapsed="false">
      <c r="F17" s="44" t="s">
        <v>257</v>
      </c>
    </row>
    <row r="18" customFormat="false" ht="13" hidden="false" customHeight="false" outlineLevel="1" collapsed="false">
      <c r="F18" s="61" t="s">
        <v>19</v>
      </c>
      <c r="G18" s="62" t="s">
        <v>270</v>
      </c>
    </row>
    <row r="19" customFormat="false" ht="13" hidden="false" customHeight="false" outlineLevel="1" collapsed="false">
      <c r="F19" s="65" t="s">
        <v>29</v>
      </c>
      <c r="G19" s="66" t="n">
        <v>3016</v>
      </c>
    </row>
    <row r="20" customFormat="false" ht="13" hidden="false" customHeight="false" outlineLevel="1" collapsed="false">
      <c r="F20" s="67" t="s">
        <v>34</v>
      </c>
      <c r="G20" s="68" t="n">
        <v>2856.5</v>
      </c>
    </row>
    <row r="21" customFormat="false" ht="13" hidden="false" customHeight="false" outlineLevel="1" collapsed="false">
      <c r="F21" s="67" t="s">
        <v>40</v>
      </c>
      <c r="G21" s="68" t="n">
        <v>2845.59</v>
      </c>
    </row>
    <row r="22" customFormat="false" ht="13" hidden="false" customHeight="false" outlineLevel="1" collapsed="false">
      <c r="F22" s="67" t="s">
        <v>48</v>
      </c>
      <c r="G22" s="68" t="n">
        <v>2628.27</v>
      </c>
    </row>
    <row r="23" customFormat="false" ht="13" hidden="false" customHeight="false" outlineLevel="1" collapsed="false">
      <c r="F23" s="69" t="s">
        <v>37</v>
      </c>
      <c r="G23" s="70" t="n">
        <v>2552</v>
      </c>
    </row>
    <row r="24" customFormat="false" ht="13" hidden="false" customHeight="false" outlineLevel="1" collapsed="false"/>
    <row r="25" customFormat="false" ht="13" hidden="false" customHeight="false" outlineLevel="1" collapsed="false"/>
    <row r="26" customFormat="false" ht="13" hidden="false" customHeight="false" outlineLevel="1" collapsed="false"/>
    <row r="27" customFormat="false" ht="18.5" hidden="false" customHeight="false" outlineLevel="0" collapsed="false">
      <c r="B27" s="43" t="s">
        <v>258</v>
      </c>
    </row>
    <row r="28" customFormat="false" ht="13" hidden="false" customHeight="false" outlineLevel="1" collapsed="false">
      <c r="F28" s="44" t="s">
        <v>259</v>
      </c>
    </row>
    <row r="29" customFormat="false" ht="13" hidden="false" customHeight="false" outlineLevel="1" collapsed="false">
      <c r="F29" s="46" t="s">
        <v>19</v>
      </c>
      <c r="G29" s="47" t="s">
        <v>98</v>
      </c>
      <c r="J29" s="55"/>
      <c r="K29" s="56"/>
    </row>
    <row r="30" customFormat="false" ht="13" hidden="false" customHeight="false" outlineLevel="1" collapsed="false">
      <c r="F30" s="0"/>
      <c r="G30" s="0"/>
    </row>
    <row r="31" customFormat="false" ht="13" hidden="false" customHeight="false" outlineLevel="1" collapsed="false">
      <c r="F31" s="61" t="s">
        <v>18</v>
      </c>
      <c r="G31" s="62" t="s">
        <v>270</v>
      </c>
    </row>
    <row r="32" customFormat="false" ht="13" hidden="false" customHeight="false" outlineLevel="1" collapsed="false">
      <c r="F32" s="65" t="s">
        <v>180</v>
      </c>
      <c r="G32" s="66" t="n">
        <v>474.5</v>
      </c>
    </row>
    <row r="33" customFormat="false" ht="13" hidden="false" customHeight="false" outlineLevel="1" collapsed="false">
      <c r="F33" s="67" t="s">
        <v>127</v>
      </c>
      <c r="G33" s="68" t="n">
        <v>682.5</v>
      </c>
    </row>
    <row r="34" customFormat="false" ht="13" hidden="false" customHeight="false" outlineLevel="1" collapsed="false">
      <c r="F34" s="69" t="s">
        <v>97</v>
      </c>
      <c r="G34" s="70" t="n">
        <v>949.05</v>
      </c>
    </row>
    <row r="35" customFormat="false" ht="13" hidden="false" customHeight="false" outlineLevel="1" collapsed="false"/>
    <row r="36" customFormat="false" ht="18.5" hidden="false" customHeight="false" outlineLevel="0" collapsed="false">
      <c r="B36" s="43" t="s">
        <v>260</v>
      </c>
    </row>
    <row r="37" customFormat="false" ht="13" hidden="false" customHeight="false" outlineLevel="1" collapsed="false"/>
    <row r="38" customFormat="false" ht="13" hidden="false" customHeight="false" outlineLevel="1" collapsed="false">
      <c r="F38" s="44" t="s">
        <v>261</v>
      </c>
    </row>
    <row r="39" customFormat="false" ht="13" hidden="false" customHeight="false" outlineLevel="1" collapsed="false">
      <c r="F39" s="46" t="s">
        <v>21</v>
      </c>
      <c r="G39" s="47" t="s">
        <v>88</v>
      </c>
    </row>
    <row r="40" customFormat="false" ht="13" hidden="false" customHeight="false" outlineLevel="1" collapsed="false">
      <c r="F40" s="0"/>
      <c r="G40" s="0"/>
    </row>
    <row r="41" customFormat="false" ht="13" hidden="false" customHeight="false" outlineLevel="1" collapsed="false">
      <c r="F41" s="61" t="s">
        <v>18</v>
      </c>
      <c r="G41" s="62" t="s">
        <v>271</v>
      </c>
    </row>
    <row r="42" customFormat="false" ht="13" hidden="false" customHeight="false" outlineLevel="1" collapsed="false">
      <c r="F42" s="63" t="s">
        <v>85</v>
      </c>
      <c r="G42" s="71" t="n">
        <v>176</v>
      </c>
    </row>
    <row r="43" customFormat="false" ht="13" hidden="false" customHeight="false" outlineLevel="1" collapsed="false"/>
    <row r="44" customFormat="false" ht="13" hidden="false" customHeight="false" outlineLevel="1" collapsed="false"/>
    <row r="45" customFormat="false" ht="13" hidden="false" customHeight="false" outlineLevel="1" collapsed="false"/>
    <row r="46" customFormat="false" ht="13" hidden="false" customHeight="false" outlineLevel="1" collapsed="false"/>
    <row r="47" customFormat="false" ht="18.5" hidden="false" customHeight="false" outlineLevel="0" collapsed="false">
      <c r="B47" s="43" t="s">
        <v>262</v>
      </c>
    </row>
    <row r="48" customFormat="false" ht="13" hidden="false" customHeight="false" outlineLevel="1" collapsed="false">
      <c r="F48" s="44" t="s">
        <v>263</v>
      </c>
    </row>
    <row r="49" customFormat="false" ht="13" hidden="false" customHeight="false" outlineLevel="1" collapsed="false">
      <c r="F49" s="61" t="s">
        <v>21</v>
      </c>
      <c r="G49" s="62" t="s">
        <v>271</v>
      </c>
    </row>
    <row r="50" customFormat="false" ht="13" hidden="false" customHeight="false" outlineLevel="1" collapsed="false">
      <c r="F50" s="65" t="s">
        <v>54</v>
      </c>
      <c r="G50" s="72" t="n">
        <v>1765</v>
      </c>
    </row>
    <row r="51" customFormat="false" ht="13" hidden="false" customHeight="false" outlineLevel="1" collapsed="false">
      <c r="F51" s="67" t="s">
        <v>31</v>
      </c>
      <c r="G51" s="73" t="n">
        <v>1444</v>
      </c>
    </row>
    <row r="52" customFormat="false" ht="13" hidden="false" customHeight="false" outlineLevel="1" collapsed="false">
      <c r="F52" s="67" t="s">
        <v>102</v>
      </c>
      <c r="G52" s="73" t="n">
        <v>1357</v>
      </c>
    </row>
    <row r="53" customFormat="false" ht="13" hidden="false" customHeight="false" outlineLevel="1" collapsed="false">
      <c r="F53" s="69" t="s">
        <v>116</v>
      </c>
      <c r="G53" s="74" t="n">
        <v>1246</v>
      </c>
    </row>
    <row r="54" customFormat="false" ht="13" hidden="false" customHeight="false" outlineLevel="1" collapsed="false"/>
    <row r="55" customFormat="false" ht="18.5" hidden="false" customHeight="false" outlineLevel="0" collapsed="false">
      <c r="B55" s="43" t="s">
        <v>264</v>
      </c>
    </row>
    <row r="56" customFormat="false" ht="13" hidden="false" customHeight="false" outlineLevel="1" collapsed="false">
      <c r="F56" s="44" t="s">
        <v>265</v>
      </c>
    </row>
    <row r="57" customFormat="false" ht="13" hidden="false" customHeight="false" outlineLevel="1" collapsed="false">
      <c r="F57" s="46" t="s">
        <v>22</v>
      </c>
      <c r="G57" s="47" t="s">
        <v>32</v>
      </c>
    </row>
    <row r="58" customFormat="false" ht="13" hidden="false" customHeight="false" outlineLevel="1" collapsed="false">
      <c r="F58" s="0"/>
      <c r="G58" s="0"/>
    </row>
    <row r="59" customFormat="false" ht="13" hidden="false" customHeight="false" outlineLevel="1" collapsed="false">
      <c r="F59" s="61" t="s">
        <v>19</v>
      </c>
      <c r="G59" s="62" t="s">
        <v>270</v>
      </c>
    </row>
    <row r="60" customFormat="false" ht="13" hidden="false" customHeight="false" outlineLevel="1" collapsed="false">
      <c r="F60" s="63" t="s">
        <v>29</v>
      </c>
      <c r="G60" s="64" t="n">
        <v>3016</v>
      </c>
    </row>
    <row r="61" customFormat="false" ht="13" hidden="false" customHeight="false" outlineLevel="1" collapsed="false"/>
    <row r="62" customFormat="false" ht="18.5" hidden="false" customHeight="false" outlineLevel="0" collapsed="false">
      <c r="B62" s="43" t="s">
        <v>266</v>
      </c>
    </row>
    <row r="63" customFormat="false" ht="13" hidden="false" customHeight="false" outlineLevel="1" collapsed="false"/>
    <row r="64" customFormat="false" ht="13" hidden="false" customHeight="false" outlineLevel="1" collapsed="false">
      <c r="F64" s="44" t="s">
        <v>267</v>
      </c>
    </row>
    <row r="65" customFormat="false" ht="13" hidden="false" customHeight="false" outlineLevel="1" collapsed="false">
      <c r="B65" s="59"/>
    </row>
    <row r="66" customFormat="false" ht="13" hidden="false" customHeight="false" outlineLevel="1" collapsed="false">
      <c r="F66" s="46" t="s">
        <v>21</v>
      </c>
      <c r="G66" s="47" t="s">
        <v>31</v>
      </c>
      <c r="H66" s="0"/>
    </row>
    <row r="67" customFormat="false" ht="13" hidden="false" customHeight="false" outlineLevel="1" collapsed="false">
      <c r="F67" s="0"/>
      <c r="G67" s="0"/>
      <c r="H67" s="0"/>
    </row>
    <row r="68" customFormat="false" ht="13" hidden="false" customHeight="false" outlineLevel="1" collapsed="false">
      <c r="F68" s="75"/>
      <c r="G68" s="76" t="s">
        <v>272</v>
      </c>
      <c r="H68" s="49"/>
    </row>
    <row r="69" customFormat="false" ht="13" hidden="false" customHeight="false" outlineLevel="1" collapsed="false">
      <c r="F69" s="77" t="s">
        <v>22</v>
      </c>
      <c r="G69" s="78" t="s">
        <v>273</v>
      </c>
      <c r="H69" s="79" t="s">
        <v>270</v>
      </c>
    </row>
    <row r="70" customFormat="false" ht="13" hidden="false" customHeight="false" outlineLevel="1" collapsed="false">
      <c r="F70" s="65" t="s">
        <v>35</v>
      </c>
      <c r="G70" s="80" t="n">
        <v>2</v>
      </c>
      <c r="H70" s="81" t="n">
        <v>5292.5</v>
      </c>
    </row>
    <row r="71" customFormat="false" ht="18.5" hidden="false" customHeight="false" outlineLevel="1" collapsed="false">
      <c r="B71" s="43"/>
      <c r="F71" s="67" t="s">
        <v>32</v>
      </c>
      <c r="G71" s="82" t="n">
        <v>4</v>
      </c>
      <c r="H71" s="83" t="n">
        <v>8410</v>
      </c>
    </row>
    <row r="72" customFormat="false" ht="13" hidden="false" customHeight="false" outlineLevel="1" collapsed="false">
      <c r="F72" s="69" t="s">
        <v>38</v>
      </c>
      <c r="G72" s="84" t="n">
        <v>5</v>
      </c>
      <c r="H72" s="85" t="n">
        <v>7235.5</v>
      </c>
    </row>
    <row r="73" customFormat="false" ht="18.5" hidden="false" customHeight="false" outlineLevel="0" collapsed="false">
      <c r="B73" s="43" t="s">
        <v>268</v>
      </c>
    </row>
    <row r="74" customFormat="false" ht="13" hidden="false" customHeight="false" outlineLevel="1" collapsed="false"/>
    <row r="75" customFormat="false" ht="13" hidden="false" customHeight="false" outlineLevel="1" collapsed="false">
      <c r="F75" s="44" t="s">
        <v>269</v>
      </c>
    </row>
    <row r="76" customFormat="false" ht="13" hidden="false" customHeight="false" outlineLevel="1" collapsed="false">
      <c r="B76" s="59"/>
    </row>
    <row r="77" customFormat="false" ht="13" hidden="false" customHeight="false" outlineLevel="1" collapsed="false"/>
    <row r="78" customFormat="false" ht="13" hidden="false" customHeight="false" outlineLevel="1" collapsed="false">
      <c r="F78" s="46" t="s">
        <v>21</v>
      </c>
      <c r="G78" s="47" t="s">
        <v>31</v>
      </c>
      <c r="H78" s="0"/>
    </row>
    <row r="79" customFormat="false" ht="13" hidden="false" customHeight="false" outlineLevel="1" collapsed="false">
      <c r="F79" s="46" t="s">
        <v>25</v>
      </c>
      <c r="G79" s="47" t="s">
        <v>274</v>
      </c>
      <c r="H79" s="0"/>
    </row>
    <row r="80" customFormat="false" ht="13" hidden="false" customHeight="false" outlineLevel="1" collapsed="false">
      <c r="F80" s="0"/>
      <c r="G80" s="0"/>
      <c r="H80" s="0"/>
    </row>
    <row r="81" customFormat="false" ht="13" hidden="false" customHeight="false" outlineLevel="1" collapsed="false">
      <c r="F81" s="75"/>
      <c r="G81" s="76" t="s">
        <v>272</v>
      </c>
      <c r="H81" s="49"/>
    </row>
    <row r="82" customFormat="false" ht="13" hidden="false" customHeight="false" outlineLevel="1" collapsed="false">
      <c r="F82" s="77" t="s">
        <v>22</v>
      </c>
      <c r="G82" s="78" t="s">
        <v>273</v>
      </c>
      <c r="H82" s="79" t="s">
        <v>270</v>
      </c>
    </row>
    <row r="83" customFormat="false" ht="13" hidden="false" customHeight="false" outlineLevel="1" collapsed="false">
      <c r="F83" s="65" t="s">
        <v>35</v>
      </c>
      <c r="G83" s="80" t="n">
        <v>2</v>
      </c>
      <c r="H83" s="81" t="n">
        <v>5292.5</v>
      </c>
    </row>
    <row r="84" customFormat="false" ht="13" hidden="false" customHeight="false" outlineLevel="1" collapsed="false">
      <c r="F84" s="67" t="s">
        <v>32</v>
      </c>
      <c r="G84" s="82" t="n">
        <v>3</v>
      </c>
      <c r="H84" s="83" t="n">
        <v>7351.5</v>
      </c>
    </row>
    <row r="85" customFormat="false" ht="13" hidden="false" customHeight="false" outlineLevel="1" collapsed="false">
      <c r="F85" s="69" t="s">
        <v>38</v>
      </c>
      <c r="G85" s="84" t="n">
        <v>3</v>
      </c>
      <c r="H85" s="85" t="n">
        <v>6438</v>
      </c>
    </row>
    <row r="86" customFormat="false" ht="13" hidden="false" customHeight="false" outlineLevel="1" collapsed="false"/>
    <row r="87" customFormat="false" ht="13" hidden="false" customHeight="false" outlineLevel="1" collapsed="false"/>
    <row r="88" customFormat="false" ht="13" hidden="false" customHeight="false" outlineLevel="1" collapsed="false"/>
    <row r="89" customFormat="false" ht="13" hidden="false" customHeight="false" outlineLevel="1" collapsed="false"/>
    <row r="90" customFormat="false" ht="13" hidden="false" customHeight="false" outlineLevel="1" collapsed="false"/>
    <row r="91" customFormat="false" ht="13" hidden="false" customHeight="false" outlineLevel="1" collapsed="false"/>
    <row r="92" customFormat="false" ht="13" hidden="false" customHeight="false" outlineLevel="1" collapsed="false"/>
    <row r="93" customFormat="false" ht="13" hidden="false" customHeight="false" outlineLevel="1" collapsed="false"/>
    <row r="94" customFormat="false" ht="13" hidden="false" customHeight="false" outlineLevel="1" collapsed="false"/>
    <row r="95" customFormat="false" ht="13" hidden="false" customHeight="false" outlineLevel="1" collapsed="false"/>
    <row r="96" customFormat="false" ht="13" hidden="false" customHeight="false" outlineLevel="0" collapsed="false"/>
    <row r="97" customFormat="false" ht="13" hidden="false" customHeight="false" outlineLevel="0" collapsed="false"/>
    <row r="98" customFormat="false" ht="13" hidden="false" customHeight="false" outlineLevel="0" collapsed="false"/>
    <row r="99" customFormat="false" ht="13" hidden="false" customHeight="false" outlineLevel="0" collapsed="false"/>
    <row r="100" customFormat="false" ht="13" hidden="false" customHeight="false" outlineLevel="0" collapsed="false"/>
    <row r="101" customFormat="false" ht="13" hidden="false" customHeight="false" outlineLevel="0" collapsed="false"/>
    <row r="102" customFormat="false" ht="13" hidden="false" customHeight="false" outlineLevel="0" collapsed="false"/>
    <row r="103" customFormat="false" ht="13" hidden="false" customHeight="false" outlineLevel="0" collapsed="false"/>
    <row r="104" customFormat="false" ht="13" hidden="false" customHeight="false" outlineLevel="0" collapsed="false"/>
    <row r="105" customFormat="false" ht="13" hidden="false" customHeight="false" outlineLevel="0" collapsed="false"/>
    <row r="106" customFormat="false" ht="13" hidden="false" customHeight="false" outlineLevel="0" collapsed="false"/>
    <row r="107" customFormat="false" ht="13" hidden="false" customHeight="false" outlineLevel="0" collapsed="false"/>
    <row r="108" customFormat="false" ht="13" hidden="false" customHeight="false" outlineLevel="0" collapsed="false"/>
    <row r="109" customFormat="false" ht="13" hidden="false" customHeight="false" outlineLevel="0" collapsed="false"/>
    <row r="110" customFormat="false" ht="13" hidden="false" customHeight="false" outlineLevel="0" collapsed="false"/>
    <row r="111" customFormat="false" ht="13" hidden="false" customHeight="false" outlineLevel="0" collapsed="false"/>
    <row r="112" customFormat="false" ht="13" hidden="false" customHeight="false" outlineLevel="0" collapsed="false"/>
    <row r="113" customFormat="false" ht="13" hidden="false" customHeight="false" outlineLevel="0" collapsed="false"/>
    <row r="114" customFormat="false" ht="13" hidden="false" customHeight="false" outlineLevel="0" collapsed="false"/>
    <row r="115" customFormat="false" ht="13" hidden="false" customHeight="false" outlineLevel="0" collapsed="false"/>
    <row r="116" customFormat="false" ht="13" hidden="false" customHeight="false" outlineLevel="0" collapsed="false"/>
    <row r="117" customFormat="false" ht="13" hidden="false" customHeight="false" outlineLevel="0" collapsed="false"/>
    <row r="118" customFormat="false" ht="13" hidden="false" customHeight="false" outlineLevel="0" collapsed="false"/>
    <row r="119" customFormat="false" ht="13" hidden="false" customHeight="false" outlineLevel="0" collapsed="false"/>
    <row r="120" customFormat="false" ht="13" hidden="false" customHeight="false" outlineLevel="0" collapsed="false"/>
    <row r="121" customFormat="false" ht="13" hidden="false" customHeight="false" outlineLevel="0" collapsed="false"/>
    <row r="122" customFormat="false" ht="13" hidden="false" customHeight="false" outlineLevel="0" collapsed="false"/>
    <row r="123" customFormat="false" ht="13" hidden="false" customHeight="false" outlineLevel="0" collapsed="false"/>
    <row r="124" customFormat="false" ht="13" hidden="false" customHeight="false" outlineLevel="0" collapsed="false"/>
    <row r="125" customFormat="false" ht="13" hidden="false" customHeight="false" outlineLevel="0" collapsed="false"/>
    <row r="126" customFormat="false" ht="13" hidden="false" customHeight="false" outlineLevel="0" collapsed="false"/>
    <row r="127" customFormat="false" ht="13" hidden="false" customHeight="false" outlineLevel="0" collapsed="false"/>
    <row r="128" customFormat="false" ht="13" hidden="false" customHeight="false" outlineLevel="0" collapsed="false"/>
    <row r="129" customFormat="false" ht="13" hidden="false" customHeight="false" outlineLevel="0" collapsed="false"/>
    <row r="130" customFormat="false" ht="13" hidden="false" customHeight="false" outlineLevel="0" collapsed="false"/>
    <row r="131" customFormat="false" ht="13" hidden="false" customHeight="false" outlineLevel="0" collapsed="false"/>
    <row r="132" customFormat="false" ht="13" hidden="false" customHeight="false" outlineLevel="0" collapsed="false"/>
    <row r="133" customFormat="false" ht="13" hidden="false" customHeight="false" outlineLevel="0" collapsed="false"/>
    <row r="134" customFormat="false" ht="13" hidden="false" customHeight="false" outlineLevel="0" collapsed="false"/>
    <row r="135" customFormat="false" ht="13" hidden="false" customHeight="false" outlineLevel="0" collapsed="false"/>
    <row r="136" customFormat="false" ht="13" hidden="false" customHeight="false" outlineLevel="0" collapsed="false"/>
    <row r="137" customFormat="false" ht="13" hidden="false" customHeight="false" outlineLevel="0" collapsed="false"/>
    <row r="138" customFormat="false" ht="13" hidden="false" customHeight="false" outlineLevel="0" collapsed="false"/>
    <row r="139" customFormat="false" ht="13" hidden="false" customHeight="false" outlineLevel="0" collapsed="false"/>
    <row r="140" customFormat="false" ht="13" hidden="false" customHeight="false" outlineLevel="0" collapsed="false"/>
    <row r="141" customFormat="false" ht="13" hidden="false" customHeight="false" outlineLevel="0" collapsed="false"/>
    <row r="142" customFormat="false" ht="13" hidden="false" customHeight="false" outlineLevel="0" collapsed="false"/>
    <row r="143" customFormat="false" ht="13" hidden="false" customHeight="false" outlineLevel="0" collapsed="false"/>
    <row r="144" customFormat="false" ht="13" hidden="false" customHeight="false" outlineLevel="0" collapsed="false"/>
    <row r="145" customFormat="false" ht="13" hidden="false" customHeight="false" outlineLevel="0" collapsed="false"/>
    <row r="146" customFormat="false" ht="13" hidden="false" customHeight="false" outlineLevel="0" collapsed="false"/>
    <row r="147" customFormat="false" ht="13" hidden="false" customHeight="false" outlineLevel="0" collapsed="false"/>
    <row r="148" customFormat="false" ht="13" hidden="false" customHeight="false" outlineLevel="0" collapsed="false"/>
    <row r="149" customFormat="false" ht="13" hidden="false" customHeight="false" outlineLevel="0" collapsed="false"/>
    <row r="150" customFormat="false" ht="13" hidden="false" customHeight="false" outlineLevel="0" collapsed="false"/>
    <row r="151" customFormat="false" ht="13" hidden="false" customHeight="false" outlineLevel="0" collapsed="false"/>
    <row r="152" customFormat="false" ht="13" hidden="false" customHeight="false" outlineLevel="0" collapsed="false"/>
    <row r="153" customFormat="false" ht="13" hidden="false" customHeight="false" outlineLevel="0" collapsed="false"/>
    <row r="154" customFormat="false" ht="13" hidden="false" customHeight="false" outlineLevel="0" collapsed="false"/>
    <row r="155" customFormat="false" ht="13" hidden="false" customHeight="false" outlineLevel="0" collapsed="false"/>
    <row r="156" customFormat="false" ht="13" hidden="false" customHeight="false" outlineLevel="0" collapsed="false"/>
    <row r="157" customFormat="false" ht="13" hidden="false" customHeight="false" outlineLevel="0" collapsed="false"/>
    <row r="158" customFormat="false" ht="13" hidden="false" customHeight="false" outlineLevel="0" collapsed="false"/>
    <row r="159" customFormat="false" ht="13" hidden="false" customHeight="false" outlineLevel="0" collapsed="false"/>
    <row r="160" customFormat="false" ht="13" hidden="false" customHeight="false" outlineLevel="0" collapsed="false"/>
    <row r="161" customFormat="false" ht="13" hidden="false" customHeight="false" outlineLevel="0" collapsed="false"/>
    <row r="162" customFormat="false" ht="13" hidden="false" customHeight="false" outlineLevel="0" collapsed="false"/>
    <row r="163" customFormat="false" ht="13" hidden="false" customHeight="false" outlineLevel="0" collapsed="false"/>
    <row r="164" customFormat="false" ht="13" hidden="false" customHeight="false" outlineLevel="0" collapsed="false"/>
    <row r="165" customFormat="false" ht="13" hidden="false" customHeight="false" outlineLevel="0" collapsed="false"/>
    <row r="166" customFormat="false" ht="13" hidden="false" customHeight="false" outlineLevel="0" collapsed="false"/>
    <row r="167" customFormat="false" ht="13" hidden="false" customHeight="false" outlineLevel="0" collapsed="false"/>
    <row r="168" customFormat="false" ht="13" hidden="false" customHeight="false" outlineLevel="0" collapsed="false"/>
    <row r="169" customFormat="false" ht="13" hidden="false" customHeight="false" outlineLevel="0" collapsed="false"/>
    <row r="170" customFormat="false" ht="13" hidden="false" customHeight="false" outlineLevel="0" collapsed="false"/>
    <row r="171" customFormat="false" ht="13" hidden="false" customHeight="false" outlineLevel="0" collapsed="false"/>
    <row r="172" customFormat="false" ht="13" hidden="false" customHeight="false" outlineLevel="0" collapsed="false"/>
    <row r="173" customFormat="false" ht="13" hidden="false" customHeight="false" outlineLevel="0" collapsed="false"/>
    <row r="174" customFormat="false" ht="13" hidden="false" customHeight="false" outlineLevel="0" collapsed="false"/>
    <row r="175" customFormat="false" ht="13" hidden="false" customHeight="false" outlineLevel="0" collapsed="false"/>
    <row r="176" customFormat="false" ht="13" hidden="false" customHeight="false" outlineLevel="0" collapsed="false"/>
    <row r="177" customFormat="false" ht="13" hidden="false" customHeight="false" outlineLevel="0" collapsed="false"/>
    <row r="178" customFormat="false" ht="13" hidden="false" customHeight="false" outlineLevel="0" collapsed="false"/>
    <row r="179" customFormat="false" ht="13" hidden="false" customHeight="false" outlineLevel="0" collapsed="false"/>
    <row r="180" customFormat="false" ht="13" hidden="false" customHeight="false" outlineLevel="0" collapsed="false"/>
    <row r="181" customFormat="false" ht="13" hidden="false" customHeight="false" outlineLevel="0" collapsed="false"/>
    <row r="182" customFormat="false" ht="13" hidden="false" customHeight="false" outlineLevel="0" collapsed="false"/>
    <row r="183" customFormat="false" ht="13" hidden="false" customHeight="false" outlineLevel="0" collapsed="false"/>
    <row r="184" customFormat="false" ht="13" hidden="false" customHeight="false" outlineLevel="0" collapsed="false"/>
    <row r="185" customFormat="false" ht="13" hidden="false" customHeight="false" outlineLevel="0" collapsed="false"/>
    <row r="186" customFormat="false" ht="13" hidden="false" customHeight="false" outlineLevel="0" collapsed="false"/>
    <row r="187" customFormat="false" ht="13" hidden="false" customHeight="false" outlineLevel="0" collapsed="false"/>
    <row r="188" customFormat="false" ht="13" hidden="false" customHeight="false" outlineLevel="0" collapsed="false"/>
    <row r="189" customFormat="false" ht="13" hidden="false" customHeight="false" outlineLevel="0" collapsed="false"/>
    <row r="190" customFormat="false" ht="13" hidden="false" customHeight="false" outlineLevel="0" collapsed="false"/>
    <row r="191" customFormat="false" ht="13" hidden="false" customHeight="false" outlineLevel="0" collapsed="false"/>
    <row r="192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96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H1" activeCellId="0" sqref="H1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31.34"/>
    <col collapsed="false" customWidth="true" hidden="false" outlineLevel="0" max="7" min="7" style="2" width="20.77"/>
    <col collapsed="false" customWidth="true" hidden="false" outlineLevel="0" max="8" min="8" style="2" width="15.33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1" min="11" style="2" width="14.33"/>
    <col collapsed="false" customWidth="true" hidden="false" outlineLevel="0" max="1025" min="12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  <c r="E1" s="2" t="s">
        <v>275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Optional Student Exercises</v>
      </c>
    </row>
    <row r="7" customFormat="false" ht="18.5" hidden="false" customHeight="false" outlineLevel="0" collapsed="false">
      <c r="B7" s="43" t="s">
        <v>276</v>
      </c>
    </row>
    <row r="8" customFormat="false" ht="13" hidden="true" customHeight="false" outlineLevel="1" collapsed="false">
      <c r="F8" s="44" t="s">
        <v>277</v>
      </c>
    </row>
    <row r="9" customFormat="false" ht="13" hidden="true" customHeight="false" outlineLevel="1" collapsed="false"/>
    <row r="10" customFormat="false" ht="13" hidden="true" customHeight="false" outlineLevel="1" collapsed="false">
      <c r="F10" s="61" t="s">
        <v>19</v>
      </c>
      <c r="G10" s="62" t="s">
        <v>270</v>
      </c>
    </row>
    <row r="11" customFormat="false" ht="13" hidden="true" customHeight="false" outlineLevel="1" collapsed="false">
      <c r="F11" s="65" t="s">
        <v>29</v>
      </c>
      <c r="G11" s="86" t="n">
        <v>3016</v>
      </c>
    </row>
    <row r="12" customFormat="false" ht="13" hidden="true" customHeight="false" outlineLevel="1" collapsed="false">
      <c r="F12" s="87" t="s">
        <v>278</v>
      </c>
      <c r="G12" s="88" t="n">
        <v>3016</v>
      </c>
    </row>
    <row r="13" customFormat="false" ht="13" hidden="true" customHeight="false" outlineLevel="1" collapsed="false"/>
    <row r="14" customFormat="false" ht="13" hidden="true" customHeight="false" outlineLevel="1" collapsed="false">
      <c r="I14" s="2" t="s">
        <v>279</v>
      </c>
    </row>
    <row r="15" customFormat="false" ht="13" hidden="true" customHeight="false" outlineLevel="1" collapsed="false"/>
    <row r="16" customFormat="false" ht="13" hidden="true" customHeight="false" outlineLevel="1" collapsed="false"/>
    <row r="17" customFormat="false" ht="13" hidden="true" customHeight="false" outlineLevel="1" collapsed="false"/>
    <row r="18" customFormat="false" ht="13" hidden="true" customHeight="false" outlineLevel="1" collapsed="false"/>
    <row r="19" customFormat="false" ht="13" hidden="true" customHeight="false" outlineLevel="1" collapsed="false"/>
    <row r="20" customFormat="false" ht="12.5" hidden="true" customHeight="false" outlineLevel="1" collapsed="false"/>
    <row r="21" customFormat="false" ht="12.5" hidden="true" customHeight="false" outlineLevel="1" collapsed="false"/>
    <row r="22" customFormat="false" ht="12.5" hidden="true" customHeight="false" outlineLevel="1" collapsed="false"/>
    <row r="23" customFormat="false" ht="12.5" hidden="true" customHeight="false" outlineLevel="1" collapsed="false"/>
    <row r="24" customFormat="false" ht="18.5" hidden="false" customHeight="false" outlineLevel="0" collapsed="false">
      <c r="B24" s="43" t="s">
        <v>280</v>
      </c>
    </row>
    <row r="25" customFormat="false" ht="13" hidden="true" customHeight="false" outlineLevel="1" collapsed="false">
      <c r="F25" s="44" t="s">
        <v>281</v>
      </c>
    </row>
    <row r="26" customFormat="false" ht="13" hidden="true" customHeight="false" outlineLevel="1" collapsed="false">
      <c r="F26" s="46" t="s">
        <v>19</v>
      </c>
      <c r="G26" s="47" t="s">
        <v>98</v>
      </c>
    </row>
    <row r="27" customFormat="false" ht="13" hidden="true" customHeight="false" outlineLevel="1" collapsed="false">
      <c r="F27" s="0"/>
      <c r="G27" s="0"/>
    </row>
    <row r="28" customFormat="false" ht="13" hidden="true" customHeight="false" outlineLevel="1" collapsed="false">
      <c r="F28" s="61" t="s">
        <v>18</v>
      </c>
      <c r="G28" s="62" t="s">
        <v>270</v>
      </c>
    </row>
    <row r="29" customFormat="false" ht="13" hidden="true" customHeight="false" outlineLevel="1" collapsed="false">
      <c r="F29" s="65" t="s">
        <v>97</v>
      </c>
      <c r="G29" s="66" t="n">
        <v>949.05</v>
      </c>
    </row>
    <row r="30" customFormat="false" ht="13" hidden="true" customHeight="false" outlineLevel="1" collapsed="false">
      <c r="F30" s="67" t="s">
        <v>127</v>
      </c>
      <c r="G30" s="68" t="n">
        <v>682.5</v>
      </c>
    </row>
    <row r="31" customFormat="false" ht="13" hidden="true" customHeight="false" outlineLevel="1" collapsed="false">
      <c r="F31" s="67" t="s">
        <v>180</v>
      </c>
      <c r="G31" s="89" t="n">
        <v>474.5</v>
      </c>
    </row>
    <row r="32" customFormat="false" ht="13" hidden="true" customHeight="false" outlineLevel="1" collapsed="false">
      <c r="F32" s="87" t="s">
        <v>278</v>
      </c>
      <c r="G32" s="88" t="n">
        <v>2106.05</v>
      </c>
    </row>
    <row r="33" customFormat="false" ht="13" hidden="true" customHeight="false" outlineLevel="1" collapsed="false"/>
    <row r="34" customFormat="false" ht="13" hidden="true" customHeight="false" outlineLevel="1" collapsed="false"/>
    <row r="35" customFormat="false" ht="13" hidden="true" customHeight="false" outlineLevel="1" collapsed="false"/>
    <row r="36" customFormat="false" ht="13" hidden="true" customHeight="false" outlineLevel="1" collapsed="false"/>
    <row r="37" customFormat="false" ht="13" hidden="true" customHeight="false" outlineLevel="1" collapsed="false"/>
    <row r="38" customFormat="false" ht="13" hidden="true" customHeight="false" outlineLevel="1" collapsed="false"/>
    <row r="39" customFormat="false" ht="12.5" hidden="true" customHeight="false" outlineLevel="1" collapsed="false"/>
    <row r="40" customFormat="false" ht="12.5" hidden="true" customHeight="false" outlineLevel="1" collapsed="false"/>
    <row r="41" customFormat="false" ht="12.5" hidden="true" customHeight="false" outlineLevel="1" collapsed="false"/>
    <row r="42" customFormat="false" ht="12.5" hidden="true" customHeight="false" outlineLevel="1" collapsed="false"/>
    <row r="43" customFormat="false" ht="12.5" hidden="true" customHeight="false" outlineLevel="1" collapsed="false"/>
    <row r="44" customFormat="false" ht="12.5" hidden="true" customHeight="false" outlineLevel="1" collapsed="false"/>
    <row r="45" customFormat="false" ht="18.5" hidden="false" customHeight="false" outlineLevel="0" collapsed="false">
      <c r="B45" s="43" t="s">
        <v>282</v>
      </c>
    </row>
    <row r="46" customFormat="false" ht="13" hidden="true" customHeight="false" outlineLevel="1" collapsed="false">
      <c r="F46" s="44" t="s">
        <v>283</v>
      </c>
    </row>
    <row r="47" customFormat="false" ht="13" hidden="true" customHeight="false" outlineLevel="1" collapsed="false">
      <c r="F47" s="44" t="s">
        <v>284</v>
      </c>
    </row>
    <row r="48" customFormat="false" ht="13" hidden="true" customHeight="false" outlineLevel="1" collapsed="false">
      <c r="F48" s="61" t="s">
        <v>22</v>
      </c>
      <c r="G48" s="76" t="s">
        <v>21</v>
      </c>
      <c r="H48" s="62" t="s">
        <v>271</v>
      </c>
    </row>
    <row r="49" customFormat="false" ht="13" hidden="true" customHeight="false" outlineLevel="1" collapsed="false">
      <c r="F49" s="65" t="s">
        <v>35</v>
      </c>
      <c r="G49" s="90"/>
      <c r="H49" s="72" t="n">
        <v>1042</v>
      </c>
    </row>
    <row r="50" customFormat="false" ht="13" hidden="true" customHeight="false" outlineLevel="1" collapsed="false">
      <c r="F50" s="67"/>
      <c r="G50" s="91" t="s">
        <v>102</v>
      </c>
      <c r="H50" s="73" t="n">
        <v>411</v>
      </c>
    </row>
    <row r="51" customFormat="false" ht="13" hidden="true" customHeight="false" outlineLevel="1" collapsed="false">
      <c r="F51" s="67"/>
      <c r="G51" s="91" t="s">
        <v>31</v>
      </c>
      <c r="H51" s="73" t="n">
        <v>365</v>
      </c>
    </row>
    <row r="52" customFormat="false" ht="13" hidden="true" customHeight="false" outlineLevel="1" collapsed="false">
      <c r="F52" s="67"/>
      <c r="G52" s="91" t="s">
        <v>50</v>
      </c>
      <c r="H52" s="73" t="n">
        <v>141</v>
      </c>
    </row>
    <row r="53" customFormat="false" ht="13" hidden="true" customHeight="false" outlineLevel="1" collapsed="false">
      <c r="F53" s="92"/>
      <c r="G53" s="93" t="s">
        <v>92</v>
      </c>
      <c r="H53" s="94" t="n">
        <v>125</v>
      </c>
    </row>
    <row r="54" customFormat="false" ht="13" hidden="true" customHeight="false" outlineLevel="1" collapsed="false">
      <c r="F54" s="65" t="s">
        <v>32</v>
      </c>
      <c r="G54" s="90"/>
      <c r="H54" s="72" t="n">
        <v>3302</v>
      </c>
    </row>
    <row r="55" customFormat="false" ht="13" hidden="true" customHeight="false" outlineLevel="1" collapsed="false">
      <c r="F55" s="67"/>
      <c r="G55" s="91" t="s">
        <v>54</v>
      </c>
      <c r="H55" s="73" t="n">
        <v>1265</v>
      </c>
    </row>
    <row r="56" customFormat="false" ht="13" hidden="true" customHeight="false" outlineLevel="1" collapsed="false">
      <c r="F56" s="67"/>
      <c r="G56" s="91" t="s">
        <v>116</v>
      </c>
      <c r="H56" s="73" t="n">
        <v>874</v>
      </c>
    </row>
    <row r="57" customFormat="false" ht="13" hidden="true" customHeight="false" outlineLevel="1" collapsed="false">
      <c r="F57" s="67"/>
      <c r="G57" s="91" t="s">
        <v>165</v>
      </c>
      <c r="H57" s="73" t="n">
        <v>583</v>
      </c>
    </row>
    <row r="58" customFormat="false" ht="13" hidden="true" customHeight="false" outlineLevel="1" collapsed="false">
      <c r="F58" s="92"/>
      <c r="G58" s="93" t="s">
        <v>31</v>
      </c>
      <c r="H58" s="94" t="n">
        <v>580</v>
      </c>
    </row>
    <row r="59" customFormat="false" ht="13" hidden="true" customHeight="false" outlineLevel="1" collapsed="false">
      <c r="F59" s="65" t="s">
        <v>38</v>
      </c>
      <c r="G59" s="90"/>
      <c r="H59" s="72" t="n">
        <v>2421</v>
      </c>
    </row>
    <row r="60" customFormat="false" ht="13" hidden="true" customHeight="false" outlineLevel="1" collapsed="false">
      <c r="F60" s="67"/>
      <c r="G60" s="91" t="s">
        <v>102</v>
      </c>
      <c r="H60" s="73" t="n">
        <v>824</v>
      </c>
    </row>
    <row r="61" customFormat="false" ht="13" hidden="true" customHeight="false" outlineLevel="1" collapsed="false">
      <c r="F61" s="67"/>
      <c r="G61" s="91" t="s">
        <v>126</v>
      </c>
      <c r="H61" s="73" t="n">
        <v>591</v>
      </c>
    </row>
    <row r="62" customFormat="false" ht="13" hidden="true" customHeight="false" outlineLevel="1" collapsed="false">
      <c r="F62" s="67"/>
      <c r="G62" s="91" t="s">
        <v>50</v>
      </c>
      <c r="H62" s="73" t="n">
        <v>506</v>
      </c>
    </row>
    <row r="63" customFormat="false" ht="13" hidden="true" customHeight="false" outlineLevel="1" collapsed="false">
      <c r="F63" s="92"/>
      <c r="G63" s="93" t="s">
        <v>54</v>
      </c>
      <c r="H63" s="94" t="n">
        <v>500</v>
      </c>
    </row>
    <row r="64" customFormat="false" ht="13" hidden="true" customHeight="false" outlineLevel="1" collapsed="false">
      <c r="F64" s="95" t="s">
        <v>278</v>
      </c>
      <c r="G64" s="96"/>
      <c r="H64" s="97" t="n">
        <v>6765</v>
      </c>
    </row>
    <row r="65" customFormat="false" ht="12.5" hidden="true" customHeight="false" outlineLevel="1" collapsed="false"/>
    <row r="66" customFormat="false" ht="12.5" hidden="true" customHeight="false" outlineLevel="1" collapsed="false"/>
    <row r="67" customFormat="false" ht="12.5" hidden="true" customHeight="false" outlineLevel="1" collapsed="false"/>
    <row r="68" customFormat="false" ht="12.5" hidden="true" customHeight="false" outlineLevel="1" collapsed="false"/>
    <row r="69" customFormat="false" ht="12.5" hidden="true" customHeight="false" outlineLevel="1" collapsed="false"/>
    <row r="70" customFormat="false" ht="12.5" hidden="true" customHeight="false" outlineLevel="1" collapsed="false"/>
    <row r="71" customFormat="false" ht="18.5" hidden="false" customHeight="false" outlineLevel="0" collapsed="false">
      <c r="B71" s="43" t="s">
        <v>285</v>
      </c>
    </row>
    <row r="72" customFormat="false" ht="12.5" hidden="true" customHeight="false" outlineLevel="1" collapsed="false"/>
    <row r="73" customFormat="false" ht="13" hidden="true" customHeight="false" outlineLevel="1" collapsed="false">
      <c r="F73" s="44" t="s">
        <v>286</v>
      </c>
    </row>
    <row r="74" customFormat="false" ht="13" hidden="true" customHeight="false" outlineLevel="1" collapsed="false">
      <c r="F74" s="44" t="s">
        <v>284</v>
      </c>
    </row>
    <row r="75" customFormat="false" ht="13" hidden="true" customHeight="false" outlineLevel="1" collapsed="false">
      <c r="F75" s="61" t="s">
        <v>19</v>
      </c>
      <c r="G75" s="76" t="s">
        <v>21</v>
      </c>
      <c r="H75" s="62" t="s">
        <v>270</v>
      </c>
    </row>
    <row r="76" customFormat="false" ht="13" hidden="true" customHeight="false" outlineLevel="1" collapsed="false">
      <c r="F76" s="65" t="s">
        <v>29</v>
      </c>
      <c r="G76" s="90"/>
      <c r="H76" s="66" t="n">
        <v>3016</v>
      </c>
    </row>
    <row r="77" customFormat="false" ht="13" hidden="true" customHeight="false" outlineLevel="1" collapsed="false">
      <c r="F77" s="92"/>
      <c r="G77" s="93" t="s">
        <v>31</v>
      </c>
      <c r="H77" s="89" t="n">
        <v>3016</v>
      </c>
    </row>
    <row r="78" customFormat="false" ht="13" hidden="true" customHeight="false" outlineLevel="1" collapsed="false">
      <c r="F78" s="65" t="s">
        <v>34</v>
      </c>
      <c r="G78" s="90"/>
      <c r="H78" s="66" t="n">
        <v>2856.5</v>
      </c>
    </row>
    <row r="79" customFormat="false" ht="13" hidden="true" customHeight="false" outlineLevel="1" collapsed="false">
      <c r="F79" s="92"/>
      <c r="G79" s="93" t="s">
        <v>31</v>
      </c>
      <c r="H79" s="89" t="n">
        <v>2856.5</v>
      </c>
    </row>
    <row r="80" customFormat="false" ht="13" hidden="true" customHeight="false" outlineLevel="1" collapsed="false">
      <c r="F80" s="65" t="s">
        <v>40</v>
      </c>
      <c r="G80" s="90"/>
      <c r="H80" s="66" t="n">
        <v>2845.59</v>
      </c>
    </row>
    <row r="81" customFormat="false" ht="13" hidden="true" customHeight="false" outlineLevel="1" collapsed="false">
      <c r="F81" s="67"/>
      <c r="G81" s="91" t="s">
        <v>50</v>
      </c>
      <c r="H81" s="68" t="n">
        <v>409.59</v>
      </c>
    </row>
    <row r="82" customFormat="false" ht="13" hidden="true" customHeight="false" outlineLevel="1" collapsed="false">
      <c r="F82" s="92"/>
      <c r="G82" s="93" t="s">
        <v>31</v>
      </c>
      <c r="H82" s="89" t="n">
        <v>2436</v>
      </c>
    </row>
    <row r="83" customFormat="false" ht="13" hidden="true" customHeight="false" outlineLevel="1" collapsed="false">
      <c r="F83" s="65" t="s">
        <v>48</v>
      </c>
      <c r="G83" s="90"/>
      <c r="H83" s="66" t="n">
        <v>2628.27</v>
      </c>
    </row>
    <row r="84" customFormat="false" ht="13" hidden="true" customHeight="false" outlineLevel="1" collapsed="false">
      <c r="F84" s="67"/>
      <c r="G84" s="91" t="s">
        <v>102</v>
      </c>
      <c r="H84" s="68" t="n">
        <v>490.5</v>
      </c>
    </row>
    <row r="85" customFormat="false" ht="13" hidden="true" customHeight="false" outlineLevel="1" collapsed="false">
      <c r="F85" s="67"/>
      <c r="G85" s="91" t="s">
        <v>50</v>
      </c>
      <c r="H85" s="68" t="n">
        <v>1928.07</v>
      </c>
    </row>
    <row r="86" customFormat="false" ht="13" hidden="true" customHeight="false" outlineLevel="1" collapsed="false">
      <c r="F86" s="92"/>
      <c r="G86" s="93" t="s">
        <v>74</v>
      </c>
      <c r="H86" s="89" t="n">
        <v>209.7</v>
      </c>
    </row>
    <row r="87" customFormat="false" ht="13" hidden="true" customHeight="false" outlineLevel="1" collapsed="false">
      <c r="F87" s="65" t="s">
        <v>37</v>
      </c>
      <c r="G87" s="90"/>
      <c r="H87" s="66" t="n">
        <v>2552</v>
      </c>
    </row>
    <row r="88" customFormat="false" ht="13" hidden="true" customHeight="false" outlineLevel="1" collapsed="false">
      <c r="F88" s="92"/>
      <c r="G88" s="93" t="s">
        <v>31</v>
      </c>
      <c r="H88" s="89" t="n">
        <v>2552</v>
      </c>
    </row>
    <row r="89" customFormat="false" ht="13" hidden="true" customHeight="false" outlineLevel="1" collapsed="false">
      <c r="F89" s="95" t="s">
        <v>278</v>
      </c>
      <c r="G89" s="96"/>
      <c r="H89" s="88" t="n">
        <v>13898.36</v>
      </c>
    </row>
    <row r="90" customFormat="false" ht="13" hidden="true" customHeight="false" outlineLevel="1" collapsed="false"/>
    <row r="91" customFormat="false" ht="13" hidden="true" customHeight="false" outlineLevel="1" collapsed="false"/>
    <row r="92" customFormat="false" ht="13" hidden="true" customHeight="false" outlineLevel="1" collapsed="false"/>
    <row r="93" customFormat="false" ht="12.5" hidden="true" customHeight="false" outlineLevel="1" collapsed="false"/>
    <row r="94" customFormat="false" ht="13" hidden="true" customHeight="false" outlineLevel="1" collapsed="false"/>
    <row r="96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P98"/>
  <sheetViews>
    <sheetView showFormulas="false" showGridLines="false" showRowColHeaders="true" showZeros="true" rightToLeft="false" tabSelected="false" showOutlineSymbols="true" defaultGridColor="true" view="normal" topLeftCell="A58" colorId="64" zoomScale="80" zoomScaleNormal="80" zoomScalePageLayoutView="100" workbookViewId="0">
      <selection pane="topLeft" activeCell="M76" activeCellId="0" sqref="M76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31.34"/>
    <col collapsed="false" customWidth="true" hidden="false" outlineLevel="0" max="7" min="7" style="2" width="28.11"/>
    <col collapsed="false" customWidth="true" hidden="false" outlineLevel="0" max="8" min="8" style="2" width="20.77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6" min="11" style="2" width="9.34"/>
    <col collapsed="false" customWidth="true" hidden="false" outlineLevel="0" max="17" min="17" style="2" width="18.67"/>
    <col collapsed="false" customWidth="true" hidden="false" outlineLevel="0" max="19" min="18" style="2" width="20.77"/>
    <col collapsed="false" customWidth="true" hidden="false" outlineLevel="0" max="1025" min="20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  <c r="E1" s="2" t="s">
        <v>275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Optional Student Exercise (ANS)</v>
      </c>
    </row>
    <row r="5" customFormat="false" ht="12.5" hidden="false" customHeight="false" outlineLevel="0" collapsed="false">
      <c r="P5" s="52"/>
    </row>
    <row r="6" customFormat="false" ht="13" hidden="false" customHeight="false" outlineLevel="0" collapsed="false"/>
    <row r="7" customFormat="false" ht="18.5" hidden="false" customHeight="false" outlineLevel="0" collapsed="false">
      <c r="B7" s="43" t="s">
        <v>276</v>
      </c>
    </row>
    <row r="8" customFormat="false" ht="13" hidden="false" customHeight="false" outlineLevel="1" collapsed="false">
      <c r="F8" s="44" t="s">
        <v>277</v>
      </c>
    </row>
    <row r="9" customFormat="false" ht="13" hidden="false" customHeight="false" outlineLevel="1" collapsed="false"/>
    <row r="10" customFormat="false" ht="13" hidden="false" customHeight="false" outlineLevel="1" collapsed="false">
      <c r="F10" s="61" t="s">
        <v>19</v>
      </c>
      <c r="G10" s="62" t="s">
        <v>270</v>
      </c>
    </row>
    <row r="11" customFormat="false" ht="13" hidden="false" customHeight="false" outlineLevel="1" collapsed="false">
      <c r="F11" s="63" t="s">
        <v>29</v>
      </c>
      <c r="G11" s="64" t="n">
        <v>3016</v>
      </c>
    </row>
    <row r="12" customFormat="false" ht="13" hidden="false" customHeight="false" outlineLevel="1" collapsed="false"/>
    <row r="13" customFormat="false" ht="13" hidden="false" customHeight="false" outlineLevel="1" collapsed="false"/>
    <row r="14" customFormat="false" ht="13" hidden="false" customHeight="false" outlineLevel="1" collapsed="false"/>
    <row r="15" customFormat="false" ht="13" hidden="false" customHeight="false" outlineLevel="1" collapsed="false"/>
    <row r="16" customFormat="false" ht="13" hidden="false" customHeight="false" outlineLevel="1" collapsed="false"/>
    <row r="17" customFormat="false" ht="13" hidden="false" customHeight="false" outlineLevel="1" collapsed="false"/>
    <row r="18" customFormat="false" ht="13" hidden="false" customHeight="false" outlineLevel="1" collapsed="false"/>
    <row r="19" customFormat="false" ht="13" hidden="false" customHeight="false" outlineLevel="1" collapsed="false"/>
    <row r="20" customFormat="false" ht="13" hidden="false" customHeight="false" outlineLevel="1" collapsed="false"/>
    <row r="21" customFormat="false" ht="13" hidden="false" customHeight="false" outlineLevel="1" collapsed="false"/>
    <row r="22" customFormat="false" ht="13" hidden="false" customHeight="false" outlineLevel="1" collapsed="false"/>
    <row r="23" customFormat="false" ht="13" hidden="false" customHeight="false" outlineLevel="1" collapsed="false"/>
    <row r="24" customFormat="false" ht="18.5" hidden="false" customHeight="false" outlineLevel="0" collapsed="false">
      <c r="B24" s="43" t="s">
        <v>287</v>
      </c>
    </row>
    <row r="25" customFormat="false" ht="13" hidden="false" customHeight="false" outlineLevel="1" collapsed="false">
      <c r="F25" s="44" t="s">
        <v>281</v>
      </c>
    </row>
    <row r="26" customFormat="false" ht="13" hidden="false" customHeight="false" outlineLevel="1" collapsed="false">
      <c r="F26" s="46" t="s">
        <v>19</v>
      </c>
      <c r="G26" s="47" t="s">
        <v>98</v>
      </c>
    </row>
    <row r="27" customFormat="false" ht="13" hidden="false" customHeight="false" outlineLevel="1" collapsed="false">
      <c r="F27" s="0"/>
      <c r="G27" s="0"/>
    </row>
    <row r="28" customFormat="false" ht="13" hidden="false" customHeight="false" outlineLevel="1" collapsed="false">
      <c r="F28" s="61" t="s">
        <v>18</v>
      </c>
      <c r="G28" s="62" t="s">
        <v>270</v>
      </c>
    </row>
    <row r="29" customFormat="false" ht="13" hidden="false" customHeight="false" outlineLevel="1" collapsed="false">
      <c r="F29" s="65" t="s">
        <v>97</v>
      </c>
      <c r="G29" s="66" t="n">
        <v>949.05</v>
      </c>
    </row>
    <row r="30" customFormat="false" ht="13" hidden="false" customHeight="false" outlineLevel="1" collapsed="false">
      <c r="F30" s="67" t="s">
        <v>127</v>
      </c>
      <c r="G30" s="68" t="n">
        <v>682.5</v>
      </c>
    </row>
    <row r="31" customFormat="false" ht="13" hidden="false" customHeight="false" outlineLevel="1" collapsed="false">
      <c r="F31" s="67" t="s">
        <v>180</v>
      </c>
      <c r="G31" s="89" t="n">
        <v>474.5</v>
      </c>
    </row>
    <row r="32" customFormat="false" ht="13" hidden="false" customHeight="false" outlineLevel="1" collapsed="false">
      <c r="F32" s="87" t="s">
        <v>278</v>
      </c>
      <c r="G32" s="88" t="n">
        <v>2106.05</v>
      </c>
    </row>
    <row r="33" customFormat="false" ht="13" hidden="false" customHeight="false" outlineLevel="1" collapsed="false"/>
    <row r="34" customFormat="false" ht="13" hidden="false" customHeight="false" outlineLevel="1" collapsed="false"/>
    <row r="35" customFormat="false" ht="13" hidden="false" customHeight="false" outlineLevel="1" collapsed="false"/>
    <row r="36" customFormat="false" ht="13" hidden="false" customHeight="false" outlineLevel="1" collapsed="false"/>
    <row r="37" customFormat="false" ht="13" hidden="false" customHeight="false" outlineLevel="1" collapsed="false"/>
    <row r="38" customFormat="false" ht="13" hidden="false" customHeight="false" outlineLevel="1" collapsed="false"/>
    <row r="39" customFormat="false" ht="13" hidden="false" customHeight="false" outlineLevel="1" collapsed="false"/>
    <row r="40" customFormat="false" ht="13" hidden="false" customHeight="false" outlineLevel="1" collapsed="false"/>
    <row r="41" customFormat="false" ht="13" hidden="false" customHeight="false" outlineLevel="1" collapsed="false"/>
    <row r="42" customFormat="false" ht="13" hidden="false" customHeight="false" outlineLevel="1" collapsed="false"/>
    <row r="43" customFormat="false" ht="13" hidden="false" customHeight="false" outlineLevel="1" collapsed="false"/>
    <row r="44" customFormat="false" ht="13" hidden="false" customHeight="false" outlineLevel="1" collapsed="false"/>
    <row r="45" customFormat="false" ht="18.5" hidden="false" customHeight="false" outlineLevel="0" collapsed="false">
      <c r="B45" s="43" t="s">
        <v>282</v>
      </c>
    </row>
    <row r="46" customFormat="false" ht="13" hidden="false" customHeight="false" outlineLevel="1" collapsed="false">
      <c r="F46" s="44" t="s">
        <v>283</v>
      </c>
    </row>
    <row r="47" customFormat="false" ht="13" hidden="false" customHeight="false" outlineLevel="1" collapsed="false">
      <c r="F47" s="44" t="s">
        <v>284</v>
      </c>
    </row>
    <row r="48" customFormat="false" ht="13" hidden="false" customHeight="false" outlineLevel="1" collapsed="false">
      <c r="F48" s="61" t="s">
        <v>22</v>
      </c>
      <c r="G48" s="76" t="s">
        <v>21</v>
      </c>
      <c r="H48" s="62" t="s">
        <v>271</v>
      </c>
    </row>
    <row r="49" customFormat="false" ht="13" hidden="false" customHeight="false" outlineLevel="1" collapsed="false">
      <c r="F49" s="65" t="s">
        <v>35</v>
      </c>
      <c r="G49" s="90" t="s">
        <v>102</v>
      </c>
      <c r="H49" s="72" t="n">
        <v>411</v>
      </c>
    </row>
    <row r="50" customFormat="false" ht="13" hidden="false" customHeight="false" outlineLevel="1" collapsed="false">
      <c r="F50" s="67"/>
      <c r="G50" s="91" t="s">
        <v>31</v>
      </c>
      <c r="H50" s="73" t="n">
        <v>365</v>
      </c>
    </row>
    <row r="51" customFormat="false" ht="13" hidden="false" customHeight="false" outlineLevel="1" collapsed="false">
      <c r="F51" s="67"/>
      <c r="G51" s="91" t="s">
        <v>50</v>
      </c>
      <c r="H51" s="73" t="n">
        <v>141</v>
      </c>
    </row>
    <row r="52" customFormat="false" ht="13" hidden="false" customHeight="false" outlineLevel="1" collapsed="false">
      <c r="F52" s="92"/>
      <c r="G52" s="93" t="s">
        <v>92</v>
      </c>
      <c r="H52" s="94" t="n">
        <v>125</v>
      </c>
    </row>
    <row r="53" customFormat="false" ht="13" hidden="false" customHeight="false" outlineLevel="1" collapsed="false">
      <c r="F53" s="65" t="s">
        <v>32</v>
      </c>
      <c r="G53" s="90" t="s">
        <v>54</v>
      </c>
      <c r="H53" s="72" t="n">
        <v>1265</v>
      </c>
    </row>
    <row r="54" customFormat="false" ht="13" hidden="false" customHeight="false" outlineLevel="1" collapsed="false">
      <c r="F54" s="67"/>
      <c r="G54" s="91" t="s">
        <v>116</v>
      </c>
      <c r="H54" s="73" t="n">
        <v>874</v>
      </c>
    </row>
    <row r="55" customFormat="false" ht="13" hidden="false" customHeight="false" outlineLevel="1" collapsed="false">
      <c r="F55" s="67"/>
      <c r="G55" s="91" t="s">
        <v>165</v>
      </c>
      <c r="H55" s="73" t="n">
        <v>583</v>
      </c>
    </row>
    <row r="56" customFormat="false" ht="13" hidden="false" customHeight="false" outlineLevel="1" collapsed="false">
      <c r="F56" s="92"/>
      <c r="G56" s="93" t="s">
        <v>31</v>
      </c>
      <c r="H56" s="94" t="n">
        <v>580</v>
      </c>
    </row>
    <row r="57" customFormat="false" ht="13" hidden="false" customHeight="false" outlineLevel="1" collapsed="false">
      <c r="F57" s="65" t="s">
        <v>38</v>
      </c>
      <c r="G57" s="90" t="s">
        <v>102</v>
      </c>
      <c r="H57" s="72" t="n">
        <v>824</v>
      </c>
    </row>
    <row r="58" customFormat="false" ht="13" hidden="false" customHeight="false" outlineLevel="1" collapsed="false">
      <c r="F58" s="67"/>
      <c r="G58" s="91" t="s">
        <v>126</v>
      </c>
      <c r="H58" s="73" t="n">
        <v>591</v>
      </c>
    </row>
    <row r="59" customFormat="false" ht="13" hidden="false" customHeight="false" outlineLevel="1" collapsed="false">
      <c r="F59" s="67"/>
      <c r="G59" s="91" t="s">
        <v>50</v>
      </c>
      <c r="H59" s="73" t="n">
        <v>506</v>
      </c>
    </row>
    <row r="60" customFormat="false" ht="13" hidden="false" customHeight="false" outlineLevel="1" collapsed="false">
      <c r="F60" s="69"/>
      <c r="G60" s="98" t="s">
        <v>54</v>
      </c>
      <c r="H60" s="74" t="n">
        <v>500</v>
      </c>
    </row>
    <row r="61" customFormat="false" ht="13" hidden="false" customHeight="false" outlineLevel="1" collapsed="false"/>
    <row r="62" customFormat="false" ht="13" hidden="false" customHeight="false" outlineLevel="1" collapsed="false"/>
    <row r="63" customFormat="false" ht="13" hidden="false" customHeight="false" outlineLevel="1" collapsed="false"/>
    <row r="64" customFormat="false" ht="13" hidden="false" customHeight="false" outlineLevel="1" collapsed="false"/>
    <row r="65" customFormat="false" ht="13" hidden="false" customHeight="false" outlineLevel="1" collapsed="false"/>
    <row r="66" customFormat="false" ht="13" hidden="false" customHeight="false" outlineLevel="1" collapsed="false"/>
    <row r="67" customFormat="false" ht="13" hidden="false" customHeight="false" outlineLevel="1" collapsed="false"/>
    <row r="68" customFormat="false" ht="13" hidden="false" customHeight="false" outlineLevel="1" collapsed="false"/>
    <row r="69" customFormat="false" ht="13" hidden="false" customHeight="false" outlineLevel="1" collapsed="false"/>
    <row r="70" customFormat="false" ht="13" hidden="false" customHeight="false" outlineLevel="1" collapsed="false"/>
    <row r="71" customFormat="false" ht="18.5" hidden="false" customHeight="false" outlineLevel="0" collapsed="false">
      <c r="B71" s="43" t="s">
        <v>285</v>
      </c>
    </row>
    <row r="72" customFormat="false" ht="13" hidden="false" customHeight="false" outlineLevel="0" collapsed="false"/>
    <row r="73" customFormat="false" ht="13" hidden="false" customHeight="false" outlineLevel="1" collapsed="false">
      <c r="F73" s="44" t="s">
        <v>286</v>
      </c>
    </row>
    <row r="74" customFormat="false" ht="13" hidden="false" customHeight="false" outlineLevel="1" collapsed="false">
      <c r="F74" s="44" t="s">
        <v>284</v>
      </c>
    </row>
    <row r="75" customFormat="false" ht="13" hidden="false" customHeight="false" outlineLevel="1" collapsed="false"/>
    <row r="76" customFormat="false" ht="13" hidden="false" customHeight="false" outlineLevel="1" collapsed="false">
      <c r="F76" s="61" t="s">
        <v>19</v>
      </c>
      <c r="G76" s="76" t="s">
        <v>21</v>
      </c>
      <c r="H76" s="62" t="s">
        <v>270</v>
      </c>
    </row>
    <row r="77" customFormat="false" ht="13" hidden="false" customHeight="false" outlineLevel="1" collapsed="false">
      <c r="F77" s="99" t="s">
        <v>29</v>
      </c>
      <c r="G77" s="100" t="s">
        <v>31</v>
      </c>
      <c r="H77" s="86" t="n">
        <v>3016</v>
      </c>
    </row>
    <row r="78" customFormat="false" ht="13" hidden="false" customHeight="false" outlineLevel="1" collapsed="false">
      <c r="F78" s="99" t="s">
        <v>34</v>
      </c>
      <c r="G78" s="100" t="s">
        <v>31</v>
      </c>
      <c r="H78" s="86" t="n">
        <v>2856.5</v>
      </c>
    </row>
    <row r="79" customFormat="false" ht="13" hidden="false" customHeight="false" outlineLevel="1" collapsed="false">
      <c r="F79" s="65" t="s">
        <v>40</v>
      </c>
      <c r="G79" s="90" t="s">
        <v>50</v>
      </c>
      <c r="H79" s="66" t="n">
        <v>409.59</v>
      </c>
    </row>
    <row r="80" customFormat="false" ht="13" hidden="false" customHeight="false" outlineLevel="1" collapsed="false">
      <c r="F80" s="92"/>
      <c r="G80" s="93" t="s">
        <v>31</v>
      </c>
      <c r="H80" s="89" t="n">
        <v>2436</v>
      </c>
    </row>
    <row r="81" customFormat="false" ht="13" hidden="false" customHeight="false" outlineLevel="1" collapsed="false">
      <c r="F81" s="65" t="s">
        <v>48</v>
      </c>
      <c r="G81" s="90" t="s">
        <v>102</v>
      </c>
      <c r="H81" s="66" t="n">
        <v>490.5</v>
      </c>
    </row>
    <row r="82" customFormat="false" ht="13" hidden="false" customHeight="false" outlineLevel="1" collapsed="false">
      <c r="F82" s="67"/>
      <c r="G82" s="91" t="s">
        <v>50</v>
      </c>
      <c r="H82" s="68" t="n">
        <v>1928.07</v>
      </c>
    </row>
    <row r="83" customFormat="false" ht="13" hidden="false" customHeight="false" outlineLevel="1" collapsed="false">
      <c r="F83" s="92"/>
      <c r="G83" s="93" t="s">
        <v>74</v>
      </c>
      <c r="H83" s="89" t="n">
        <v>209.7</v>
      </c>
    </row>
    <row r="84" customFormat="false" ht="13" hidden="false" customHeight="false" outlineLevel="1" collapsed="false">
      <c r="F84" s="63" t="s">
        <v>37</v>
      </c>
      <c r="G84" s="101" t="s">
        <v>31</v>
      </c>
      <c r="H84" s="64" t="n">
        <v>2552</v>
      </c>
    </row>
    <row r="85" customFormat="false" ht="13" hidden="false" customHeight="false" outlineLevel="1" collapsed="false"/>
    <row r="86" customFormat="false" ht="13" hidden="false" customHeight="false" outlineLevel="1" collapsed="false"/>
    <row r="87" customFormat="false" ht="13" hidden="false" customHeight="false" outlineLevel="1" collapsed="false"/>
    <row r="88" customFormat="false" ht="13" hidden="false" customHeight="false" outlineLevel="1" collapsed="false"/>
    <row r="89" customFormat="false" ht="13" hidden="false" customHeight="false" outlineLevel="1" collapsed="false"/>
    <row r="90" customFormat="false" ht="13" hidden="false" customHeight="false" outlineLevel="1" collapsed="false"/>
    <row r="91" customFormat="false" ht="13" hidden="false" customHeight="false" outlineLevel="1" collapsed="false"/>
    <row r="92" customFormat="false" ht="13" hidden="false" customHeight="false" outlineLevel="1" collapsed="false"/>
    <row r="93" customFormat="false" ht="13" hidden="false" customHeight="false" outlineLevel="1" collapsed="false"/>
    <row r="94" customFormat="false" ht="13" hidden="false" customHeight="false" outlineLevel="1" collapsed="false"/>
    <row r="95" customFormat="false" ht="13" hidden="false" customHeight="false" outlineLevel="1" collapsed="false"/>
    <row r="96" customFormat="false" ht="13" hidden="false" customHeight="false" outlineLevel="1" collapsed="false"/>
    <row r="97" customFormat="false" ht="13" hidden="false" customHeight="false" outlineLevel="1" collapsed="false"/>
    <row r="98" customFormat="false" ht="13" hidden="false" customHeight="false" outlineLevel="0" collapsed="false"/>
    <row r="99" customFormat="false" ht="13" hidden="false" customHeight="false" outlineLevel="0" collapsed="false"/>
    <row r="100" customFormat="false" ht="13" hidden="false" customHeight="false" outlineLevel="0" collapsed="false"/>
    <row r="101" customFormat="false" ht="13" hidden="false" customHeight="false" outlineLevel="0" collapsed="false"/>
    <row r="102" customFormat="false" ht="13" hidden="false" customHeight="false" outlineLevel="0" collapsed="false"/>
    <row r="103" customFormat="false" ht="13" hidden="false" customHeight="false" outlineLevel="0" collapsed="false"/>
    <row r="104" customFormat="false" ht="13" hidden="false" customHeight="false" outlineLevel="0" collapsed="false"/>
    <row r="105" customFormat="false" ht="13" hidden="false" customHeight="false" outlineLevel="0" collapsed="false"/>
    <row r="106" customFormat="false" ht="13" hidden="false" customHeight="false" outlineLevel="0" collapsed="false"/>
    <row r="107" customFormat="false" ht="13" hidden="false" customHeight="false" outlineLevel="0" collapsed="false"/>
    <row r="108" customFormat="false" ht="13" hidden="false" customHeight="false" outlineLevel="0" collapsed="false"/>
    <row r="109" customFormat="false" ht="13" hidden="false" customHeight="false" outlineLevel="0" collapsed="false"/>
    <row r="110" customFormat="false" ht="13" hidden="false" customHeight="false" outlineLevel="0" collapsed="false"/>
    <row r="111" customFormat="false" ht="13" hidden="false" customHeight="false" outlineLevel="0" collapsed="false"/>
    <row r="112" customFormat="false" ht="13" hidden="false" customHeight="false" outlineLevel="0" collapsed="false"/>
    <row r="113" customFormat="false" ht="13" hidden="false" customHeight="false" outlineLevel="0" collapsed="false"/>
    <row r="114" customFormat="false" ht="13" hidden="false" customHeight="false" outlineLevel="0" collapsed="false"/>
    <row r="115" customFormat="false" ht="13" hidden="false" customHeight="false" outlineLevel="0" collapsed="false"/>
    <row r="116" customFormat="false" ht="13" hidden="false" customHeight="false" outlineLevel="0" collapsed="false"/>
    <row r="117" customFormat="false" ht="13" hidden="false" customHeight="false" outlineLevel="0" collapsed="false"/>
    <row r="118" customFormat="false" ht="13" hidden="false" customHeight="false" outlineLevel="0" collapsed="false"/>
    <row r="119" customFormat="false" ht="13" hidden="false" customHeight="false" outlineLevel="0" collapsed="false"/>
    <row r="120" customFormat="false" ht="13" hidden="false" customHeight="false" outlineLevel="0" collapsed="false"/>
    <row r="121" customFormat="false" ht="13" hidden="false" customHeight="false" outlineLevel="0" collapsed="false"/>
    <row r="122" customFormat="false" ht="13" hidden="false" customHeight="false" outlineLevel="0" collapsed="false"/>
    <row r="123" customFormat="false" ht="13" hidden="false" customHeight="false" outlineLevel="0" collapsed="false"/>
    <row r="124" customFormat="false" ht="13" hidden="false" customHeight="false" outlineLevel="0" collapsed="false"/>
    <row r="125" customFormat="false" ht="13" hidden="false" customHeight="false" outlineLevel="0" collapsed="false"/>
    <row r="126" customFormat="false" ht="13" hidden="false" customHeight="false" outlineLevel="0" collapsed="false"/>
    <row r="127" customFormat="false" ht="13" hidden="false" customHeight="false" outlineLevel="0" collapsed="false"/>
    <row r="128" customFormat="false" ht="13" hidden="false" customHeight="false" outlineLevel="0" collapsed="false"/>
    <row r="129" customFormat="false" ht="13" hidden="false" customHeight="false" outlineLevel="0" collapsed="false"/>
    <row r="130" customFormat="false" ht="13" hidden="false" customHeight="false" outlineLevel="0" collapsed="false"/>
    <row r="131" customFormat="false" ht="13" hidden="false" customHeight="false" outlineLevel="0" collapsed="false"/>
    <row r="132" customFormat="false" ht="13" hidden="false" customHeight="false" outlineLevel="0" collapsed="false"/>
    <row r="133" customFormat="false" ht="13" hidden="false" customHeight="false" outlineLevel="0" collapsed="false"/>
    <row r="134" customFormat="false" ht="13" hidden="false" customHeight="false" outlineLevel="0" collapsed="false"/>
    <row r="135" customFormat="false" ht="13" hidden="false" customHeight="false" outlineLevel="0" collapsed="false"/>
    <row r="136" customFormat="false" ht="13" hidden="false" customHeight="false" outlineLevel="0" collapsed="false"/>
    <row r="137" customFormat="false" ht="13" hidden="false" customHeight="false" outlineLevel="0" collapsed="false"/>
    <row r="138" customFormat="false" ht="13" hidden="false" customHeight="false" outlineLevel="0" collapsed="false"/>
    <row r="139" customFormat="false" ht="13" hidden="false" customHeight="false" outlineLevel="0" collapsed="false"/>
    <row r="140" customFormat="false" ht="13" hidden="false" customHeight="false" outlineLevel="0" collapsed="false"/>
    <row r="141" customFormat="false" ht="13" hidden="false" customHeight="false" outlineLevel="0" collapsed="false"/>
    <row r="142" customFormat="false" ht="13" hidden="false" customHeight="false" outlineLevel="0" collapsed="false"/>
    <row r="143" customFormat="false" ht="13" hidden="false" customHeight="false" outlineLevel="0" collapsed="false"/>
    <row r="144" customFormat="false" ht="13" hidden="false" customHeight="false" outlineLevel="0" collapsed="false"/>
    <row r="145" customFormat="false" ht="13" hidden="false" customHeight="false" outlineLevel="0" collapsed="false"/>
    <row r="146" customFormat="false" ht="13" hidden="false" customHeight="false" outlineLevel="0" collapsed="false"/>
    <row r="147" customFormat="false" ht="13" hidden="false" customHeight="false" outlineLevel="0" collapsed="false"/>
    <row r="148" customFormat="false" ht="13" hidden="false" customHeight="false" outlineLevel="0" collapsed="false"/>
    <row r="149" customFormat="false" ht="13" hidden="false" customHeight="false" outlineLevel="0" collapsed="false"/>
    <row r="150" customFormat="false" ht="13" hidden="false" customHeight="false" outlineLevel="0" collapsed="false"/>
    <row r="151" customFormat="false" ht="13" hidden="false" customHeight="false" outlineLevel="0" collapsed="false"/>
    <row r="152" customFormat="false" ht="13" hidden="false" customHeight="false" outlineLevel="0" collapsed="false"/>
    <row r="153" customFormat="false" ht="13" hidden="false" customHeight="false" outlineLevel="0" collapsed="false"/>
    <row r="154" customFormat="false" ht="13" hidden="false" customHeight="false" outlineLevel="0" collapsed="false"/>
    <row r="155" customFormat="false" ht="13" hidden="false" customHeight="false" outlineLevel="0" collapsed="false"/>
    <row r="156" customFormat="false" ht="13" hidden="false" customHeight="false" outlineLevel="0" collapsed="false"/>
    <row r="157" customFormat="false" ht="13" hidden="false" customHeight="false" outlineLevel="0" collapsed="false"/>
    <row r="158" customFormat="false" ht="13" hidden="false" customHeight="false" outlineLevel="0" collapsed="false"/>
    <row r="159" customFormat="false" ht="13" hidden="false" customHeight="false" outlineLevel="0" collapsed="false"/>
    <row r="160" customFormat="false" ht="13" hidden="false" customHeight="false" outlineLevel="0" collapsed="false"/>
    <row r="161" customFormat="false" ht="13" hidden="false" customHeight="false" outlineLevel="0" collapsed="false"/>
    <row r="162" customFormat="false" ht="13" hidden="false" customHeight="false" outlineLevel="0" collapsed="false"/>
    <row r="163" customFormat="false" ht="13" hidden="false" customHeight="false" outlineLevel="0" collapsed="false"/>
    <row r="164" customFormat="false" ht="13" hidden="false" customHeight="false" outlineLevel="0" collapsed="false"/>
    <row r="165" customFormat="false" ht="13" hidden="false" customHeight="false" outlineLevel="0" collapsed="false"/>
    <row r="166" customFormat="false" ht="13" hidden="false" customHeight="false" outlineLevel="0" collapsed="false"/>
    <row r="167" customFormat="false" ht="13" hidden="false" customHeight="false" outlineLevel="0" collapsed="false"/>
    <row r="168" customFormat="false" ht="13" hidden="false" customHeight="false" outlineLevel="0" collapsed="false"/>
    <row r="169" customFormat="false" ht="13" hidden="false" customHeight="false" outlineLevel="0" collapsed="false"/>
    <row r="170" customFormat="false" ht="13" hidden="false" customHeight="false" outlineLevel="0" collapsed="false"/>
    <row r="171" customFormat="false" ht="13" hidden="false" customHeight="false" outlineLevel="0" collapsed="false"/>
    <row r="172" customFormat="false" ht="13" hidden="false" customHeight="false" outlineLevel="0" collapsed="false"/>
    <row r="173" customFormat="false" ht="13" hidden="false" customHeight="false" outlineLevel="0" collapsed="false"/>
    <row r="174" customFormat="false" ht="13" hidden="false" customHeight="false" outlineLevel="0" collapsed="false"/>
    <row r="175" customFormat="false" ht="13" hidden="false" customHeight="false" outlineLevel="0" collapsed="false"/>
    <row r="176" customFormat="false" ht="13" hidden="false" customHeight="false" outlineLevel="0" collapsed="false"/>
    <row r="177" customFormat="false" ht="13" hidden="false" customHeight="false" outlineLevel="0" collapsed="false"/>
    <row r="178" customFormat="false" ht="13" hidden="false" customHeight="false" outlineLevel="0" collapsed="false"/>
    <row r="179" customFormat="false" ht="13" hidden="false" customHeight="false" outlineLevel="0" collapsed="false"/>
    <row r="180" customFormat="false" ht="13" hidden="false" customHeight="false" outlineLevel="0" collapsed="false"/>
    <row r="181" customFormat="false" ht="13" hidden="false" customHeight="false" outlineLevel="0" collapsed="false"/>
    <row r="182" customFormat="false" ht="13" hidden="false" customHeight="false" outlineLevel="0" collapsed="false"/>
    <row r="183" customFormat="false" ht="13" hidden="false" customHeight="false" outlineLevel="0" collapsed="false"/>
    <row r="184" customFormat="false" ht="13" hidden="false" customHeight="false" outlineLevel="0" collapsed="false"/>
    <row r="185" customFormat="false" ht="13" hidden="false" customHeight="false" outlineLevel="0" collapsed="false"/>
    <row r="186" customFormat="false" ht="13" hidden="false" customHeight="false" outlineLevel="0" collapsed="false"/>
    <row r="187" customFormat="false" ht="13" hidden="false" customHeight="false" outlineLevel="0" collapsed="false"/>
    <row r="188" customFormat="false" ht="13" hidden="false" customHeight="false" outlineLevel="0" collapsed="false"/>
    <row r="189" customFormat="false" ht="13" hidden="false" customHeight="false" outlineLevel="0" collapsed="false"/>
    <row r="190" customFormat="false" ht="13" hidden="false" customHeight="false" outlineLevel="0" collapsed="false"/>
    <row r="191" customFormat="false" ht="13" hidden="false" customHeight="false" outlineLevel="0" collapsed="false"/>
    <row r="192" customFormat="false" ht="13" hidden="false" customHeight="false" outlineLevel="0" collapsed="false"/>
    <row r="193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69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G2" activeCellId="0" sqref="G2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31.34"/>
    <col collapsed="false" customWidth="true" hidden="false" outlineLevel="0" max="7" min="7" style="2" width="20.77"/>
    <col collapsed="false" customWidth="true" hidden="false" outlineLevel="0" max="8" min="8" style="2" width="15.33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1" min="11" style="2" width="14.33"/>
    <col collapsed="false" customWidth="true" hidden="false" outlineLevel="0" max="1025" min="12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4 - Sorting</v>
      </c>
    </row>
    <row r="7" customFormat="false" ht="18.5" hidden="false" customHeight="false" outlineLevel="0" collapsed="false">
      <c r="B7" s="43" t="s">
        <v>288</v>
      </c>
    </row>
    <row r="8" customFormat="false" ht="13" hidden="true" customHeight="false" outlineLevel="1" collapsed="false">
      <c r="F8" s="44" t="s">
        <v>289</v>
      </c>
    </row>
    <row r="9" customFormat="false" ht="13" hidden="true" customHeight="false" outlineLevel="1" collapsed="false">
      <c r="F9" s="46" t="s">
        <v>19</v>
      </c>
      <c r="G9" s="47" t="s">
        <v>98</v>
      </c>
    </row>
    <row r="10" customFormat="false" ht="13" hidden="true" customHeight="false" outlineLevel="1" collapsed="false">
      <c r="F10" s="0"/>
      <c r="G10" s="0"/>
    </row>
    <row r="11" customFormat="false" ht="13" hidden="true" customHeight="false" outlineLevel="1" collapsed="false">
      <c r="F11" s="61" t="s">
        <v>18</v>
      </c>
      <c r="G11" s="62" t="s">
        <v>270</v>
      </c>
    </row>
    <row r="12" customFormat="false" ht="13" hidden="true" customHeight="false" outlineLevel="1" collapsed="false">
      <c r="F12" s="65" t="s">
        <v>97</v>
      </c>
      <c r="G12" s="66" t="n">
        <v>949.05</v>
      </c>
    </row>
    <row r="13" customFormat="false" ht="13" hidden="true" customHeight="false" outlineLevel="1" collapsed="false">
      <c r="F13" s="67" t="s">
        <v>127</v>
      </c>
      <c r="G13" s="68" t="n">
        <v>682.5</v>
      </c>
    </row>
    <row r="14" customFormat="false" ht="13" hidden="true" customHeight="false" outlineLevel="1" collapsed="false">
      <c r="F14" s="67" t="s">
        <v>180</v>
      </c>
      <c r="G14" s="89" t="n">
        <v>474.5</v>
      </c>
    </row>
    <row r="15" customFormat="false" ht="13" hidden="true" customHeight="false" outlineLevel="1" collapsed="false">
      <c r="F15" s="87" t="s">
        <v>278</v>
      </c>
      <c r="G15" s="88" t="n">
        <v>2106.05</v>
      </c>
    </row>
    <row r="16" customFormat="false" ht="13" hidden="true" customHeight="false" outlineLevel="1" collapsed="false"/>
    <row r="17" customFormat="false" ht="13" hidden="true" customHeight="false" outlineLevel="1" collapsed="false"/>
    <row r="18" customFormat="false" ht="13" hidden="true" customHeight="false" outlineLevel="1" collapsed="false"/>
    <row r="19" customFormat="false" ht="13" hidden="true" customHeight="false" outlineLevel="1" collapsed="false"/>
    <row r="20" customFormat="false" ht="12.5" hidden="true" customHeight="false" outlineLevel="1" collapsed="false"/>
    <row r="21" customFormat="false" ht="12.5" hidden="true" customHeight="false" outlineLevel="1" collapsed="false"/>
    <row r="22" customFormat="false" ht="12.5" hidden="true" customHeight="false" outlineLevel="1" collapsed="false"/>
    <row r="23" customFormat="false" ht="12.5" hidden="true" customHeight="false" outlineLevel="1" collapsed="false"/>
    <row r="24" customFormat="false" ht="18.5" hidden="false" customHeight="false" outlineLevel="0" collapsed="false">
      <c r="B24" s="43" t="s">
        <v>290</v>
      </c>
    </row>
    <row r="25" customFormat="false" ht="13" hidden="true" customHeight="false" outlineLevel="1" collapsed="false">
      <c r="F25" s="44" t="s">
        <v>291</v>
      </c>
    </row>
    <row r="26" customFormat="false" ht="13" hidden="true" customHeight="false" outlineLevel="1" collapsed="false">
      <c r="F26" s="61" t="s">
        <v>22</v>
      </c>
      <c r="G26" s="76" t="s">
        <v>21</v>
      </c>
      <c r="H26" s="62" t="s">
        <v>271</v>
      </c>
    </row>
    <row r="27" customFormat="false" ht="13" hidden="true" customHeight="false" outlineLevel="1" collapsed="false">
      <c r="F27" s="65" t="s">
        <v>35</v>
      </c>
      <c r="G27" s="90"/>
      <c r="H27" s="72" t="n">
        <v>1042</v>
      </c>
    </row>
    <row r="28" customFormat="false" ht="13" hidden="true" customHeight="false" outlineLevel="1" collapsed="false">
      <c r="F28" s="67"/>
      <c r="G28" s="91" t="s">
        <v>92</v>
      </c>
      <c r="H28" s="73" t="n">
        <v>125</v>
      </c>
    </row>
    <row r="29" customFormat="false" ht="13" hidden="true" customHeight="false" outlineLevel="1" collapsed="false">
      <c r="F29" s="67"/>
      <c r="G29" s="91" t="s">
        <v>102</v>
      </c>
      <c r="H29" s="73" t="n">
        <v>411</v>
      </c>
    </row>
    <row r="30" customFormat="false" ht="13" hidden="true" customHeight="false" outlineLevel="1" collapsed="false">
      <c r="F30" s="67"/>
      <c r="G30" s="91" t="s">
        <v>50</v>
      </c>
      <c r="H30" s="73" t="n">
        <v>141</v>
      </c>
    </row>
    <row r="31" customFormat="false" ht="13" hidden="true" customHeight="false" outlineLevel="1" collapsed="false">
      <c r="F31" s="92"/>
      <c r="G31" s="93" t="s">
        <v>31</v>
      </c>
      <c r="H31" s="94" t="n">
        <v>365</v>
      </c>
    </row>
    <row r="32" customFormat="false" ht="13" hidden="true" customHeight="false" outlineLevel="1" collapsed="false">
      <c r="F32" s="65" t="s">
        <v>32</v>
      </c>
      <c r="G32" s="90"/>
      <c r="H32" s="72" t="n">
        <v>3302</v>
      </c>
    </row>
    <row r="33" customFormat="false" ht="13" hidden="true" customHeight="false" outlineLevel="1" collapsed="false">
      <c r="F33" s="67"/>
      <c r="G33" s="91" t="s">
        <v>54</v>
      </c>
      <c r="H33" s="73" t="n">
        <v>1265</v>
      </c>
    </row>
    <row r="34" customFormat="false" ht="13" hidden="true" customHeight="false" outlineLevel="1" collapsed="false">
      <c r="F34" s="67"/>
      <c r="G34" s="91" t="s">
        <v>165</v>
      </c>
      <c r="H34" s="73" t="n">
        <v>583</v>
      </c>
    </row>
    <row r="35" customFormat="false" ht="13" hidden="true" customHeight="false" outlineLevel="1" collapsed="false">
      <c r="F35" s="67"/>
      <c r="G35" s="91" t="s">
        <v>116</v>
      </c>
      <c r="H35" s="73" t="n">
        <v>874</v>
      </c>
    </row>
    <row r="36" customFormat="false" ht="13" hidden="true" customHeight="false" outlineLevel="1" collapsed="false">
      <c r="F36" s="92"/>
      <c r="G36" s="93" t="s">
        <v>31</v>
      </c>
      <c r="H36" s="94" t="n">
        <v>580</v>
      </c>
    </row>
    <row r="37" customFormat="false" ht="13" hidden="true" customHeight="false" outlineLevel="1" collapsed="false">
      <c r="F37" s="65" t="s">
        <v>38</v>
      </c>
      <c r="G37" s="90"/>
      <c r="H37" s="72" t="n">
        <v>2421</v>
      </c>
    </row>
    <row r="38" customFormat="false" ht="13" hidden="true" customHeight="false" outlineLevel="1" collapsed="false">
      <c r="F38" s="67"/>
      <c r="G38" s="91" t="s">
        <v>54</v>
      </c>
      <c r="H38" s="73" t="n">
        <v>500</v>
      </c>
    </row>
    <row r="39" customFormat="false" ht="13" hidden="true" customHeight="false" outlineLevel="1" collapsed="false">
      <c r="F39" s="67"/>
      <c r="G39" s="91" t="s">
        <v>102</v>
      </c>
      <c r="H39" s="73" t="n">
        <v>824</v>
      </c>
    </row>
    <row r="40" customFormat="false" ht="13" hidden="true" customHeight="false" outlineLevel="1" collapsed="false">
      <c r="F40" s="67"/>
      <c r="G40" s="91" t="s">
        <v>50</v>
      </c>
      <c r="H40" s="73" t="n">
        <v>506</v>
      </c>
    </row>
    <row r="41" customFormat="false" ht="13" hidden="true" customHeight="false" outlineLevel="1" collapsed="false">
      <c r="F41" s="92"/>
      <c r="G41" s="93" t="s">
        <v>126</v>
      </c>
      <c r="H41" s="94" t="n">
        <v>591</v>
      </c>
    </row>
    <row r="42" customFormat="false" ht="13" hidden="true" customHeight="false" outlineLevel="1" collapsed="false">
      <c r="F42" s="95" t="s">
        <v>278</v>
      </c>
      <c r="G42" s="96"/>
      <c r="H42" s="97" t="n">
        <v>6765</v>
      </c>
    </row>
    <row r="43" customFormat="false" ht="12.5" hidden="true" customHeight="false" outlineLevel="1" collapsed="false"/>
    <row r="44" customFormat="false" ht="12.5" hidden="true" customHeight="false" outlineLevel="1" collapsed="false"/>
    <row r="45" customFormat="false" ht="12.5" hidden="true" customHeight="false" outlineLevel="1" collapsed="false"/>
    <row r="46" customFormat="false" ht="12.5" hidden="true" customHeight="false" outlineLevel="1" collapsed="false"/>
    <row r="47" customFormat="false" ht="18.5" hidden="false" customHeight="false" outlineLevel="0" collapsed="false">
      <c r="B47" s="43" t="s">
        <v>292</v>
      </c>
    </row>
    <row r="49" customFormat="false" ht="13" hidden="true" customHeight="false" outlineLevel="1" collapsed="false">
      <c r="F49" s="44" t="s">
        <v>293</v>
      </c>
    </row>
    <row r="50" customFormat="false" ht="13" hidden="true" customHeight="false" outlineLevel="1" collapsed="false">
      <c r="F50" s="61" t="s">
        <v>19</v>
      </c>
      <c r="G50" s="76" t="s">
        <v>21</v>
      </c>
      <c r="H50" s="62" t="s">
        <v>270</v>
      </c>
    </row>
    <row r="51" customFormat="false" ht="13" hidden="true" customHeight="false" outlineLevel="1" collapsed="false">
      <c r="F51" s="65" t="s">
        <v>29</v>
      </c>
      <c r="G51" s="90"/>
      <c r="H51" s="66" t="n">
        <v>3016</v>
      </c>
    </row>
    <row r="52" customFormat="false" ht="13" hidden="true" customHeight="false" outlineLevel="1" collapsed="false">
      <c r="F52" s="92"/>
      <c r="G52" s="93" t="s">
        <v>31</v>
      </c>
      <c r="H52" s="89" t="n">
        <v>3016</v>
      </c>
    </row>
    <row r="53" customFormat="false" ht="13" hidden="true" customHeight="false" outlineLevel="1" collapsed="false">
      <c r="F53" s="65" t="s">
        <v>34</v>
      </c>
      <c r="G53" s="90"/>
      <c r="H53" s="66" t="n">
        <v>2856.5</v>
      </c>
    </row>
    <row r="54" customFormat="false" ht="13" hidden="true" customHeight="false" outlineLevel="1" collapsed="false">
      <c r="F54" s="92"/>
      <c r="G54" s="93" t="s">
        <v>31</v>
      </c>
      <c r="H54" s="89" t="n">
        <v>2856.5</v>
      </c>
    </row>
    <row r="55" customFormat="false" ht="13" hidden="true" customHeight="false" outlineLevel="1" collapsed="false">
      <c r="F55" s="65" t="s">
        <v>40</v>
      </c>
      <c r="G55" s="90"/>
      <c r="H55" s="66" t="n">
        <v>2845.59</v>
      </c>
    </row>
    <row r="56" customFormat="false" ht="13" hidden="true" customHeight="false" outlineLevel="1" collapsed="false">
      <c r="F56" s="67"/>
      <c r="G56" s="91" t="s">
        <v>50</v>
      </c>
      <c r="H56" s="68" t="n">
        <v>409.59</v>
      </c>
    </row>
    <row r="57" customFormat="false" ht="13" hidden="true" customHeight="false" outlineLevel="1" collapsed="false">
      <c r="F57" s="92"/>
      <c r="G57" s="93" t="s">
        <v>31</v>
      </c>
      <c r="H57" s="89" t="n">
        <v>2436</v>
      </c>
    </row>
    <row r="58" customFormat="false" ht="13" hidden="true" customHeight="false" outlineLevel="1" collapsed="false">
      <c r="F58" s="65" t="s">
        <v>48</v>
      </c>
      <c r="G58" s="90"/>
      <c r="H58" s="66" t="n">
        <v>2628.27</v>
      </c>
    </row>
    <row r="59" customFormat="false" ht="13" hidden="true" customHeight="false" outlineLevel="1" collapsed="false">
      <c r="F59" s="67"/>
      <c r="G59" s="91" t="s">
        <v>102</v>
      </c>
      <c r="H59" s="68" t="n">
        <v>490.5</v>
      </c>
    </row>
    <row r="60" customFormat="false" ht="13" hidden="true" customHeight="false" outlineLevel="1" collapsed="false">
      <c r="F60" s="67"/>
      <c r="G60" s="91" t="s">
        <v>50</v>
      </c>
      <c r="H60" s="68" t="n">
        <v>1928.07</v>
      </c>
    </row>
    <row r="61" customFormat="false" ht="13" hidden="true" customHeight="false" outlineLevel="1" collapsed="false">
      <c r="F61" s="92"/>
      <c r="G61" s="93" t="s">
        <v>74</v>
      </c>
      <c r="H61" s="89" t="n">
        <v>209.7</v>
      </c>
    </row>
    <row r="62" customFormat="false" ht="13" hidden="true" customHeight="false" outlineLevel="1" collapsed="false">
      <c r="F62" s="65" t="s">
        <v>37</v>
      </c>
      <c r="G62" s="90"/>
      <c r="H62" s="66" t="n">
        <v>2552</v>
      </c>
    </row>
    <row r="63" customFormat="false" ht="13" hidden="true" customHeight="false" outlineLevel="1" collapsed="false">
      <c r="F63" s="92"/>
      <c r="G63" s="93" t="s">
        <v>31</v>
      </c>
      <c r="H63" s="89" t="n">
        <v>2552</v>
      </c>
    </row>
    <row r="64" customFormat="false" ht="13" hidden="true" customHeight="false" outlineLevel="1" collapsed="false">
      <c r="F64" s="95" t="s">
        <v>278</v>
      </c>
      <c r="G64" s="96"/>
      <c r="H64" s="88" t="n">
        <v>13898.36</v>
      </c>
    </row>
    <row r="65" customFormat="false" ht="13" hidden="true" customHeight="false" outlineLevel="1" collapsed="false"/>
    <row r="66" customFormat="false" ht="13" hidden="true" customHeight="false" outlineLevel="1" collapsed="false"/>
    <row r="67" customFormat="false" ht="13" hidden="true" customHeight="false" outlineLevel="1" collapsed="false"/>
    <row r="68" customFormat="false" ht="13" hidden="true" customHeight="false" outlineLevel="1" collapsed="false"/>
    <row r="69" customFormat="false" ht="13" hidden="false" customHeight="false" outlineLevel="0" collapsed="false"/>
    <row r="70" customFormat="false" ht="13" hidden="false" customHeight="false" outlineLevel="0" collapsed="false"/>
    <row r="71" customFormat="false" ht="13" hidden="false" customHeight="false" outlineLevel="0" collapsed="false"/>
    <row r="72" customFormat="false" ht="13" hidden="false" customHeight="false" outlineLevel="0" collapsed="false"/>
    <row r="73" customFormat="false" ht="13" hidden="false" customHeight="false" outlineLevel="0" collapsed="false"/>
    <row r="74" customFormat="false" ht="13" hidden="false" customHeight="false" outlineLevel="0" collapsed="false"/>
    <row r="75" customFormat="false" ht="13" hidden="false" customHeight="false" outlineLevel="0" collapsed="false"/>
    <row r="76" customFormat="false" ht="13" hidden="false" customHeight="false" outlineLevel="0" collapsed="false"/>
    <row r="77" customFormat="false" ht="13" hidden="false" customHeight="false" outlineLevel="0" collapsed="false"/>
    <row r="78" customFormat="false" ht="13" hidden="false" customHeight="false" outlineLevel="0" collapsed="false"/>
    <row r="79" customFormat="false" ht="13" hidden="false" customHeight="false" outlineLevel="0" collapsed="false"/>
    <row r="80" customFormat="false" ht="13" hidden="false" customHeight="false" outlineLevel="0" collapsed="false"/>
    <row r="81" customFormat="false" ht="13" hidden="false" customHeight="false" outlineLevel="0" collapsed="false"/>
    <row r="82" customFormat="false" ht="13" hidden="false" customHeight="false" outlineLevel="0" collapsed="false"/>
    <row r="83" customFormat="false" ht="13" hidden="false" customHeight="false" outlineLevel="0" collapsed="false"/>
    <row r="84" customFormat="false" ht="13" hidden="false" customHeight="false" outlineLevel="0" collapsed="false"/>
    <row r="85" customFormat="false" ht="13" hidden="false" customHeight="false" outlineLevel="0" collapsed="false"/>
    <row r="86" customFormat="false" ht="13" hidden="false" customHeight="false" outlineLevel="0" collapsed="false"/>
    <row r="87" customFormat="false" ht="13" hidden="false" customHeight="false" outlineLevel="0" collapsed="false"/>
    <row r="88" customFormat="false" ht="13" hidden="false" customHeight="false" outlineLevel="0" collapsed="false"/>
    <row r="89" customFormat="false" ht="13" hidden="false" customHeight="false" outlineLevel="0" collapsed="false"/>
    <row r="90" customFormat="false" ht="13" hidden="false" customHeight="false" outlineLevel="0" collapsed="false"/>
    <row r="91" customFormat="false" ht="13" hidden="false" customHeight="false" outlineLevel="0" collapsed="false"/>
    <row r="92" customFormat="false" ht="13" hidden="false" customHeight="false" outlineLevel="0" collapsed="false"/>
    <row r="93" customFormat="false" ht="13" hidden="false" customHeight="false" outlineLevel="0" collapsed="false"/>
    <row r="94" customFormat="false" ht="13" hidden="false" customHeight="false" outlineLevel="0" collapsed="false"/>
    <row r="95" customFormat="false" ht="13" hidden="false" customHeight="false" outlineLevel="0" collapsed="false"/>
    <row r="96" customFormat="false" ht="13" hidden="false" customHeight="false" outlineLevel="0" collapsed="false"/>
    <row r="97" customFormat="false" ht="13" hidden="false" customHeight="false" outlineLevel="0" collapsed="false"/>
    <row r="98" customFormat="false" ht="13" hidden="false" customHeight="false" outlineLevel="0" collapsed="false"/>
    <row r="99" customFormat="false" ht="13" hidden="false" customHeight="false" outlineLevel="0" collapsed="false"/>
    <row r="100" customFormat="false" ht="13" hidden="false" customHeight="false" outlineLevel="0" collapsed="false"/>
    <row r="101" customFormat="false" ht="13" hidden="false" customHeight="false" outlineLevel="0" collapsed="false"/>
    <row r="102" customFormat="false" ht="13" hidden="false" customHeight="false" outlineLevel="0" collapsed="false"/>
    <row r="103" customFormat="false" ht="13" hidden="false" customHeight="false" outlineLevel="0" collapsed="false"/>
    <row r="104" customFormat="false" ht="13" hidden="false" customHeight="false" outlineLevel="0" collapsed="false"/>
    <row r="105" customFormat="false" ht="13" hidden="false" customHeight="false" outlineLevel="0" collapsed="false"/>
    <row r="106" customFormat="false" ht="13" hidden="false" customHeight="false" outlineLevel="0" collapsed="false"/>
    <row r="107" customFormat="false" ht="13" hidden="false" customHeight="false" outlineLevel="0" collapsed="false"/>
    <row r="108" customFormat="false" ht="13" hidden="false" customHeight="false" outlineLevel="0" collapsed="false"/>
    <row r="109" customFormat="false" ht="13" hidden="false" customHeight="false" outlineLevel="0" collapsed="false"/>
    <row r="110" customFormat="false" ht="13" hidden="false" customHeight="false" outlineLevel="0" collapsed="false"/>
    <row r="111" customFormat="false" ht="13" hidden="false" customHeight="false" outlineLevel="0" collapsed="false"/>
    <row r="112" customFormat="false" ht="13" hidden="false" customHeight="false" outlineLevel="0" collapsed="false"/>
    <row r="113" customFormat="false" ht="13" hidden="false" customHeight="false" outlineLevel="0" collapsed="false"/>
    <row r="114" customFormat="false" ht="13" hidden="false" customHeight="false" outlineLevel="0" collapsed="false"/>
    <row r="115" customFormat="false" ht="13" hidden="false" customHeight="false" outlineLevel="0" collapsed="false"/>
    <row r="116" customFormat="false" ht="13" hidden="false" customHeight="false" outlineLevel="0" collapsed="false"/>
    <row r="117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P76"/>
  <sheetViews>
    <sheetView showFormulas="false" showGridLines="false" showRowColHeaders="true" showZeros="true" rightToLeft="false" tabSelected="false" showOutlineSymbols="true" defaultGridColor="true" view="normal" topLeftCell="A31" colorId="64" zoomScale="80" zoomScaleNormal="80" zoomScalePageLayoutView="100" workbookViewId="0">
      <selection pane="topLeft" activeCell="L51" activeCellId="0" sqref="L51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31.34"/>
    <col collapsed="false" customWidth="true" hidden="false" outlineLevel="0" max="7" min="7" style="2" width="20.77"/>
    <col collapsed="false" customWidth="true" hidden="false" outlineLevel="0" max="8" min="8" style="2" width="15.33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6" min="11" style="2" width="9.34"/>
    <col collapsed="false" customWidth="true" hidden="false" outlineLevel="0" max="17" min="17" style="2" width="18.67"/>
    <col collapsed="false" customWidth="true" hidden="false" outlineLevel="0" max="19" min="18" style="2" width="20.77"/>
    <col collapsed="false" customWidth="true" hidden="false" outlineLevel="0" max="1025" min="20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4 - Sorting (ANS)</v>
      </c>
    </row>
    <row r="5" customFormat="false" ht="12.5" hidden="false" customHeight="false" outlineLevel="0" collapsed="false">
      <c r="P5" s="52"/>
    </row>
    <row r="6" customFormat="false" ht="13" hidden="false" customHeight="false" outlineLevel="0" collapsed="false"/>
    <row r="7" customFormat="false" ht="18.5" hidden="false" customHeight="false" outlineLevel="0" collapsed="false">
      <c r="B7" s="43" t="s">
        <v>288</v>
      </c>
    </row>
    <row r="8" customFormat="false" ht="13" hidden="false" customHeight="false" outlineLevel="1" collapsed="false">
      <c r="F8" s="44" t="s">
        <v>289</v>
      </c>
    </row>
    <row r="9" customFormat="false" ht="13" hidden="false" customHeight="false" outlineLevel="1" collapsed="false">
      <c r="F9" s="46" t="s">
        <v>19</v>
      </c>
      <c r="G9" s="47" t="s">
        <v>98</v>
      </c>
    </row>
    <row r="10" customFormat="false" ht="13" hidden="false" customHeight="false" outlineLevel="1" collapsed="false">
      <c r="F10" s="0"/>
      <c r="G10" s="0"/>
    </row>
    <row r="11" customFormat="false" ht="13" hidden="false" customHeight="false" outlineLevel="1" collapsed="false">
      <c r="F11" s="61" t="s">
        <v>18</v>
      </c>
      <c r="G11" s="62" t="s">
        <v>270</v>
      </c>
    </row>
    <row r="12" customFormat="false" ht="13" hidden="false" customHeight="false" outlineLevel="1" collapsed="false">
      <c r="F12" s="65" t="s">
        <v>127</v>
      </c>
      <c r="G12" s="66" t="n">
        <v>682.5</v>
      </c>
    </row>
    <row r="13" customFormat="false" ht="13" hidden="false" customHeight="false" outlineLevel="1" collapsed="false">
      <c r="F13" s="67" t="s">
        <v>97</v>
      </c>
      <c r="G13" s="68" t="n">
        <v>949.05</v>
      </c>
    </row>
    <row r="14" customFormat="false" ht="13" hidden="false" customHeight="false" outlineLevel="1" collapsed="false">
      <c r="F14" s="67" t="s">
        <v>180</v>
      </c>
      <c r="G14" s="89" t="n">
        <v>474.5</v>
      </c>
    </row>
    <row r="15" customFormat="false" ht="13" hidden="false" customHeight="false" outlineLevel="1" collapsed="false">
      <c r="F15" s="87" t="s">
        <v>278</v>
      </c>
      <c r="G15" s="88" t="n">
        <v>2106.05</v>
      </c>
    </row>
    <row r="16" customFormat="false" ht="13" hidden="false" customHeight="false" outlineLevel="1" collapsed="false"/>
    <row r="17" customFormat="false" ht="13" hidden="false" customHeight="false" outlineLevel="1" collapsed="false"/>
    <row r="18" customFormat="false" ht="13" hidden="false" customHeight="false" outlineLevel="1" collapsed="false"/>
    <row r="19" customFormat="false" ht="13" hidden="false" customHeight="false" outlineLevel="1" collapsed="false"/>
    <row r="20" customFormat="false" ht="13" hidden="false" customHeight="false" outlineLevel="1" collapsed="false"/>
    <row r="21" customFormat="false" ht="13" hidden="false" customHeight="false" outlineLevel="1" collapsed="false"/>
    <row r="22" customFormat="false" ht="13" hidden="false" customHeight="false" outlineLevel="1" collapsed="false"/>
    <row r="23" customFormat="false" ht="13" hidden="false" customHeight="false" outlineLevel="1" collapsed="false"/>
    <row r="24" customFormat="false" ht="18.5" hidden="false" customHeight="false" outlineLevel="0" collapsed="false">
      <c r="B24" s="43" t="s">
        <v>294</v>
      </c>
    </row>
    <row r="25" customFormat="false" ht="13" hidden="false" customHeight="false" outlineLevel="1" collapsed="false">
      <c r="F25" s="44" t="s">
        <v>295</v>
      </c>
    </row>
    <row r="26" customFormat="false" ht="13" hidden="false" customHeight="false" outlineLevel="1" collapsed="false">
      <c r="F26" s="61" t="s">
        <v>22</v>
      </c>
      <c r="G26" s="76" t="s">
        <v>21</v>
      </c>
      <c r="H26" s="62" t="s">
        <v>271</v>
      </c>
    </row>
    <row r="27" customFormat="false" ht="13" hidden="false" customHeight="false" outlineLevel="1" collapsed="false">
      <c r="F27" s="65" t="s">
        <v>32</v>
      </c>
      <c r="G27" s="90"/>
      <c r="H27" s="72" t="n">
        <v>3302</v>
      </c>
    </row>
    <row r="28" customFormat="false" ht="13" hidden="false" customHeight="false" outlineLevel="1" collapsed="false">
      <c r="F28" s="67"/>
      <c r="G28" s="91" t="s">
        <v>54</v>
      </c>
      <c r="H28" s="73" t="n">
        <v>1265</v>
      </c>
    </row>
    <row r="29" customFormat="false" ht="13" hidden="false" customHeight="false" outlineLevel="1" collapsed="false">
      <c r="F29" s="67"/>
      <c r="G29" s="91" t="s">
        <v>116</v>
      </c>
      <c r="H29" s="73" t="n">
        <v>874</v>
      </c>
    </row>
    <row r="30" customFormat="false" ht="13" hidden="false" customHeight="false" outlineLevel="1" collapsed="false">
      <c r="F30" s="67"/>
      <c r="G30" s="91" t="s">
        <v>165</v>
      </c>
      <c r="H30" s="73" t="n">
        <v>583</v>
      </c>
    </row>
    <row r="31" customFormat="false" ht="13" hidden="false" customHeight="false" outlineLevel="1" collapsed="false">
      <c r="F31" s="92"/>
      <c r="G31" s="93" t="s">
        <v>31</v>
      </c>
      <c r="H31" s="94" t="n">
        <v>580</v>
      </c>
    </row>
    <row r="32" customFormat="false" ht="13" hidden="false" customHeight="false" outlineLevel="1" collapsed="false">
      <c r="F32" s="65" t="s">
        <v>38</v>
      </c>
      <c r="G32" s="90"/>
      <c r="H32" s="72" t="n">
        <v>2421</v>
      </c>
    </row>
    <row r="33" customFormat="false" ht="13" hidden="false" customHeight="false" outlineLevel="1" collapsed="false">
      <c r="F33" s="67"/>
      <c r="G33" s="91" t="s">
        <v>102</v>
      </c>
      <c r="H33" s="73" t="n">
        <v>824</v>
      </c>
    </row>
    <row r="34" customFormat="false" ht="13" hidden="false" customHeight="false" outlineLevel="1" collapsed="false">
      <c r="F34" s="67"/>
      <c r="G34" s="91" t="s">
        <v>126</v>
      </c>
      <c r="H34" s="73" t="n">
        <v>591</v>
      </c>
    </row>
    <row r="35" customFormat="false" ht="13" hidden="false" customHeight="false" outlineLevel="1" collapsed="false">
      <c r="F35" s="67"/>
      <c r="G35" s="91" t="s">
        <v>50</v>
      </c>
      <c r="H35" s="73" t="n">
        <v>506</v>
      </c>
    </row>
    <row r="36" customFormat="false" ht="13" hidden="false" customHeight="false" outlineLevel="1" collapsed="false">
      <c r="F36" s="92"/>
      <c r="G36" s="93" t="s">
        <v>54</v>
      </c>
      <c r="H36" s="94" t="n">
        <v>500</v>
      </c>
    </row>
    <row r="37" customFormat="false" ht="13" hidden="false" customHeight="false" outlineLevel="1" collapsed="false">
      <c r="F37" s="65" t="s">
        <v>35</v>
      </c>
      <c r="G37" s="90"/>
      <c r="H37" s="72" t="n">
        <v>1042</v>
      </c>
    </row>
    <row r="38" customFormat="false" ht="13" hidden="false" customHeight="false" outlineLevel="1" collapsed="false">
      <c r="F38" s="67"/>
      <c r="G38" s="91" t="s">
        <v>102</v>
      </c>
      <c r="H38" s="73" t="n">
        <v>411</v>
      </c>
    </row>
    <row r="39" customFormat="false" ht="13" hidden="false" customHeight="false" outlineLevel="1" collapsed="false">
      <c r="F39" s="67"/>
      <c r="G39" s="91" t="s">
        <v>31</v>
      </c>
      <c r="H39" s="73" t="n">
        <v>365</v>
      </c>
    </row>
    <row r="40" customFormat="false" ht="13" hidden="false" customHeight="false" outlineLevel="1" collapsed="false">
      <c r="F40" s="67"/>
      <c r="G40" s="91" t="s">
        <v>50</v>
      </c>
      <c r="H40" s="73" t="n">
        <v>141</v>
      </c>
    </row>
    <row r="41" customFormat="false" ht="13" hidden="false" customHeight="false" outlineLevel="1" collapsed="false">
      <c r="F41" s="92"/>
      <c r="G41" s="93" t="s">
        <v>92</v>
      </c>
      <c r="H41" s="94" t="n">
        <v>125</v>
      </c>
    </row>
    <row r="42" customFormat="false" ht="13" hidden="false" customHeight="false" outlineLevel="1" collapsed="false">
      <c r="F42" s="95" t="s">
        <v>278</v>
      </c>
      <c r="G42" s="96"/>
      <c r="H42" s="97" t="n">
        <v>6765</v>
      </c>
    </row>
    <row r="43" customFormat="false" ht="13" hidden="false" customHeight="false" outlineLevel="1" collapsed="false"/>
    <row r="44" customFormat="false" ht="13" hidden="false" customHeight="false" outlineLevel="1" collapsed="false"/>
    <row r="45" customFormat="false" ht="13" hidden="false" customHeight="false" outlineLevel="1" collapsed="false"/>
    <row r="46" customFormat="false" ht="13" hidden="false" customHeight="false" outlineLevel="1" collapsed="false"/>
    <row r="47" customFormat="false" ht="13" hidden="false" customHeight="false" outlineLevel="1" collapsed="false"/>
    <row r="48" customFormat="false" ht="13" hidden="false" customHeight="false" outlineLevel="1" collapsed="false"/>
    <row r="49" customFormat="false" ht="18.5" hidden="false" customHeight="false" outlineLevel="0" collapsed="false">
      <c r="B49" s="43" t="s">
        <v>292</v>
      </c>
    </row>
    <row r="50" customFormat="false" ht="13" hidden="false" customHeight="false" outlineLevel="1" collapsed="false">
      <c r="F50" s="44" t="s">
        <v>296</v>
      </c>
    </row>
    <row r="51" customFormat="false" ht="13" hidden="false" customHeight="false" outlineLevel="1" collapsed="false">
      <c r="F51" s="61" t="s">
        <v>19</v>
      </c>
      <c r="G51" s="76" t="s">
        <v>21</v>
      </c>
      <c r="H51" s="62" t="s">
        <v>270</v>
      </c>
    </row>
    <row r="52" customFormat="false" ht="13" hidden="false" customHeight="false" outlineLevel="1" collapsed="false">
      <c r="F52" s="65" t="s">
        <v>29</v>
      </c>
      <c r="G52" s="90"/>
      <c r="H52" s="66" t="n">
        <v>3016</v>
      </c>
    </row>
    <row r="53" customFormat="false" ht="13" hidden="false" customHeight="false" outlineLevel="1" collapsed="false">
      <c r="F53" s="92"/>
      <c r="G53" s="93" t="s">
        <v>31</v>
      </c>
      <c r="H53" s="89" t="n">
        <v>3016</v>
      </c>
    </row>
    <row r="54" customFormat="false" ht="13" hidden="false" customHeight="false" outlineLevel="1" collapsed="false">
      <c r="F54" s="65" t="s">
        <v>34</v>
      </c>
      <c r="G54" s="90"/>
      <c r="H54" s="66" t="n">
        <v>2856.5</v>
      </c>
    </row>
    <row r="55" customFormat="false" ht="13" hidden="false" customHeight="false" outlineLevel="1" collapsed="false">
      <c r="F55" s="92"/>
      <c r="G55" s="93" t="s">
        <v>31</v>
      </c>
      <c r="H55" s="89" t="n">
        <v>2856.5</v>
      </c>
    </row>
    <row r="56" customFormat="false" ht="13" hidden="false" customHeight="false" outlineLevel="1" collapsed="false">
      <c r="F56" s="65" t="s">
        <v>40</v>
      </c>
      <c r="G56" s="90"/>
      <c r="H56" s="66" t="n">
        <v>2845.59</v>
      </c>
    </row>
    <row r="57" customFormat="false" ht="13" hidden="false" customHeight="false" outlineLevel="1" collapsed="false">
      <c r="F57" s="67"/>
      <c r="G57" s="91" t="s">
        <v>31</v>
      </c>
      <c r="H57" s="68" t="n">
        <v>2436</v>
      </c>
    </row>
    <row r="58" customFormat="false" ht="13" hidden="false" customHeight="false" outlineLevel="1" collapsed="false">
      <c r="F58" s="92"/>
      <c r="G58" s="93" t="s">
        <v>50</v>
      </c>
      <c r="H58" s="89" t="n">
        <v>409.59</v>
      </c>
    </row>
    <row r="59" customFormat="false" ht="13" hidden="false" customHeight="false" outlineLevel="1" collapsed="false">
      <c r="F59" s="65" t="s">
        <v>48</v>
      </c>
      <c r="G59" s="90"/>
      <c r="H59" s="66" t="n">
        <v>2628.27</v>
      </c>
    </row>
    <row r="60" customFormat="false" ht="13" hidden="false" customHeight="false" outlineLevel="1" collapsed="false">
      <c r="F60" s="67"/>
      <c r="G60" s="91" t="s">
        <v>50</v>
      </c>
      <c r="H60" s="68" t="n">
        <v>1928.07</v>
      </c>
    </row>
    <row r="61" customFormat="false" ht="13" hidden="false" customHeight="false" outlineLevel="1" collapsed="false">
      <c r="F61" s="67"/>
      <c r="G61" s="91" t="s">
        <v>102</v>
      </c>
      <c r="H61" s="68" t="n">
        <v>490.5</v>
      </c>
    </row>
    <row r="62" customFormat="false" ht="13" hidden="false" customHeight="false" outlineLevel="1" collapsed="false">
      <c r="F62" s="92"/>
      <c r="G62" s="93" t="s">
        <v>74</v>
      </c>
      <c r="H62" s="89" t="n">
        <v>209.7</v>
      </c>
    </row>
    <row r="63" customFormat="false" ht="13" hidden="false" customHeight="false" outlineLevel="1" collapsed="false">
      <c r="F63" s="65" t="s">
        <v>37</v>
      </c>
      <c r="G63" s="90"/>
      <c r="H63" s="66" t="n">
        <v>2552</v>
      </c>
    </row>
    <row r="64" customFormat="false" ht="13" hidden="false" customHeight="false" outlineLevel="1" collapsed="false">
      <c r="F64" s="92"/>
      <c r="G64" s="93" t="s">
        <v>31</v>
      </c>
      <c r="H64" s="89" t="n">
        <v>2552</v>
      </c>
    </row>
    <row r="65" customFormat="false" ht="13" hidden="false" customHeight="false" outlineLevel="1" collapsed="false">
      <c r="F65" s="95" t="s">
        <v>278</v>
      </c>
      <c r="G65" s="96"/>
      <c r="H65" s="88" t="n">
        <v>13898.36</v>
      </c>
    </row>
    <row r="66" customFormat="false" ht="13" hidden="false" customHeight="false" outlineLevel="1" collapsed="false"/>
    <row r="67" customFormat="false" ht="13" hidden="false" customHeight="false" outlineLevel="1" collapsed="false"/>
    <row r="68" customFormat="false" ht="13" hidden="false" customHeight="false" outlineLevel="1" collapsed="false"/>
    <row r="69" customFormat="false" ht="13" hidden="false" customHeight="false" outlineLevel="1" collapsed="false"/>
    <row r="70" customFormat="false" ht="13" hidden="false" customHeight="false" outlineLevel="1" collapsed="false"/>
    <row r="71" customFormat="false" ht="13" hidden="false" customHeight="false" outlineLevel="1" collapsed="false"/>
    <row r="72" customFormat="false" ht="13" hidden="false" customHeight="false" outlineLevel="1" collapsed="false"/>
    <row r="73" customFormat="false" ht="13" hidden="false" customHeight="false" outlineLevel="1" collapsed="false"/>
    <row r="74" customFormat="false" ht="13" hidden="false" customHeight="false" outlineLevel="1" collapsed="false"/>
    <row r="75" customFormat="false" ht="13" hidden="false" customHeight="false" outlineLevel="1" collapsed="false"/>
    <row r="76" customFormat="false" ht="13" hidden="false" customHeight="false" outlineLevel="0" collapsed="false"/>
    <row r="77" customFormat="false" ht="13" hidden="false" customHeight="false" outlineLevel="0" collapsed="false"/>
    <row r="78" customFormat="false" ht="13" hidden="false" customHeight="false" outlineLevel="0" collapsed="false"/>
    <row r="79" customFormat="false" ht="13" hidden="false" customHeight="false" outlineLevel="0" collapsed="false"/>
    <row r="80" customFormat="false" ht="13" hidden="false" customHeight="false" outlineLevel="0" collapsed="false"/>
    <row r="81" customFormat="false" ht="13" hidden="false" customHeight="false" outlineLevel="0" collapsed="false"/>
    <row r="82" customFormat="false" ht="13" hidden="false" customHeight="false" outlineLevel="0" collapsed="false"/>
    <row r="83" customFormat="false" ht="13" hidden="false" customHeight="false" outlineLevel="0" collapsed="false"/>
    <row r="84" customFormat="false" ht="13" hidden="false" customHeight="false" outlineLevel="0" collapsed="false"/>
    <row r="85" customFormat="false" ht="13" hidden="false" customHeight="false" outlineLevel="0" collapsed="false"/>
    <row r="86" customFormat="false" ht="13" hidden="false" customHeight="false" outlineLevel="0" collapsed="false"/>
    <row r="87" customFormat="false" ht="13" hidden="false" customHeight="false" outlineLevel="0" collapsed="false"/>
    <row r="88" customFormat="false" ht="13" hidden="false" customHeight="false" outlineLevel="0" collapsed="false"/>
    <row r="89" customFormat="false" ht="13" hidden="false" customHeight="false" outlineLevel="0" collapsed="false"/>
    <row r="90" customFormat="false" ht="13" hidden="false" customHeight="false" outlineLevel="0" collapsed="false"/>
    <row r="91" customFormat="false" ht="13" hidden="false" customHeight="false" outlineLevel="0" collapsed="false"/>
    <row r="92" customFormat="false" ht="13" hidden="false" customHeight="false" outlineLevel="0" collapsed="false"/>
    <row r="93" customFormat="false" ht="13" hidden="false" customHeight="false" outlineLevel="0" collapsed="false"/>
    <row r="94" customFormat="false" ht="13" hidden="false" customHeight="false" outlineLevel="0" collapsed="false"/>
    <row r="95" customFormat="false" ht="13" hidden="false" customHeight="false" outlineLevel="0" collapsed="false"/>
    <row r="96" customFormat="false" ht="13" hidden="false" customHeight="false" outlineLevel="0" collapsed="false"/>
    <row r="97" customFormat="false" ht="13" hidden="false" customHeight="false" outlineLevel="0" collapsed="false"/>
    <row r="98" customFormat="false" ht="13" hidden="false" customHeight="false" outlineLevel="0" collapsed="false"/>
    <row r="99" customFormat="false" ht="13" hidden="false" customHeight="false" outlineLevel="0" collapsed="false"/>
    <row r="100" customFormat="false" ht="13" hidden="false" customHeight="false" outlineLevel="0" collapsed="false"/>
    <row r="101" customFormat="false" ht="13" hidden="false" customHeight="false" outlineLevel="0" collapsed="false"/>
    <row r="102" customFormat="false" ht="13" hidden="false" customHeight="false" outlineLevel="0" collapsed="false"/>
    <row r="103" customFormat="false" ht="13" hidden="false" customHeight="false" outlineLevel="0" collapsed="false"/>
    <row r="104" customFormat="false" ht="13" hidden="false" customHeight="false" outlineLevel="0" collapsed="false"/>
    <row r="105" customFormat="false" ht="13" hidden="false" customHeight="false" outlineLevel="0" collapsed="false"/>
    <row r="106" customFormat="false" ht="13" hidden="false" customHeight="false" outlineLevel="0" collapsed="false"/>
    <row r="107" customFormat="false" ht="13" hidden="false" customHeight="false" outlineLevel="0" collapsed="false"/>
    <row r="108" customFormat="false" ht="13" hidden="false" customHeight="false" outlineLevel="0" collapsed="false"/>
    <row r="109" customFormat="false" ht="13" hidden="false" customHeight="false" outlineLevel="0" collapsed="false"/>
    <row r="110" customFormat="false" ht="13" hidden="false" customHeight="false" outlineLevel="0" collapsed="false"/>
    <row r="111" customFormat="false" ht="13" hidden="false" customHeight="false" outlineLevel="0" collapsed="false"/>
    <row r="112" customFormat="false" ht="13" hidden="false" customHeight="false" outlineLevel="0" collapsed="false"/>
    <row r="113" customFormat="false" ht="13" hidden="false" customHeight="false" outlineLevel="0" collapsed="false"/>
    <row r="114" customFormat="false" ht="13" hidden="false" customHeight="false" outlineLevel="0" collapsed="false"/>
    <row r="115" customFormat="false" ht="13" hidden="false" customHeight="false" outlineLevel="0" collapsed="false"/>
    <row r="116" customFormat="false" ht="13" hidden="false" customHeight="false" outlineLevel="0" collapsed="false"/>
    <row r="117" customFormat="false" ht="13" hidden="false" customHeight="false" outlineLevel="0" collapsed="false"/>
    <row r="118" customFormat="false" ht="13" hidden="false" customHeight="false" outlineLevel="0" collapsed="false"/>
    <row r="119" customFormat="false" ht="13" hidden="false" customHeight="false" outlineLevel="0" collapsed="false"/>
    <row r="120" customFormat="false" ht="13" hidden="false" customHeight="false" outlineLevel="0" collapsed="false"/>
    <row r="121" customFormat="false" ht="13" hidden="false" customHeight="false" outlineLevel="0" collapsed="false"/>
    <row r="122" customFormat="false" ht="13" hidden="false" customHeight="false" outlineLevel="0" collapsed="false"/>
    <row r="123" customFormat="false" ht="13" hidden="false" customHeight="false" outlineLevel="0" collapsed="false"/>
    <row r="124" customFormat="false" ht="13" hidden="false" customHeight="false" outlineLevel="0" collapsed="false"/>
    <row r="125" customFormat="false" ht="13" hidden="false" customHeight="false" outlineLevel="0" collapsed="false"/>
    <row r="126" customFormat="false" ht="13" hidden="false" customHeight="false" outlineLevel="0" collapsed="false"/>
    <row r="127" customFormat="false" ht="13" hidden="false" customHeight="false" outlineLevel="0" collapsed="false"/>
    <row r="128" customFormat="false" ht="13" hidden="false" customHeight="false" outlineLevel="0" collapsed="false"/>
    <row r="129" customFormat="false" ht="13" hidden="false" customHeight="false" outlineLevel="0" collapsed="false"/>
    <row r="130" customFormat="false" ht="13" hidden="false" customHeight="false" outlineLevel="0" collapsed="false"/>
    <row r="131" customFormat="false" ht="13" hidden="false" customHeight="false" outlineLevel="0" collapsed="false"/>
    <row r="132" customFormat="false" ht="13" hidden="false" customHeight="false" outlineLevel="0" collapsed="false"/>
    <row r="133" customFormat="false" ht="13" hidden="false" customHeight="false" outlineLevel="0" collapsed="false"/>
    <row r="134" customFormat="false" ht="13" hidden="false" customHeight="false" outlineLevel="0" collapsed="false"/>
    <row r="135" customFormat="false" ht="13" hidden="false" customHeight="false" outlineLevel="0" collapsed="false"/>
    <row r="136" customFormat="false" ht="13" hidden="false" customHeight="false" outlineLevel="0" collapsed="false"/>
    <row r="137" customFormat="false" ht="13" hidden="false" customHeight="false" outlineLevel="0" collapsed="false"/>
    <row r="138" customFormat="false" ht="13" hidden="false" customHeight="false" outlineLevel="0" collapsed="false"/>
    <row r="139" customFormat="false" ht="13" hidden="false" customHeight="false" outlineLevel="0" collapsed="false"/>
    <row r="140" customFormat="false" ht="13" hidden="false" customHeight="false" outlineLevel="0" collapsed="false"/>
    <row r="141" customFormat="false" ht="13" hidden="false" customHeight="false" outlineLevel="0" collapsed="false"/>
    <row r="142" customFormat="false" ht="13" hidden="false" customHeight="false" outlineLevel="0" collapsed="false"/>
    <row r="143" customFormat="false" ht="13" hidden="false" customHeight="false" outlineLevel="0" collapsed="false"/>
    <row r="144" customFormat="false" ht="13" hidden="false" customHeight="false" outlineLevel="0" collapsed="false"/>
    <row r="145" customFormat="false" ht="13" hidden="false" customHeight="false" outlineLevel="0" collapsed="false"/>
    <row r="146" customFormat="false" ht="13" hidden="false" customHeight="false" outlineLevel="0" collapsed="false"/>
    <row r="147" customFormat="false" ht="13" hidden="false" customHeight="false" outlineLevel="0" collapsed="false"/>
    <row r="148" customFormat="false" ht="13" hidden="false" customHeight="false" outlineLevel="0" collapsed="false"/>
    <row r="149" customFormat="false" ht="13" hidden="false" customHeight="false" outlineLevel="0" collapsed="false"/>
    <row r="150" customFormat="false" ht="13" hidden="false" customHeight="false" outlineLevel="0" collapsed="false"/>
    <row r="151" customFormat="false" ht="13" hidden="false" customHeight="false" outlineLevel="0" collapsed="false"/>
    <row r="152" customFormat="false" ht="13" hidden="false" customHeight="false" outlineLevel="0" collapsed="false"/>
    <row r="153" customFormat="false" ht="13" hidden="false" customHeight="false" outlineLevel="0" collapsed="false"/>
    <row r="154" customFormat="false" ht="13" hidden="false" customHeight="false" outlineLevel="0" collapsed="false"/>
    <row r="155" customFormat="false" ht="13" hidden="false" customHeight="false" outlineLevel="0" collapsed="false"/>
    <row r="156" customFormat="false" ht="13" hidden="false" customHeight="false" outlineLevel="0" collapsed="false"/>
    <row r="157" customFormat="false" ht="13" hidden="false" customHeight="false" outlineLevel="0" collapsed="false"/>
    <row r="158" customFormat="false" ht="13" hidden="false" customHeight="false" outlineLevel="0" collapsed="false"/>
    <row r="159" customFormat="false" ht="13" hidden="false" customHeight="false" outlineLevel="0" collapsed="false"/>
    <row r="160" customFormat="false" ht="13" hidden="false" customHeight="false" outlineLevel="0" collapsed="false"/>
    <row r="161" customFormat="false" ht="13" hidden="false" customHeight="false" outlineLevel="0" collapsed="false"/>
    <row r="162" customFormat="false" ht="13" hidden="false" customHeight="false" outlineLevel="0" collapsed="false"/>
    <row r="163" customFormat="false" ht="13" hidden="false" customHeight="false" outlineLevel="0" collapsed="false"/>
    <row r="164" customFormat="false" ht="13" hidden="false" customHeight="false" outlineLevel="0" collapsed="false"/>
    <row r="165" customFormat="false" ht="13" hidden="false" customHeight="false" outlineLevel="0" collapsed="false"/>
    <row r="166" customFormat="false" ht="13" hidden="false" customHeight="false" outlineLevel="0" collapsed="false"/>
    <row r="167" customFormat="false" ht="13" hidden="false" customHeight="false" outlineLevel="0" collapsed="false"/>
    <row r="168" customFormat="false" ht="13" hidden="false" customHeight="false" outlineLevel="0" collapsed="false"/>
    <row r="169" customFormat="false" ht="13" hidden="false" customHeight="false" outlineLevel="0" collapsed="false"/>
    <row r="170" customFormat="false" ht="13" hidden="false" customHeight="false" outlineLevel="0" collapsed="false"/>
    <row r="171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50"/>
  <sheetViews>
    <sheetView showFormulas="false" showGridLines="fals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31.34"/>
    <col collapsed="false" customWidth="true" hidden="false" outlineLevel="0" max="7" min="7" style="2" width="20.66"/>
    <col collapsed="false" customWidth="true" hidden="false" outlineLevel="0" max="8" min="8" style="2" width="15.33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1" min="11" style="2" width="14.33"/>
    <col collapsed="false" customWidth="true" hidden="false" outlineLevel="0" max="1025" min="12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5- Adv Filter</v>
      </c>
    </row>
    <row r="7" customFormat="false" ht="18.5" hidden="false" customHeight="false" outlineLevel="0" collapsed="false">
      <c r="B7" s="43" t="s">
        <v>297</v>
      </c>
    </row>
    <row r="8" customFormat="false" ht="13" hidden="true" customHeight="false" outlineLevel="1" collapsed="false">
      <c r="F8" s="44" t="s">
        <v>298</v>
      </c>
    </row>
    <row r="9" customFormat="false" ht="13" hidden="true" customHeight="false" outlineLevel="1" collapsed="false">
      <c r="F9" s="61" t="s">
        <v>21</v>
      </c>
      <c r="G9" s="62" t="s">
        <v>271</v>
      </c>
    </row>
    <row r="10" customFormat="false" ht="13" hidden="true" customHeight="false" outlineLevel="1" collapsed="false">
      <c r="F10" s="65" t="s">
        <v>54</v>
      </c>
      <c r="G10" s="72" t="n">
        <v>1765</v>
      </c>
    </row>
    <row r="11" customFormat="false" ht="13" hidden="true" customHeight="false" outlineLevel="1" collapsed="false">
      <c r="F11" s="67" t="s">
        <v>31</v>
      </c>
      <c r="G11" s="73" t="n">
        <v>1444</v>
      </c>
    </row>
    <row r="12" customFormat="false" ht="13" hidden="true" customHeight="false" outlineLevel="1" collapsed="false">
      <c r="F12" s="67" t="s">
        <v>102</v>
      </c>
      <c r="G12" s="73" t="n">
        <v>1357</v>
      </c>
    </row>
    <row r="13" customFormat="false" ht="13" hidden="true" customHeight="false" outlineLevel="1" collapsed="false">
      <c r="F13" s="67" t="s">
        <v>116</v>
      </c>
      <c r="G13" s="73" t="n">
        <v>1246</v>
      </c>
    </row>
    <row r="14" customFormat="false" ht="13" hidden="true" customHeight="false" outlineLevel="1" collapsed="false">
      <c r="F14" s="67" t="s">
        <v>74</v>
      </c>
      <c r="G14" s="73" t="n">
        <v>1011</v>
      </c>
    </row>
    <row r="15" customFormat="false" ht="13" hidden="true" customHeight="false" outlineLevel="1" collapsed="false">
      <c r="F15" s="67" t="s">
        <v>165</v>
      </c>
      <c r="G15" s="73" t="n">
        <v>1008</v>
      </c>
    </row>
    <row r="16" customFormat="false" ht="13" hidden="true" customHeight="false" outlineLevel="1" collapsed="false">
      <c r="F16" s="67" t="s">
        <v>50</v>
      </c>
      <c r="G16" s="73" t="n">
        <v>932</v>
      </c>
    </row>
    <row r="17" customFormat="false" ht="13" hidden="true" customHeight="false" outlineLevel="1" collapsed="false">
      <c r="F17" s="67" t="s">
        <v>92</v>
      </c>
      <c r="G17" s="73" t="n">
        <v>784</v>
      </c>
    </row>
    <row r="18" customFormat="false" ht="13" hidden="true" customHeight="false" outlineLevel="1" collapsed="false">
      <c r="F18" s="67" t="s">
        <v>88</v>
      </c>
      <c r="G18" s="73" t="n">
        <v>746</v>
      </c>
    </row>
    <row r="19" customFormat="false" ht="13" hidden="true" customHeight="false" outlineLevel="1" collapsed="false">
      <c r="F19" s="67" t="s">
        <v>126</v>
      </c>
      <c r="G19" s="94" t="n">
        <v>676</v>
      </c>
    </row>
    <row r="20" customFormat="false" ht="13" hidden="true" customHeight="false" outlineLevel="1" collapsed="false">
      <c r="F20" s="87" t="s">
        <v>278</v>
      </c>
      <c r="G20" s="97" t="n">
        <v>10969</v>
      </c>
    </row>
    <row r="21" customFormat="false" ht="12.5" hidden="true" customHeight="false" outlineLevel="1" collapsed="false"/>
    <row r="22" customFormat="false" ht="12.5" hidden="true" customHeight="false" outlineLevel="1" collapsed="false"/>
    <row r="23" customFormat="false" ht="12.5" hidden="true" customHeight="false" outlineLevel="1" collapsed="false"/>
    <row r="24" customFormat="false" ht="18.5" hidden="false" customHeight="false" outlineLevel="0" collapsed="false">
      <c r="B24" s="43" t="s">
        <v>299</v>
      </c>
    </row>
    <row r="25" customFormat="false" ht="13" hidden="true" customHeight="false" outlineLevel="1" collapsed="false">
      <c r="F25" s="102" t="s">
        <v>300</v>
      </c>
    </row>
    <row r="26" customFormat="false" ht="13" hidden="true" customHeight="false" outlineLevel="1" collapsed="false">
      <c r="F26" s="61" t="s">
        <v>21</v>
      </c>
      <c r="G26" s="62" t="s">
        <v>271</v>
      </c>
    </row>
    <row r="27" customFormat="false" ht="13" hidden="true" customHeight="false" outlineLevel="1" collapsed="false">
      <c r="F27" s="65" t="s">
        <v>54</v>
      </c>
      <c r="G27" s="72" t="n">
        <v>1765</v>
      </c>
    </row>
    <row r="28" customFormat="false" ht="13" hidden="true" customHeight="false" outlineLevel="1" collapsed="false">
      <c r="F28" s="67" t="s">
        <v>31</v>
      </c>
      <c r="G28" s="73" t="n">
        <v>1444</v>
      </c>
    </row>
    <row r="29" customFormat="false" ht="13" hidden="true" customHeight="false" outlineLevel="1" collapsed="false">
      <c r="F29" s="67" t="s">
        <v>102</v>
      </c>
      <c r="G29" s="73" t="n">
        <v>1357</v>
      </c>
    </row>
    <row r="30" customFormat="false" ht="13" hidden="true" customHeight="false" outlineLevel="1" collapsed="false">
      <c r="F30" s="67" t="s">
        <v>116</v>
      </c>
      <c r="G30" s="73" t="n">
        <v>1246</v>
      </c>
    </row>
    <row r="31" customFormat="false" ht="13" hidden="true" customHeight="false" outlineLevel="1" collapsed="false">
      <c r="F31" s="67" t="s">
        <v>74</v>
      </c>
      <c r="G31" s="73" t="n">
        <v>1011</v>
      </c>
      <c r="H31" s="103"/>
      <c r="I31" s="103"/>
    </row>
    <row r="32" customFormat="false" ht="13" hidden="true" customHeight="false" outlineLevel="1" collapsed="false">
      <c r="F32" s="67" t="s">
        <v>165</v>
      </c>
      <c r="G32" s="73" t="n">
        <v>1008</v>
      </c>
      <c r="H32" s="104"/>
      <c r="I32" s="104"/>
    </row>
    <row r="33" customFormat="false" ht="13" hidden="true" customHeight="false" outlineLevel="1" collapsed="false">
      <c r="F33" s="67" t="s">
        <v>50</v>
      </c>
      <c r="G33" s="73" t="n">
        <v>932</v>
      </c>
      <c r="H33" s="105"/>
      <c r="I33" s="105"/>
    </row>
    <row r="34" customFormat="false" ht="13" hidden="true" customHeight="false" outlineLevel="1" collapsed="false">
      <c r="F34" s="67" t="s">
        <v>92</v>
      </c>
      <c r="G34" s="73" t="n">
        <v>784</v>
      </c>
    </row>
    <row r="35" customFormat="false" ht="13" hidden="true" customHeight="false" outlineLevel="1" collapsed="false">
      <c r="F35" s="67" t="s">
        <v>88</v>
      </c>
      <c r="G35" s="73" t="n">
        <v>746</v>
      </c>
    </row>
    <row r="36" customFormat="false" ht="13" hidden="true" customHeight="false" outlineLevel="1" collapsed="false">
      <c r="F36" s="67" t="s">
        <v>126</v>
      </c>
      <c r="G36" s="73" t="n">
        <v>676</v>
      </c>
    </row>
    <row r="37" customFormat="false" ht="13" hidden="true" customHeight="false" outlineLevel="1" collapsed="false">
      <c r="F37" s="67" t="s">
        <v>129</v>
      </c>
      <c r="G37" s="94" t="n">
        <v>407</v>
      </c>
    </row>
    <row r="38" customFormat="false" ht="13" hidden="true" customHeight="false" outlineLevel="1" collapsed="false">
      <c r="F38" s="87" t="s">
        <v>278</v>
      </c>
      <c r="G38" s="97" t="n">
        <v>11376</v>
      </c>
    </row>
    <row r="39" customFormat="false" ht="12.5" hidden="true" customHeight="false" outlineLevel="1" collapsed="false"/>
    <row r="40" customFormat="false" ht="12.5" hidden="true" customHeight="false" outlineLevel="1" collapsed="false"/>
    <row r="41" customFormat="false" ht="12.5" hidden="true" customHeight="false" outlineLevel="1" collapsed="false"/>
    <row r="42" customFormat="false" ht="18.5" hidden="false" customHeight="false" outlineLevel="0" collapsed="false">
      <c r="B42" s="43" t="s">
        <v>301</v>
      </c>
    </row>
    <row r="43" customFormat="false" ht="13" hidden="true" customHeight="false" outlineLevel="1" collapsed="false">
      <c r="F43" s="44" t="s">
        <v>302</v>
      </c>
    </row>
    <row r="44" customFormat="false" ht="13" hidden="true" customHeight="false" outlineLevel="1" collapsed="false">
      <c r="F44" s="61" t="s">
        <v>19</v>
      </c>
      <c r="G44" s="62" t="s">
        <v>270</v>
      </c>
    </row>
    <row r="45" customFormat="false" ht="13" hidden="true" customHeight="false" outlineLevel="1" collapsed="false">
      <c r="F45" s="65" t="s">
        <v>29</v>
      </c>
      <c r="G45" s="66" t="n">
        <v>3016</v>
      </c>
    </row>
    <row r="46" customFormat="false" ht="13" hidden="true" customHeight="false" outlineLevel="1" collapsed="false">
      <c r="F46" s="67" t="s">
        <v>34</v>
      </c>
      <c r="G46" s="68" t="n">
        <v>2856.5</v>
      </c>
    </row>
    <row r="47" customFormat="false" ht="13" hidden="true" customHeight="false" outlineLevel="1" collapsed="false">
      <c r="F47" s="67" t="s">
        <v>40</v>
      </c>
      <c r="G47" s="68" t="n">
        <v>2845.59</v>
      </c>
    </row>
    <row r="48" customFormat="false" ht="13" hidden="true" customHeight="false" outlineLevel="1" collapsed="false">
      <c r="F48" s="67" t="s">
        <v>48</v>
      </c>
      <c r="G48" s="68" t="n">
        <v>2628.27</v>
      </c>
    </row>
    <row r="49" customFormat="false" ht="13" hidden="true" customHeight="false" outlineLevel="1" collapsed="false">
      <c r="F49" s="67" t="s">
        <v>37</v>
      </c>
      <c r="G49" s="68" t="n">
        <v>2552</v>
      </c>
    </row>
    <row r="50" customFormat="false" ht="13" hidden="true" customHeight="false" outlineLevel="1" collapsed="false">
      <c r="F50" s="67" t="s">
        <v>42</v>
      </c>
      <c r="G50" s="68" t="n">
        <v>2407</v>
      </c>
    </row>
    <row r="51" customFormat="false" ht="13" hidden="true" customHeight="false" outlineLevel="1" collapsed="false">
      <c r="F51" s="67" t="s">
        <v>44</v>
      </c>
      <c r="G51" s="68" t="n">
        <v>2276.5</v>
      </c>
    </row>
    <row r="52" customFormat="false" ht="13" hidden="true" customHeight="false" outlineLevel="1" collapsed="false">
      <c r="F52" s="67" t="s">
        <v>98</v>
      </c>
      <c r="G52" s="68" t="n">
        <v>2106.05</v>
      </c>
    </row>
    <row r="53" customFormat="false" ht="13" hidden="true" customHeight="false" outlineLevel="1" collapsed="false">
      <c r="F53" s="67" t="s">
        <v>46</v>
      </c>
      <c r="G53" s="68" t="n">
        <v>2059</v>
      </c>
    </row>
    <row r="54" customFormat="false" ht="13" hidden="true" customHeight="false" outlineLevel="1" collapsed="false">
      <c r="F54" s="67" t="s">
        <v>52</v>
      </c>
      <c r="G54" s="68" t="n">
        <v>1845</v>
      </c>
    </row>
    <row r="55" customFormat="false" ht="13" hidden="true" customHeight="false" outlineLevel="1" collapsed="false">
      <c r="F55" s="67" t="s">
        <v>56</v>
      </c>
      <c r="G55" s="68" t="n">
        <v>1791</v>
      </c>
    </row>
    <row r="56" customFormat="false" ht="13" hidden="true" customHeight="false" outlineLevel="1" collapsed="false">
      <c r="F56" s="67" t="s">
        <v>60</v>
      </c>
      <c r="G56" s="68" t="n">
        <v>1692</v>
      </c>
    </row>
    <row r="57" customFormat="false" ht="13" hidden="true" customHeight="false" outlineLevel="1" collapsed="false">
      <c r="F57" s="67" t="s">
        <v>58</v>
      </c>
      <c r="G57" s="68" t="n">
        <v>1692</v>
      </c>
    </row>
    <row r="58" customFormat="false" ht="13" hidden="true" customHeight="false" outlineLevel="1" collapsed="false">
      <c r="F58" s="67" t="s">
        <v>62</v>
      </c>
      <c r="G58" s="68" t="n">
        <v>1668.33</v>
      </c>
    </row>
    <row r="59" customFormat="false" ht="13" hidden="true" customHeight="false" outlineLevel="1" collapsed="false">
      <c r="F59" s="67" t="s">
        <v>64</v>
      </c>
      <c r="G59" s="68" t="n">
        <v>1628.37</v>
      </c>
    </row>
    <row r="60" customFormat="false" ht="13" hidden="true" customHeight="false" outlineLevel="1" collapsed="false">
      <c r="F60" s="67" t="s">
        <v>66</v>
      </c>
      <c r="G60" s="68" t="n">
        <v>1530</v>
      </c>
    </row>
    <row r="61" customFormat="false" ht="13" hidden="true" customHeight="false" outlineLevel="1" collapsed="false">
      <c r="F61" s="67" t="s">
        <v>68</v>
      </c>
      <c r="G61" s="68" t="n">
        <v>1479</v>
      </c>
    </row>
    <row r="62" customFormat="false" ht="13" hidden="true" customHeight="false" outlineLevel="1" collapsed="false">
      <c r="F62" s="67" t="s">
        <v>70</v>
      </c>
      <c r="G62" s="68" t="n">
        <v>1440</v>
      </c>
    </row>
    <row r="63" customFormat="false" ht="13" hidden="true" customHeight="false" outlineLevel="1" collapsed="false">
      <c r="F63" s="67" t="s">
        <v>72</v>
      </c>
      <c r="G63" s="68" t="n">
        <v>1425.96</v>
      </c>
    </row>
    <row r="64" customFormat="false" ht="13" hidden="true" customHeight="false" outlineLevel="1" collapsed="false">
      <c r="F64" s="67" t="s">
        <v>76</v>
      </c>
      <c r="G64" s="68" t="n">
        <v>1408.59</v>
      </c>
    </row>
    <row r="65" customFormat="false" ht="13" hidden="true" customHeight="false" outlineLevel="1" collapsed="false">
      <c r="F65" s="67" t="s">
        <v>106</v>
      </c>
      <c r="G65" s="68" t="n">
        <v>1359</v>
      </c>
    </row>
    <row r="66" customFormat="false" ht="13" hidden="true" customHeight="false" outlineLevel="1" collapsed="false">
      <c r="F66" s="67" t="s">
        <v>78</v>
      </c>
      <c r="G66" s="68" t="n">
        <v>1323</v>
      </c>
    </row>
    <row r="67" customFormat="false" ht="13" hidden="true" customHeight="false" outlineLevel="1" collapsed="false">
      <c r="F67" s="67" t="s">
        <v>90</v>
      </c>
      <c r="G67" s="68" t="n">
        <v>1293</v>
      </c>
    </row>
    <row r="68" customFormat="false" ht="13" hidden="true" customHeight="false" outlineLevel="1" collapsed="false">
      <c r="F68" s="67" t="s">
        <v>80</v>
      </c>
      <c r="G68" s="68" t="n">
        <v>1286.16</v>
      </c>
    </row>
    <row r="69" customFormat="false" ht="13" hidden="true" customHeight="false" outlineLevel="1" collapsed="false">
      <c r="F69" s="67" t="s">
        <v>82</v>
      </c>
      <c r="G69" s="68" t="n">
        <v>1269</v>
      </c>
    </row>
    <row r="70" customFormat="false" ht="13" hidden="true" customHeight="false" outlineLevel="1" collapsed="false">
      <c r="F70" s="67" t="s">
        <v>84</v>
      </c>
      <c r="G70" s="68" t="n">
        <v>1215</v>
      </c>
    </row>
    <row r="71" customFormat="false" ht="13" hidden="true" customHeight="false" outlineLevel="1" collapsed="false">
      <c r="F71" s="67" t="s">
        <v>86</v>
      </c>
      <c r="G71" s="68" t="n">
        <v>1144</v>
      </c>
    </row>
    <row r="72" customFormat="false" ht="13" hidden="true" customHeight="false" outlineLevel="1" collapsed="false">
      <c r="F72" s="67" t="s">
        <v>94</v>
      </c>
      <c r="G72" s="68" t="n">
        <v>1058.5</v>
      </c>
    </row>
    <row r="73" customFormat="false" ht="13" hidden="true" customHeight="false" outlineLevel="1" collapsed="false">
      <c r="F73" s="67" t="s">
        <v>96</v>
      </c>
      <c r="G73" s="68" t="n">
        <v>1044</v>
      </c>
    </row>
    <row r="74" customFormat="false" ht="13" hidden="true" customHeight="false" outlineLevel="1" collapsed="false">
      <c r="F74" s="67" t="s">
        <v>139</v>
      </c>
      <c r="G74" s="68" t="n">
        <v>1037.08</v>
      </c>
    </row>
    <row r="75" customFormat="false" ht="13" hidden="true" customHeight="false" outlineLevel="1" collapsed="false">
      <c r="F75" s="67" t="s">
        <v>153</v>
      </c>
      <c r="G75" s="68" t="n">
        <v>1009.11</v>
      </c>
    </row>
    <row r="76" customFormat="false" ht="13" hidden="true" customHeight="false" outlineLevel="1" collapsed="false">
      <c r="F76" s="67" t="s">
        <v>104</v>
      </c>
      <c r="G76" s="68" t="n">
        <v>973.5</v>
      </c>
    </row>
    <row r="77" customFormat="false" ht="13" hidden="true" customHeight="false" outlineLevel="1" collapsed="false">
      <c r="F77" s="67" t="s">
        <v>100</v>
      </c>
      <c r="G77" s="68" t="n">
        <v>913.5</v>
      </c>
    </row>
    <row r="78" customFormat="false" ht="13" hidden="true" customHeight="false" outlineLevel="1" collapsed="false">
      <c r="F78" s="67" t="s">
        <v>155</v>
      </c>
      <c r="G78" s="68" t="n">
        <v>907.16</v>
      </c>
    </row>
    <row r="79" customFormat="false" ht="13" hidden="true" customHeight="false" outlineLevel="1" collapsed="false">
      <c r="F79" s="67" t="s">
        <v>108</v>
      </c>
      <c r="G79" s="68" t="n">
        <v>873.75</v>
      </c>
    </row>
    <row r="80" customFormat="false" ht="13" hidden="true" customHeight="false" outlineLevel="1" collapsed="false">
      <c r="F80" s="67" t="s">
        <v>110</v>
      </c>
      <c r="G80" s="68" t="n">
        <v>850.5</v>
      </c>
    </row>
    <row r="81" customFormat="false" ht="13" hidden="true" customHeight="false" outlineLevel="1" collapsed="false">
      <c r="F81" s="67" t="s">
        <v>167</v>
      </c>
      <c r="G81" s="68" t="n">
        <v>836.5</v>
      </c>
    </row>
    <row r="82" customFormat="false" ht="13" hidden="true" customHeight="false" outlineLevel="1" collapsed="false">
      <c r="F82" s="67" t="s">
        <v>112</v>
      </c>
      <c r="G82" s="68" t="n">
        <v>819</v>
      </c>
    </row>
    <row r="83" customFormat="false" ht="13" hidden="true" customHeight="false" outlineLevel="1" collapsed="false">
      <c r="F83" s="67" t="s">
        <v>186</v>
      </c>
      <c r="G83" s="68" t="n">
        <v>807</v>
      </c>
    </row>
    <row r="84" customFormat="false" ht="13" hidden="true" customHeight="false" outlineLevel="1" collapsed="false">
      <c r="F84" s="67" t="s">
        <v>114</v>
      </c>
      <c r="G84" s="68" t="n">
        <v>801.99</v>
      </c>
    </row>
    <row r="85" customFormat="false" ht="13" hidden="true" customHeight="false" outlineLevel="1" collapsed="false">
      <c r="F85" s="67" t="s">
        <v>118</v>
      </c>
      <c r="G85" s="68" t="n">
        <v>801</v>
      </c>
    </row>
    <row r="86" customFormat="false" ht="13" hidden="true" customHeight="false" outlineLevel="1" collapsed="false">
      <c r="F86" s="67" t="s">
        <v>120</v>
      </c>
      <c r="G86" s="68" t="n">
        <v>754.92</v>
      </c>
    </row>
    <row r="87" customFormat="false" ht="13" hidden="true" customHeight="false" outlineLevel="1" collapsed="false">
      <c r="F87" s="67" t="s">
        <v>122</v>
      </c>
      <c r="G87" s="68" t="n">
        <v>750</v>
      </c>
    </row>
    <row r="88" customFormat="false" ht="13" hidden="true" customHeight="false" outlineLevel="1" collapsed="false">
      <c r="F88" s="67" t="s">
        <v>124</v>
      </c>
      <c r="G88" s="68" t="n">
        <v>742.5</v>
      </c>
    </row>
    <row r="89" customFormat="false" ht="13" hidden="true" customHeight="false" outlineLevel="1" collapsed="false">
      <c r="F89" s="67" t="s">
        <v>147</v>
      </c>
      <c r="G89" s="68" t="n">
        <v>732.87</v>
      </c>
    </row>
    <row r="90" customFormat="false" ht="13" hidden="true" customHeight="false" outlineLevel="1" collapsed="false">
      <c r="F90" s="67" t="s">
        <v>135</v>
      </c>
      <c r="G90" s="68" t="n">
        <v>717</v>
      </c>
    </row>
    <row r="91" customFormat="false" ht="13" hidden="true" customHeight="false" outlineLevel="1" collapsed="false">
      <c r="F91" s="67" t="s">
        <v>143</v>
      </c>
      <c r="G91" s="68" t="n">
        <v>714.45</v>
      </c>
    </row>
    <row r="92" customFormat="false" ht="13" hidden="true" customHeight="false" outlineLevel="1" collapsed="false">
      <c r="F92" s="67" t="s">
        <v>131</v>
      </c>
      <c r="G92" s="68" t="n">
        <v>678.3</v>
      </c>
    </row>
    <row r="93" customFormat="false" ht="13" hidden="true" customHeight="false" outlineLevel="1" collapsed="false">
      <c r="F93" s="67" t="s">
        <v>133</v>
      </c>
      <c r="G93" s="68" t="n">
        <v>678</v>
      </c>
    </row>
    <row r="94" customFormat="false" ht="13" hidden="true" customHeight="false" outlineLevel="1" collapsed="false">
      <c r="F94" s="67" t="s">
        <v>201</v>
      </c>
      <c r="G94" s="68" t="n">
        <v>645.63</v>
      </c>
    </row>
    <row r="95" customFormat="false" ht="13" hidden="true" customHeight="false" outlineLevel="1" collapsed="false">
      <c r="F95" s="67" t="s">
        <v>137</v>
      </c>
      <c r="G95" s="68" t="n">
        <v>621</v>
      </c>
    </row>
    <row r="96" customFormat="false" ht="13" hidden="true" customHeight="false" outlineLevel="1" collapsed="false">
      <c r="F96" s="67" t="s">
        <v>141</v>
      </c>
      <c r="G96" s="68" t="n">
        <v>617.5</v>
      </c>
    </row>
    <row r="97" customFormat="false" ht="13" hidden="true" customHeight="false" outlineLevel="1" collapsed="false">
      <c r="F97" s="67" t="s">
        <v>145</v>
      </c>
      <c r="G97" s="68" t="n">
        <v>604.5</v>
      </c>
    </row>
    <row r="98" customFormat="false" ht="13" hidden="true" customHeight="false" outlineLevel="1" collapsed="false">
      <c r="F98" s="67" t="s">
        <v>149</v>
      </c>
      <c r="G98" s="68" t="n">
        <v>602.49</v>
      </c>
    </row>
    <row r="99" customFormat="false" ht="13" hidden="true" customHeight="false" outlineLevel="1" collapsed="false">
      <c r="F99" s="67" t="s">
        <v>151</v>
      </c>
      <c r="G99" s="68" t="n">
        <v>600</v>
      </c>
    </row>
    <row r="100" customFormat="false" ht="13" hidden="true" customHeight="false" outlineLevel="1" collapsed="false">
      <c r="F100" s="67" t="s">
        <v>157</v>
      </c>
      <c r="G100" s="68" t="n">
        <v>573.18</v>
      </c>
    </row>
    <row r="101" customFormat="false" ht="13" hidden="true" customHeight="false" outlineLevel="1" collapsed="false">
      <c r="F101" s="67" t="s">
        <v>159</v>
      </c>
      <c r="G101" s="68" t="n">
        <v>567</v>
      </c>
    </row>
    <row r="102" customFormat="false" ht="13" hidden="true" customHeight="false" outlineLevel="1" collapsed="false">
      <c r="F102" s="67" t="s">
        <v>161</v>
      </c>
      <c r="G102" s="68" t="n">
        <v>546.63</v>
      </c>
    </row>
    <row r="103" customFormat="false" ht="13" hidden="true" customHeight="false" outlineLevel="1" collapsed="false">
      <c r="F103" s="67" t="s">
        <v>163</v>
      </c>
      <c r="G103" s="68" t="n">
        <v>537</v>
      </c>
    </row>
    <row r="104" customFormat="false" ht="13" hidden="true" customHeight="false" outlineLevel="1" collapsed="false">
      <c r="F104" s="67" t="s">
        <v>169</v>
      </c>
      <c r="G104" s="68" t="n">
        <v>534</v>
      </c>
    </row>
    <row r="105" customFormat="false" ht="13" hidden="true" customHeight="false" outlineLevel="1" collapsed="false">
      <c r="F105" s="67" t="s">
        <v>171</v>
      </c>
      <c r="G105" s="68" t="n">
        <v>522.69</v>
      </c>
    </row>
    <row r="106" customFormat="false" ht="13" hidden="true" customHeight="false" outlineLevel="1" collapsed="false">
      <c r="F106" s="67" t="s">
        <v>173</v>
      </c>
      <c r="G106" s="68" t="n">
        <v>500.5</v>
      </c>
    </row>
    <row r="107" customFormat="false" ht="13" hidden="true" customHeight="false" outlineLevel="1" collapsed="false">
      <c r="F107" s="67" t="s">
        <v>175</v>
      </c>
      <c r="G107" s="68" t="n">
        <v>492</v>
      </c>
    </row>
    <row r="108" customFormat="false" ht="13" hidden="true" customHeight="false" outlineLevel="1" collapsed="false">
      <c r="F108" s="67" t="s">
        <v>178</v>
      </c>
      <c r="G108" s="68" t="n">
        <v>486.78</v>
      </c>
    </row>
    <row r="109" customFormat="false" ht="13" hidden="true" customHeight="false" outlineLevel="1" collapsed="false">
      <c r="F109" s="67" t="s">
        <v>182</v>
      </c>
      <c r="G109" s="68" t="n">
        <v>468.33</v>
      </c>
    </row>
    <row r="110" customFormat="false" ht="13" hidden="true" customHeight="false" outlineLevel="1" collapsed="false">
      <c r="F110" s="67" t="s">
        <v>184</v>
      </c>
      <c r="G110" s="68" t="n">
        <v>461.5</v>
      </c>
    </row>
    <row r="111" customFormat="false" ht="13" hidden="true" customHeight="false" outlineLevel="1" collapsed="false">
      <c r="F111" s="67" t="s">
        <v>188</v>
      </c>
      <c r="G111" s="68" t="n">
        <v>423</v>
      </c>
    </row>
    <row r="112" customFormat="false" ht="13" hidden="true" customHeight="false" outlineLevel="1" collapsed="false">
      <c r="F112" s="67" t="s">
        <v>190</v>
      </c>
      <c r="G112" s="68" t="n">
        <v>422.5</v>
      </c>
    </row>
    <row r="113" customFormat="false" ht="13" hidden="true" customHeight="false" outlineLevel="1" collapsed="false">
      <c r="F113" s="67" t="s">
        <v>193</v>
      </c>
      <c r="G113" s="68" t="n">
        <v>416</v>
      </c>
    </row>
    <row r="114" customFormat="false" ht="13" hidden="true" customHeight="false" outlineLevel="1" collapsed="false">
      <c r="F114" s="67" t="s">
        <v>197</v>
      </c>
      <c r="G114" s="68" t="n">
        <v>409.59</v>
      </c>
    </row>
    <row r="115" customFormat="false" ht="13" hidden="true" customHeight="false" outlineLevel="1" collapsed="false">
      <c r="F115" s="67" t="s">
        <v>199</v>
      </c>
      <c r="G115" s="68" t="n">
        <v>405</v>
      </c>
    </row>
    <row r="116" customFormat="false" ht="13" hidden="true" customHeight="false" outlineLevel="1" collapsed="false">
      <c r="F116" s="67" t="s">
        <v>203</v>
      </c>
      <c r="G116" s="68" t="n">
        <v>382.5</v>
      </c>
    </row>
    <row r="117" customFormat="false" ht="13" hidden="true" customHeight="false" outlineLevel="1" collapsed="false">
      <c r="F117" s="67" t="s">
        <v>206</v>
      </c>
      <c r="G117" s="68" t="n">
        <v>336</v>
      </c>
    </row>
    <row r="118" customFormat="false" ht="13" hidden="true" customHeight="false" outlineLevel="1" collapsed="false">
      <c r="F118" s="67" t="s">
        <v>208</v>
      </c>
      <c r="G118" s="68" t="n">
        <v>319.2</v>
      </c>
    </row>
    <row r="119" customFormat="false" ht="13" hidden="true" customHeight="false" outlineLevel="1" collapsed="false">
      <c r="F119" s="67" t="s">
        <v>210</v>
      </c>
      <c r="G119" s="68" t="n">
        <v>312</v>
      </c>
    </row>
    <row r="120" customFormat="false" ht="13" hidden="true" customHeight="false" outlineLevel="1" collapsed="false">
      <c r="F120" s="67" t="s">
        <v>219</v>
      </c>
      <c r="G120" s="68" t="n">
        <v>276</v>
      </c>
    </row>
    <row r="121" customFormat="false" ht="13" hidden="true" customHeight="false" outlineLevel="1" collapsed="false">
      <c r="F121" s="67" t="s">
        <v>214</v>
      </c>
      <c r="G121" s="68" t="n">
        <v>261</v>
      </c>
    </row>
    <row r="122" customFormat="false" ht="13" hidden="true" customHeight="false" outlineLevel="1" collapsed="false">
      <c r="F122" s="67" t="s">
        <v>216</v>
      </c>
      <c r="G122" s="68" t="n">
        <v>259.35</v>
      </c>
    </row>
    <row r="123" customFormat="false" ht="13" hidden="true" customHeight="false" outlineLevel="1" collapsed="false">
      <c r="F123" s="67" t="s">
        <v>221</v>
      </c>
      <c r="G123" s="68" t="n">
        <v>231</v>
      </c>
    </row>
    <row r="124" customFormat="false" ht="13" hidden="true" customHeight="false" outlineLevel="1" collapsed="false">
      <c r="F124" s="67" t="s">
        <v>223</v>
      </c>
      <c r="G124" s="68" t="n">
        <v>227.43</v>
      </c>
    </row>
    <row r="125" customFormat="false" ht="13" hidden="true" customHeight="false" outlineLevel="1" collapsed="false">
      <c r="F125" s="67" t="s">
        <v>225</v>
      </c>
      <c r="G125" s="68" t="n">
        <v>219.78</v>
      </c>
    </row>
    <row r="126" customFormat="false" ht="13" hidden="true" customHeight="false" outlineLevel="1" collapsed="false">
      <c r="F126" s="67" t="s">
        <v>229</v>
      </c>
      <c r="G126" s="68" t="n">
        <v>143</v>
      </c>
    </row>
    <row r="127" customFormat="false" ht="13" hidden="true" customHeight="false" outlineLevel="1" collapsed="false">
      <c r="F127" s="67" t="s">
        <v>231</v>
      </c>
      <c r="G127" s="68" t="n">
        <v>139.86</v>
      </c>
    </row>
    <row r="128" customFormat="false" ht="13" hidden="true" customHeight="false" outlineLevel="1" collapsed="false">
      <c r="F128" s="67" t="s">
        <v>234</v>
      </c>
      <c r="G128" s="68" t="n">
        <v>111.72</v>
      </c>
    </row>
    <row r="129" customFormat="false" ht="13" hidden="true" customHeight="false" outlineLevel="1" collapsed="false">
      <c r="F129" s="67" t="s">
        <v>238</v>
      </c>
      <c r="G129" s="68" t="n">
        <v>54</v>
      </c>
    </row>
    <row r="130" customFormat="false" ht="13" hidden="true" customHeight="false" outlineLevel="1" collapsed="false">
      <c r="F130" s="67" t="s">
        <v>240</v>
      </c>
      <c r="G130" s="68" t="n">
        <v>45</v>
      </c>
    </row>
    <row r="131" customFormat="false" ht="13" hidden="true" customHeight="false" outlineLevel="1" collapsed="false">
      <c r="F131" s="67" t="s">
        <v>245</v>
      </c>
      <c r="G131" s="89" t="n">
        <v>31.5</v>
      </c>
    </row>
    <row r="132" customFormat="false" ht="13" hidden="true" customHeight="false" outlineLevel="1" collapsed="false">
      <c r="F132" s="87" t="s">
        <v>278</v>
      </c>
      <c r="G132" s="88" t="n">
        <v>82543.11</v>
      </c>
    </row>
    <row r="133" customFormat="false" ht="18.5" hidden="false" customHeight="false" outlineLevel="0" collapsed="false">
      <c r="B133" s="43" t="s">
        <v>303</v>
      </c>
    </row>
    <row r="134" customFormat="false" ht="13" hidden="true" customHeight="false" outlineLevel="1" collapsed="false">
      <c r="F134" s="44" t="s">
        <v>304</v>
      </c>
    </row>
    <row r="135" customFormat="false" ht="13" hidden="true" customHeight="false" outlineLevel="1" collapsed="false">
      <c r="G135" s="2" t="s">
        <v>27</v>
      </c>
    </row>
    <row r="136" customFormat="false" ht="13" hidden="true" customHeight="false" outlineLevel="1" collapsed="false">
      <c r="F136" s="47" t="s">
        <v>40</v>
      </c>
      <c r="G136" s="47" t="n">
        <f aca="false">GETPIVOTDATA("Revenue",$F$44,"Country","Canada")</f>
        <v>2845.59</v>
      </c>
    </row>
    <row r="137" customFormat="false" ht="13" hidden="true" customHeight="false" outlineLevel="1" collapsed="false">
      <c r="F137" s="47" t="s">
        <v>44</v>
      </c>
      <c r="G137" s="47"/>
    </row>
    <row r="138" customFormat="false" ht="13" hidden="true" customHeight="false" outlineLevel="1" collapsed="false"/>
    <row r="139" customFormat="false" ht="13" hidden="true" customHeight="false" outlineLevel="1" collapsed="false"/>
    <row r="140" customFormat="false" ht="18.5" hidden="false" customHeight="false" outlineLevel="0" collapsed="false">
      <c r="B140" s="43" t="s">
        <v>305</v>
      </c>
    </row>
    <row r="141" customFormat="false" ht="13" hidden="true" customHeight="false" outlineLevel="1" collapsed="false">
      <c r="F141" s="44" t="s">
        <v>306</v>
      </c>
    </row>
    <row r="142" customFormat="false" ht="13" hidden="true" customHeight="false" outlineLevel="1" collapsed="false">
      <c r="G142" s="2" t="s">
        <v>27</v>
      </c>
    </row>
    <row r="143" customFormat="false" ht="13" hidden="true" customHeight="false" outlineLevel="1" collapsed="false">
      <c r="F143" s="47" t="s">
        <v>40</v>
      </c>
      <c r="G143" s="47" t="n">
        <f aca="false">GETPIVOTDATA("Revenue",$F$44,"Country","Canada")</f>
        <v>2845.59</v>
      </c>
    </row>
    <row r="144" customFormat="false" ht="13" hidden="true" customHeight="false" outlineLevel="1" collapsed="false">
      <c r="F144" s="47" t="s">
        <v>42</v>
      </c>
      <c r="G144" s="47"/>
    </row>
    <row r="145" customFormat="false" ht="13" hidden="true" customHeight="false" outlineLevel="1" collapsed="false"/>
    <row r="146" customFormat="false" ht="12.5" hidden="true" customHeight="false" outlineLevel="1" collapsed="false"/>
    <row r="147" customFormat="false" ht="12.5" hidden="true" customHeight="false" outlineLevel="1" collapsed="false"/>
    <row r="148" customFormat="false" ht="12.5" hidden="true" customHeight="false" outlineLevel="1" collapsed="false"/>
    <row r="149" customFormat="false" ht="12.5" hidden="true" customHeight="false" outlineLevel="1" collapsed="false"/>
    <row r="150" customFormat="false" ht="12.5" hidden="true" customHeight="false" outlineLevel="1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P131"/>
  <sheetViews>
    <sheetView showFormulas="false" showGridLines="false" showRowColHeaders="true" showZeros="true" rightToLeft="false" tabSelected="false" showOutlineSymbols="true" defaultGridColor="true" view="normal" topLeftCell="A47" colorId="64" zoomScale="80" zoomScaleNormal="80" zoomScalePageLayoutView="100" workbookViewId="0">
      <selection pane="topLeft" activeCell="P66" activeCellId="0" sqref="P66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31.34"/>
    <col collapsed="false" customWidth="true" hidden="false" outlineLevel="0" max="7" min="7" style="2" width="20.66"/>
    <col collapsed="false" customWidth="true" hidden="false" outlineLevel="0" max="8" min="8" style="2" width="15.33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6" min="11" style="2" width="9.34"/>
    <col collapsed="false" customWidth="true" hidden="false" outlineLevel="0" max="17" min="17" style="2" width="31.34"/>
    <col collapsed="false" customWidth="true" hidden="false" outlineLevel="0" max="18" min="18" style="2" width="20.66"/>
    <col collapsed="false" customWidth="true" hidden="false" outlineLevel="0" max="19" min="19" style="2" width="20.77"/>
    <col collapsed="false" customWidth="true" hidden="false" outlineLevel="0" max="1025" min="20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5 -Adv Filter (ANS)</v>
      </c>
    </row>
    <row r="5" customFormat="false" ht="12.5" hidden="false" customHeight="false" outlineLevel="0" collapsed="false">
      <c r="P5" s="52"/>
    </row>
    <row r="6" customFormat="false" ht="13" hidden="false" customHeight="false" outlineLevel="0" collapsed="false"/>
    <row r="7" customFormat="false" ht="18.5" hidden="false" customHeight="false" outlineLevel="0" collapsed="false">
      <c r="B7" s="43" t="s">
        <v>297</v>
      </c>
    </row>
    <row r="8" customFormat="false" ht="13" hidden="false" customHeight="false" outlineLevel="1" collapsed="false">
      <c r="F8" s="44" t="s">
        <v>298</v>
      </c>
    </row>
    <row r="9" customFormat="false" ht="13" hidden="false" customHeight="false" outlineLevel="1" collapsed="false">
      <c r="F9" s="61" t="s">
        <v>21</v>
      </c>
      <c r="G9" s="62" t="s">
        <v>271</v>
      </c>
    </row>
    <row r="10" customFormat="false" ht="13" hidden="false" customHeight="false" outlineLevel="1" collapsed="false">
      <c r="F10" s="65" t="s">
        <v>54</v>
      </c>
      <c r="G10" s="72" t="n">
        <v>1765</v>
      </c>
    </row>
    <row r="11" customFormat="false" ht="13" hidden="false" customHeight="false" outlineLevel="1" collapsed="false">
      <c r="F11" s="67" t="s">
        <v>31</v>
      </c>
      <c r="G11" s="73" t="n">
        <v>1444</v>
      </c>
    </row>
    <row r="12" customFormat="false" ht="13" hidden="false" customHeight="false" outlineLevel="1" collapsed="false">
      <c r="F12" s="67" t="s">
        <v>102</v>
      </c>
      <c r="G12" s="73" t="n">
        <v>1357</v>
      </c>
    </row>
    <row r="13" customFormat="false" ht="13" hidden="false" customHeight="false" outlineLevel="1" collapsed="false">
      <c r="F13" s="67" t="s">
        <v>116</v>
      </c>
      <c r="G13" s="94" t="n">
        <v>1246</v>
      </c>
    </row>
    <row r="14" customFormat="false" ht="13" hidden="false" customHeight="false" outlineLevel="1" collapsed="false">
      <c r="F14" s="87" t="s">
        <v>278</v>
      </c>
      <c r="G14" s="97" t="n">
        <v>5812</v>
      </c>
    </row>
    <row r="15" customFormat="false" ht="13" hidden="false" customHeight="false" outlineLevel="1" collapsed="false">
      <c r="F15" s="55"/>
      <c r="G15" s="106"/>
    </row>
    <row r="16" customFormat="false" ht="13" hidden="false" customHeight="false" outlineLevel="1" collapsed="false"/>
    <row r="17" customFormat="false" ht="13" hidden="false" customHeight="false" outlineLevel="1" collapsed="false"/>
    <row r="18" customFormat="false" ht="13" hidden="false" customHeight="false" outlineLevel="1" collapsed="false"/>
    <row r="19" customFormat="false" ht="13" hidden="false" customHeight="false" outlineLevel="1" collapsed="false"/>
    <row r="20" customFormat="false" ht="13" hidden="false" customHeight="false" outlineLevel="1" collapsed="false"/>
    <row r="21" customFormat="false" ht="13" hidden="false" customHeight="false" outlineLevel="1" collapsed="false"/>
    <row r="22" customFormat="false" ht="13" hidden="false" customHeight="false" outlineLevel="1" collapsed="false"/>
    <row r="23" customFormat="false" ht="13" hidden="false" customHeight="false" outlineLevel="1" collapsed="false"/>
    <row r="24" customFormat="false" ht="18.5" hidden="false" customHeight="false" outlineLevel="0" collapsed="false">
      <c r="B24" s="43" t="s">
        <v>307</v>
      </c>
    </row>
    <row r="25" customFormat="false" ht="13" hidden="false" customHeight="false" outlineLevel="1" collapsed="false">
      <c r="F25" s="102" t="s">
        <v>300</v>
      </c>
    </row>
    <row r="26" customFormat="false" ht="13" hidden="false" customHeight="false" outlineLevel="1" collapsed="false">
      <c r="F26" s="107"/>
    </row>
    <row r="27" customFormat="false" ht="13" hidden="false" customHeight="false" outlineLevel="1" collapsed="false">
      <c r="F27" s="108"/>
    </row>
    <row r="28" customFormat="false" ht="13" hidden="false" customHeight="false" outlineLevel="1" collapsed="false"/>
    <row r="29" customFormat="false" ht="13" hidden="false" customHeight="false" outlineLevel="1" collapsed="false">
      <c r="F29" s="61" t="s">
        <v>21</v>
      </c>
      <c r="G29" s="62" t="s">
        <v>271</v>
      </c>
    </row>
    <row r="30" customFormat="false" ht="13" hidden="false" customHeight="false" outlineLevel="1" collapsed="false">
      <c r="F30" s="65" t="s">
        <v>54</v>
      </c>
      <c r="G30" s="72" t="n">
        <v>1765</v>
      </c>
    </row>
    <row r="31" customFormat="false" ht="13" hidden="false" customHeight="false" outlineLevel="1" collapsed="false">
      <c r="F31" s="67" t="s">
        <v>31</v>
      </c>
      <c r="G31" s="73" t="n">
        <v>1444</v>
      </c>
    </row>
    <row r="32" customFormat="false" ht="13" hidden="false" customHeight="false" outlineLevel="1" collapsed="false">
      <c r="F32" s="67" t="s">
        <v>102</v>
      </c>
      <c r="G32" s="73" t="n">
        <v>1357</v>
      </c>
    </row>
    <row r="33" customFormat="false" ht="13" hidden="false" customHeight="false" outlineLevel="1" collapsed="false">
      <c r="F33" s="67" t="s">
        <v>116</v>
      </c>
      <c r="G33" s="73" t="n">
        <v>1246</v>
      </c>
    </row>
    <row r="34" customFormat="false" ht="13" hidden="false" customHeight="false" outlineLevel="1" collapsed="false">
      <c r="F34" s="67" t="s">
        <v>74</v>
      </c>
      <c r="G34" s="73" t="n">
        <v>1011</v>
      </c>
      <c r="H34" s="103"/>
      <c r="I34" s="103"/>
      <c r="J34" s="103"/>
      <c r="K34" s="103"/>
      <c r="L34" s="103"/>
      <c r="M34" s="103"/>
      <c r="N34" s="103"/>
      <c r="O34" s="103"/>
    </row>
    <row r="35" customFormat="false" ht="13" hidden="false" customHeight="false" outlineLevel="1" collapsed="false">
      <c r="F35" s="67" t="s">
        <v>165</v>
      </c>
      <c r="G35" s="73" t="n">
        <v>1008</v>
      </c>
      <c r="H35" s="104"/>
      <c r="I35" s="104"/>
      <c r="J35" s="104"/>
      <c r="K35" s="104"/>
      <c r="L35" s="104"/>
      <c r="M35" s="104"/>
      <c r="N35" s="104"/>
      <c r="O35" s="104"/>
    </row>
    <row r="36" customFormat="false" ht="13" hidden="false" customHeight="false" outlineLevel="1" collapsed="false">
      <c r="F36" s="67" t="s">
        <v>50</v>
      </c>
      <c r="G36" s="73" t="n">
        <v>932</v>
      </c>
    </row>
    <row r="37" customFormat="false" ht="13" hidden="false" customHeight="false" outlineLevel="1" collapsed="false">
      <c r="F37" s="67" t="s">
        <v>92</v>
      </c>
      <c r="G37" s="73" t="n">
        <v>784</v>
      </c>
    </row>
    <row r="38" customFormat="false" ht="13" hidden="false" customHeight="false" outlineLevel="1" collapsed="false">
      <c r="F38" s="67" t="s">
        <v>88</v>
      </c>
      <c r="G38" s="73" t="n">
        <v>746</v>
      </c>
    </row>
    <row r="39" customFormat="false" ht="13" hidden="false" customHeight="false" outlineLevel="1" collapsed="false">
      <c r="F39" s="67" t="s">
        <v>126</v>
      </c>
      <c r="G39" s="73" t="n">
        <v>676</v>
      </c>
    </row>
    <row r="40" customFormat="false" ht="18.5" hidden="false" customHeight="false" outlineLevel="0" collapsed="false">
      <c r="B40" s="43" t="s">
        <v>301</v>
      </c>
      <c r="F40" s="67" t="s">
        <v>129</v>
      </c>
      <c r="G40" s="94" t="n">
        <v>407</v>
      </c>
    </row>
    <row r="41" customFormat="false" ht="13" hidden="false" customHeight="false" outlineLevel="1" collapsed="false">
      <c r="F41" s="87" t="s">
        <v>278</v>
      </c>
      <c r="G41" s="97" t="n">
        <v>11376</v>
      </c>
    </row>
    <row r="42" customFormat="false" ht="13" hidden="false" customHeight="false" outlineLevel="1" collapsed="false">
      <c r="F42" s="61" t="s">
        <v>19</v>
      </c>
      <c r="G42" s="62" t="s">
        <v>270</v>
      </c>
    </row>
    <row r="43" customFormat="false" ht="13" hidden="false" customHeight="false" outlineLevel="1" collapsed="false">
      <c r="F43" s="65" t="s">
        <v>29</v>
      </c>
      <c r="G43" s="66" t="n">
        <v>3016</v>
      </c>
    </row>
    <row r="44" customFormat="false" ht="13" hidden="false" customHeight="false" outlineLevel="1" collapsed="false">
      <c r="F44" s="67" t="s">
        <v>34</v>
      </c>
      <c r="G44" s="68" t="n">
        <v>2856.5</v>
      </c>
    </row>
    <row r="45" customFormat="false" ht="13" hidden="false" customHeight="false" outlineLevel="1" collapsed="false">
      <c r="F45" s="67" t="s">
        <v>40</v>
      </c>
      <c r="G45" s="68" t="n">
        <v>2845.59</v>
      </c>
    </row>
    <row r="46" customFormat="false" ht="13" hidden="false" customHeight="false" outlineLevel="1" collapsed="false">
      <c r="F46" s="67" t="s">
        <v>48</v>
      </c>
      <c r="G46" s="68" t="n">
        <v>2628.27</v>
      </c>
    </row>
    <row r="47" customFormat="false" ht="13" hidden="false" customHeight="false" outlineLevel="1" collapsed="false">
      <c r="F47" s="67" t="s">
        <v>37</v>
      </c>
      <c r="G47" s="68" t="n">
        <v>2552</v>
      </c>
    </row>
    <row r="48" customFormat="false" ht="13" hidden="false" customHeight="false" outlineLevel="1" collapsed="false">
      <c r="F48" s="67" t="s">
        <v>42</v>
      </c>
      <c r="G48" s="68" t="n">
        <v>2407</v>
      </c>
    </row>
    <row r="49" customFormat="false" ht="13" hidden="false" customHeight="false" outlineLevel="1" collapsed="false">
      <c r="F49" s="67" t="s">
        <v>44</v>
      </c>
      <c r="G49" s="68" t="n">
        <v>2276.5</v>
      </c>
    </row>
    <row r="50" customFormat="false" ht="13" hidden="false" customHeight="false" outlineLevel="1" collapsed="false">
      <c r="F50" s="67" t="s">
        <v>98</v>
      </c>
      <c r="G50" s="68" t="n">
        <v>2106.05</v>
      </c>
    </row>
    <row r="51" customFormat="false" ht="13" hidden="false" customHeight="false" outlineLevel="1" collapsed="false">
      <c r="F51" s="67" t="s">
        <v>46</v>
      </c>
      <c r="G51" s="68" t="n">
        <v>2059</v>
      </c>
    </row>
    <row r="52" customFormat="false" ht="13" hidden="false" customHeight="false" outlineLevel="1" collapsed="false">
      <c r="F52" s="67" t="s">
        <v>52</v>
      </c>
      <c r="G52" s="68" t="n">
        <v>1845</v>
      </c>
    </row>
    <row r="53" customFormat="false" ht="13" hidden="false" customHeight="false" outlineLevel="1" collapsed="false">
      <c r="F53" s="67" t="s">
        <v>56</v>
      </c>
      <c r="G53" s="68" t="n">
        <v>1791</v>
      </c>
    </row>
    <row r="54" customFormat="false" ht="13" hidden="false" customHeight="false" outlineLevel="1" collapsed="false">
      <c r="F54" s="67" t="s">
        <v>60</v>
      </c>
      <c r="G54" s="68" t="n">
        <v>1692</v>
      </c>
    </row>
    <row r="55" customFormat="false" ht="18.5" hidden="false" customHeight="false" outlineLevel="0" collapsed="false">
      <c r="B55" s="43" t="s">
        <v>303</v>
      </c>
      <c r="F55" s="67" t="s">
        <v>58</v>
      </c>
      <c r="G55" s="68" t="n">
        <v>1692</v>
      </c>
    </row>
    <row r="56" customFormat="false" ht="13" hidden="false" customHeight="false" outlineLevel="1" collapsed="false">
      <c r="F56" s="67" t="s">
        <v>62</v>
      </c>
      <c r="G56" s="68" t="n">
        <v>1668.33</v>
      </c>
    </row>
    <row r="57" customFormat="false" ht="13" hidden="false" customHeight="false" outlineLevel="1" collapsed="false">
      <c r="F57" s="67" t="s">
        <v>64</v>
      </c>
      <c r="G57" s="68" t="n">
        <v>1628.37</v>
      </c>
    </row>
    <row r="58" customFormat="false" ht="13" hidden="false" customHeight="false" outlineLevel="1" collapsed="false">
      <c r="F58" s="67" t="s">
        <v>66</v>
      </c>
      <c r="G58" s="68" t="n">
        <v>1530</v>
      </c>
    </row>
    <row r="59" customFormat="false" ht="13" hidden="false" customHeight="false" outlineLevel="1" collapsed="false">
      <c r="F59" s="67" t="s">
        <v>68</v>
      </c>
      <c r="G59" s="68" t="n">
        <v>1479</v>
      </c>
    </row>
    <row r="60" customFormat="false" ht="13" hidden="false" customHeight="false" outlineLevel="1" collapsed="false">
      <c r="F60" s="67" t="s">
        <v>70</v>
      </c>
      <c r="G60" s="68" t="n">
        <v>1440</v>
      </c>
    </row>
    <row r="61" customFormat="false" ht="13" hidden="false" customHeight="false" outlineLevel="1" collapsed="false">
      <c r="F61" s="67" t="s">
        <v>72</v>
      </c>
      <c r="G61" s="68" t="n">
        <v>1425.96</v>
      </c>
    </row>
    <row r="62" customFormat="false" ht="18.5" hidden="false" customHeight="false" outlineLevel="0" collapsed="false">
      <c r="B62" s="43" t="s">
        <v>305</v>
      </c>
      <c r="F62" s="67" t="s">
        <v>76</v>
      </c>
      <c r="G62" s="68" t="n">
        <v>1408.59</v>
      </c>
    </row>
    <row r="63" customFormat="false" ht="13" hidden="false" customHeight="false" outlineLevel="1" collapsed="false">
      <c r="F63" s="67" t="s">
        <v>106</v>
      </c>
      <c r="G63" s="68" t="n">
        <v>1359</v>
      </c>
    </row>
    <row r="64" customFormat="false" ht="13" hidden="false" customHeight="false" outlineLevel="1" collapsed="false">
      <c r="F64" s="67" t="s">
        <v>78</v>
      </c>
      <c r="G64" s="68" t="n">
        <v>1323</v>
      </c>
    </row>
    <row r="65" customFormat="false" ht="13" hidden="false" customHeight="false" outlineLevel="1" collapsed="false">
      <c r="F65" s="67" t="s">
        <v>90</v>
      </c>
      <c r="G65" s="68" t="n">
        <v>1293</v>
      </c>
    </row>
    <row r="66" customFormat="false" ht="13" hidden="false" customHeight="false" outlineLevel="1" collapsed="false">
      <c r="F66" s="67" t="s">
        <v>80</v>
      </c>
      <c r="G66" s="68" t="n">
        <v>1286.16</v>
      </c>
    </row>
    <row r="67" customFormat="false" ht="13" hidden="false" customHeight="false" outlineLevel="1" collapsed="false">
      <c r="F67" s="67" t="s">
        <v>82</v>
      </c>
      <c r="G67" s="68" t="n">
        <v>1269</v>
      </c>
    </row>
    <row r="68" customFormat="false" ht="13" hidden="false" customHeight="false" outlineLevel="0" collapsed="false">
      <c r="F68" s="67" t="s">
        <v>84</v>
      </c>
      <c r="G68" s="68" t="n">
        <v>1215</v>
      </c>
    </row>
    <row r="69" customFormat="false" ht="13" hidden="false" customHeight="false" outlineLevel="0" collapsed="false">
      <c r="F69" s="67" t="s">
        <v>86</v>
      </c>
      <c r="G69" s="68" t="n">
        <v>1144</v>
      </c>
    </row>
    <row r="70" customFormat="false" ht="13" hidden="false" customHeight="false" outlineLevel="0" collapsed="false">
      <c r="F70" s="67" t="s">
        <v>94</v>
      </c>
      <c r="G70" s="68" t="n">
        <v>1058.5</v>
      </c>
    </row>
    <row r="71" customFormat="false" ht="13" hidden="false" customHeight="false" outlineLevel="0" collapsed="false">
      <c r="F71" s="67" t="s">
        <v>96</v>
      </c>
      <c r="G71" s="68" t="n">
        <v>1044</v>
      </c>
    </row>
    <row r="72" customFormat="false" ht="13" hidden="false" customHeight="false" outlineLevel="0" collapsed="false">
      <c r="F72" s="67" t="s">
        <v>139</v>
      </c>
      <c r="G72" s="68" t="n">
        <v>1037.08</v>
      </c>
    </row>
    <row r="73" customFormat="false" ht="13" hidden="false" customHeight="false" outlineLevel="0" collapsed="false">
      <c r="F73" s="67" t="s">
        <v>153</v>
      </c>
      <c r="G73" s="68" t="n">
        <v>1009.11</v>
      </c>
    </row>
    <row r="74" customFormat="false" ht="13" hidden="false" customHeight="false" outlineLevel="0" collapsed="false">
      <c r="F74" s="67" t="s">
        <v>104</v>
      </c>
      <c r="G74" s="68" t="n">
        <v>973.5</v>
      </c>
    </row>
    <row r="75" customFormat="false" ht="13" hidden="false" customHeight="false" outlineLevel="0" collapsed="false">
      <c r="F75" s="67" t="s">
        <v>100</v>
      </c>
      <c r="G75" s="68" t="n">
        <v>913.5</v>
      </c>
    </row>
    <row r="76" customFormat="false" ht="13" hidden="false" customHeight="false" outlineLevel="0" collapsed="false">
      <c r="F76" s="67" t="s">
        <v>155</v>
      </c>
      <c r="G76" s="68" t="n">
        <v>907.16</v>
      </c>
    </row>
    <row r="77" customFormat="false" ht="13" hidden="false" customHeight="false" outlineLevel="0" collapsed="false">
      <c r="F77" s="67" t="s">
        <v>108</v>
      </c>
      <c r="G77" s="68" t="n">
        <v>873.75</v>
      </c>
    </row>
    <row r="78" customFormat="false" ht="13" hidden="false" customHeight="false" outlineLevel="0" collapsed="false">
      <c r="F78" s="67" t="s">
        <v>110</v>
      </c>
      <c r="G78" s="68" t="n">
        <v>850.5</v>
      </c>
    </row>
    <row r="79" customFormat="false" ht="13" hidden="false" customHeight="false" outlineLevel="0" collapsed="false">
      <c r="F79" s="67" t="s">
        <v>167</v>
      </c>
      <c r="G79" s="68" t="n">
        <v>836.5</v>
      </c>
    </row>
    <row r="80" customFormat="false" ht="13" hidden="false" customHeight="false" outlineLevel="0" collapsed="false">
      <c r="F80" s="67" t="s">
        <v>112</v>
      </c>
      <c r="G80" s="68" t="n">
        <v>819</v>
      </c>
    </row>
    <row r="81" customFormat="false" ht="13" hidden="false" customHeight="false" outlineLevel="0" collapsed="false">
      <c r="F81" s="67" t="s">
        <v>186</v>
      </c>
      <c r="G81" s="68" t="n">
        <v>807</v>
      </c>
    </row>
    <row r="82" customFormat="false" ht="13" hidden="false" customHeight="false" outlineLevel="0" collapsed="false">
      <c r="F82" s="67" t="s">
        <v>114</v>
      </c>
      <c r="G82" s="68" t="n">
        <v>801.99</v>
      </c>
    </row>
    <row r="83" customFormat="false" ht="13" hidden="false" customHeight="false" outlineLevel="0" collapsed="false">
      <c r="F83" s="67" t="s">
        <v>118</v>
      </c>
      <c r="G83" s="68" t="n">
        <v>801</v>
      </c>
    </row>
    <row r="84" customFormat="false" ht="13" hidden="false" customHeight="false" outlineLevel="0" collapsed="false">
      <c r="F84" s="67" t="s">
        <v>120</v>
      </c>
      <c r="G84" s="68" t="n">
        <v>754.92</v>
      </c>
    </row>
    <row r="85" customFormat="false" ht="13" hidden="false" customHeight="false" outlineLevel="0" collapsed="false">
      <c r="F85" s="67" t="s">
        <v>122</v>
      </c>
      <c r="G85" s="68" t="n">
        <v>750</v>
      </c>
    </row>
    <row r="86" customFormat="false" ht="13" hidden="false" customHeight="false" outlineLevel="0" collapsed="false">
      <c r="F86" s="67" t="s">
        <v>124</v>
      </c>
      <c r="G86" s="68" t="n">
        <v>742.5</v>
      </c>
    </row>
    <row r="87" customFormat="false" ht="13" hidden="false" customHeight="false" outlineLevel="0" collapsed="false">
      <c r="F87" s="67" t="s">
        <v>147</v>
      </c>
      <c r="G87" s="68" t="n">
        <v>732.87</v>
      </c>
    </row>
    <row r="88" customFormat="false" ht="13" hidden="false" customHeight="false" outlineLevel="0" collapsed="false">
      <c r="F88" s="67" t="s">
        <v>135</v>
      </c>
      <c r="G88" s="68" t="n">
        <v>717</v>
      </c>
    </row>
    <row r="89" customFormat="false" ht="13" hidden="false" customHeight="false" outlineLevel="0" collapsed="false">
      <c r="F89" s="67" t="s">
        <v>143</v>
      </c>
      <c r="G89" s="68" t="n">
        <v>714.45</v>
      </c>
    </row>
    <row r="90" customFormat="false" ht="13" hidden="false" customHeight="false" outlineLevel="0" collapsed="false">
      <c r="F90" s="67" t="s">
        <v>131</v>
      </c>
      <c r="G90" s="68" t="n">
        <v>678.3</v>
      </c>
    </row>
    <row r="91" customFormat="false" ht="13" hidden="false" customHeight="false" outlineLevel="0" collapsed="false">
      <c r="F91" s="67" t="s">
        <v>133</v>
      </c>
      <c r="G91" s="68" t="n">
        <v>678</v>
      </c>
    </row>
    <row r="92" customFormat="false" ht="13" hidden="false" customHeight="false" outlineLevel="0" collapsed="false">
      <c r="F92" s="67" t="s">
        <v>201</v>
      </c>
      <c r="G92" s="68" t="n">
        <v>645.63</v>
      </c>
    </row>
    <row r="93" customFormat="false" ht="13" hidden="false" customHeight="false" outlineLevel="0" collapsed="false">
      <c r="F93" s="67" t="s">
        <v>137</v>
      </c>
      <c r="G93" s="68" t="n">
        <v>621</v>
      </c>
    </row>
    <row r="94" customFormat="false" ht="13" hidden="false" customHeight="false" outlineLevel="0" collapsed="false">
      <c r="F94" s="67" t="s">
        <v>141</v>
      </c>
      <c r="G94" s="68" t="n">
        <v>617.5</v>
      </c>
    </row>
    <row r="95" customFormat="false" ht="13" hidden="false" customHeight="false" outlineLevel="0" collapsed="false">
      <c r="F95" s="67" t="s">
        <v>145</v>
      </c>
      <c r="G95" s="68" t="n">
        <v>604.5</v>
      </c>
    </row>
    <row r="96" customFormat="false" ht="13" hidden="false" customHeight="false" outlineLevel="0" collapsed="false">
      <c r="F96" s="67" t="s">
        <v>149</v>
      </c>
      <c r="G96" s="68" t="n">
        <v>602.49</v>
      </c>
    </row>
    <row r="97" customFormat="false" ht="13" hidden="false" customHeight="false" outlineLevel="0" collapsed="false">
      <c r="F97" s="67" t="s">
        <v>151</v>
      </c>
      <c r="G97" s="68" t="n">
        <v>600</v>
      </c>
    </row>
    <row r="98" customFormat="false" ht="13" hidden="false" customHeight="false" outlineLevel="0" collapsed="false">
      <c r="F98" s="67" t="s">
        <v>157</v>
      </c>
      <c r="G98" s="68" t="n">
        <v>573.18</v>
      </c>
    </row>
    <row r="99" customFormat="false" ht="13" hidden="false" customHeight="false" outlineLevel="0" collapsed="false">
      <c r="F99" s="67" t="s">
        <v>159</v>
      </c>
      <c r="G99" s="68" t="n">
        <v>567</v>
      </c>
    </row>
    <row r="100" customFormat="false" ht="13" hidden="false" customHeight="false" outlineLevel="0" collapsed="false">
      <c r="F100" s="67" t="s">
        <v>161</v>
      </c>
      <c r="G100" s="68" t="n">
        <v>546.63</v>
      </c>
    </row>
    <row r="101" customFormat="false" ht="13" hidden="false" customHeight="false" outlineLevel="0" collapsed="false">
      <c r="F101" s="67" t="s">
        <v>163</v>
      </c>
      <c r="G101" s="68" t="n">
        <v>537</v>
      </c>
    </row>
    <row r="102" customFormat="false" ht="13" hidden="false" customHeight="false" outlineLevel="0" collapsed="false">
      <c r="F102" s="67" t="s">
        <v>169</v>
      </c>
      <c r="G102" s="68" t="n">
        <v>534</v>
      </c>
    </row>
    <row r="103" customFormat="false" ht="13" hidden="false" customHeight="false" outlineLevel="0" collapsed="false">
      <c r="F103" s="67" t="s">
        <v>171</v>
      </c>
      <c r="G103" s="68" t="n">
        <v>522.69</v>
      </c>
    </row>
    <row r="104" customFormat="false" ht="13" hidden="false" customHeight="false" outlineLevel="0" collapsed="false">
      <c r="F104" s="67" t="s">
        <v>173</v>
      </c>
      <c r="G104" s="68" t="n">
        <v>500.5</v>
      </c>
    </row>
    <row r="105" customFormat="false" ht="13" hidden="false" customHeight="false" outlineLevel="0" collapsed="false">
      <c r="F105" s="67" t="s">
        <v>175</v>
      </c>
      <c r="G105" s="68" t="n">
        <v>492</v>
      </c>
    </row>
    <row r="106" customFormat="false" ht="13" hidden="false" customHeight="false" outlineLevel="0" collapsed="false">
      <c r="F106" s="67" t="s">
        <v>178</v>
      </c>
      <c r="G106" s="68" t="n">
        <v>486.78</v>
      </c>
    </row>
    <row r="107" customFormat="false" ht="13" hidden="false" customHeight="false" outlineLevel="0" collapsed="false">
      <c r="F107" s="67" t="s">
        <v>182</v>
      </c>
      <c r="G107" s="68" t="n">
        <v>468.33</v>
      </c>
    </row>
    <row r="108" customFormat="false" ht="13" hidden="false" customHeight="false" outlineLevel="0" collapsed="false">
      <c r="F108" s="67" t="s">
        <v>184</v>
      </c>
      <c r="G108" s="68" t="n">
        <v>461.5</v>
      </c>
    </row>
    <row r="109" customFormat="false" ht="13" hidden="false" customHeight="false" outlineLevel="0" collapsed="false">
      <c r="F109" s="67" t="s">
        <v>188</v>
      </c>
      <c r="G109" s="68" t="n">
        <v>423</v>
      </c>
    </row>
    <row r="110" customFormat="false" ht="13" hidden="false" customHeight="false" outlineLevel="0" collapsed="false">
      <c r="F110" s="67" t="s">
        <v>190</v>
      </c>
      <c r="G110" s="68" t="n">
        <v>422.5</v>
      </c>
    </row>
    <row r="111" customFormat="false" ht="13" hidden="false" customHeight="false" outlineLevel="0" collapsed="false">
      <c r="F111" s="67" t="s">
        <v>193</v>
      </c>
      <c r="G111" s="68" t="n">
        <v>416</v>
      </c>
    </row>
    <row r="112" customFormat="false" ht="13" hidden="false" customHeight="false" outlineLevel="0" collapsed="false">
      <c r="F112" s="67" t="s">
        <v>197</v>
      </c>
      <c r="G112" s="68" t="n">
        <v>409.59</v>
      </c>
    </row>
    <row r="113" customFormat="false" ht="13" hidden="false" customHeight="false" outlineLevel="0" collapsed="false">
      <c r="F113" s="67" t="s">
        <v>199</v>
      </c>
      <c r="G113" s="68" t="n">
        <v>405</v>
      </c>
    </row>
    <row r="114" customFormat="false" ht="13" hidden="false" customHeight="false" outlineLevel="0" collapsed="false">
      <c r="F114" s="67" t="s">
        <v>203</v>
      </c>
      <c r="G114" s="68" t="n">
        <v>382.5</v>
      </c>
    </row>
    <row r="115" customFormat="false" ht="13" hidden="false" customHeight="false" outlineLevel="0" collapsed="false">
      <c r="F115" s="67" t="s">
        <v>206</v>
      </c>
      <c r="G115" s="68" t="n">
        <v>336</v>
      </c>
    </row>
    <row r="116" customFormat="false" ht="13" hidden="false" customHeight="false" outlineLevel="0" collapsed="false">
      <c r="F116" s="67" t="s">
        <v>208</v>
      </c>
      <c r="G116" s="68" t="n">
        <v>319.2</v>
      </c>
    </row>
    <row r="117" customFormat="false" ht="13" hidden="false" customHeight="false" outlineLevel="0" collapsed="false">
      <c r="F117" s="67" t="s">
        <v>210</v>
      </c>
      <c r="G117" s="68" t="n">
        <v>312</v>
      </c>
    </row>
    <row r="118" customFormat="false" ht="13" hidden="false" customHeight="false" outlineLevel="0" collapsed="false">
      <c r="F118" s="67" t="s">
        <v>219</v>
      </c>
      <c r="G118" s="68" t="n">
        <v>276</v>
      </c>
    </row>
    <row r="119" customFormat="false" ht="13" hidden="false" customHeight="false" outlineLevel="0" collapsed="false">
      <c r="F119" s="67" t="s">
        <v>214</v>
      </c>
      <c r="G119" s="68" t="n">
        <v>261</v>
      </c>
    </row>
    <row r="120" customFormat="false" ht="13" hidden="false" customHeight="false" outlineLevel="0" collapsed="false">
      <c r="F120" s="67" t="s">
        <v>216</v>
      </c>
      <c r="G120" s="68" t="n">
        <v>259.35</v>
      </c>
    </row>
    <row r="121" customFormat="false" ht="13" hidden="false" customHeight="false" outlineLevel="0" collapsed="false">
      <c r="F121" s="67" t="s">
        <v>221</v>
      </c>
      <c r="G121" s="68" t="n">
        <v>231</v>
      </c>
    </row>
    <row r="122" customFormat="false" ht="13" hidden="false" customHeight="false" outlineLevel="0" collapsed="false">
      <c r="F122" s="67" t="s">
        <v>223</v>
      </c>
      <c r="G122" s="68" t="n">
        <v>227.43</v>
      </c>
    </row>
    <row r="123" customFormat="false" ht="13" hidden="false" customHeight="false" outlineLevel="0" collapsed="false">
      <c r="F123" s="67" t="s">
        <v>225</v>
      </c>
      <c r="G123" s="68" t="n">
        <v>219.78</v>
      </c>
    </row>
    <row r="124" customFormat="false" ht="13" hidden="false" customHeight="false" outlineLevel="0" collapsed="false">
      <c r="F124" s="67" t="s">
        <v>229</v>
      </c>
      <c r="G124" s="68" t="n">
        <v>143</v>
      </c>
    </row>
    <row r="125" customFormat="false" ht="13" hidden="false" customHeight="false" outlineLevel="0" collapsed="false">
      <c r="F125" s="67" t="s">
        <v>231</v>
      </c>
      <c r="G125" s="68" t="n">
        <v>139.86</v>
      </c>
    </row>
    <row r="126" customFormat="false" ht="13" hidden="false" customHeight="false" outlineLevel="0" collapsed="false">
      <c r="F126" s="67" t="s">
        <v>234</v>
      </c>
      <c r="G126" s="68" t="n">
        <v>111.72</v>
      </c>
    </row>
    <row r="127" customFormat="false" ht="13" hidden="false" customHeight="false" outlineLevel="0" collapsed="false">
      <c r="F127" s="67" t="s">
        <v>238</v>
      </c>
      <c r="G127" s="68" t="n">
        <v>54</v>
      </c>
    </row>
    <row r="128" customFormat="false" ht="13" hidden="false" customHeight="false" outlineLevel="0" collapsed="false">
      <c r="F128" s="67" t="s">
        <v>240</v>
      </c>
      <c r="G128" s="68" t="n">
        <v>45</v>
      </c>
    </row>
    <row r="129" customFormat="false" ht="13" hidden="false" customHeight="false" outlineLevel="0" collapsed="false">
      <c r="F129" s="67" t="s">
        <v>245</v>
      </c>
      <c r="G129" s="89" t="n">
        <v>31.5</v>
      </c>
    </row>
    <row r="130" customFormat="false" ht="13" hidden="false" customHeight="false" outlineLevel="0" collapsed="false">
      <c r="F130" s="87" t="s">
        <v>278</v>
      </c>
      <c r="G130" s="88" t="n">
        <v>82543.11</v>
      </c>
    </row>
    <row r="131" customFormat="false" ht="13" hidden="false" customHeight="false" outlineLevel="0" collapsed="false"/>
    <row r="132" customFormat="false" ht="13" hidden="false" customHeight="false" outlineLevel="0" collapsed="false"/>
    <row r="133" customFormat="false" ht="13" hidden="false" customHeight="false" outlineLevel="0" collapsed="false"/>
    <row r="134" customFormat="false" ht="13" hidden="false" customHeight="false" outlineLevel="0" collapsed="false"/>
    <row r="135" customFormat="false" ht="13" hidden="false" customHeight="false" outlineLevel="0" collapsed="false"/>
    <row r="136" customFormat="false" ht="13" hidden="false" customHeight="false" outlineLevel="0" collapsed="false"/>
    <row r="137" customFormat="false" ht="13" hidden="false" customHeight="false" outlineLevel="0" collapsed="false"/>
    <row r="138" customFormat="false" ht="13" hidden="false" customHeight="false" outlineLevel="0" collapsed="false"/>
    <row r="139" customFormat="false" ht="13" hidden="false" customHeight="false" outlineLevel="0" collapsed="false"/>
    <row r="140" customFormat="false" ht="13" hidden="false" customHeight="false" outlineLevel="0" collapsed="false"/>
    <row r="141" customFormat="false" ht="13" hidden="false" customHeight="false" outlineLevel="0" collapsed="false"/>
    <row r="142" customFormat="false" ht="13" hidden="false" customHeight="false" outlineLevel="0" collapsed="false"/>
    <row r="143" customFormat="false" ht="13" hidden="false" customHeight="false" outlineLevel="0" collapsed="false"/>
    <row r="144" customFormat="false" ht="13" hidden="false" customHeight="false" outlineLevel="0" collapsed="false"/>
    <row r="145" customFormat="false" ht="13" hidden="false" customHeight="false" outlineLevel="0" collapsed="false"/>
    <row r="146" customFormat="false" ht="13" hidden="false" customHeight="false" outlineLevel="0" collapsed="false"/>
    <row r="147" customFormat="false" ht="13" hidden="false" customHeight="false" outlineLevel="0" collapsed="false"/>
    <row r="148" customFormat="false" ht="13" hidden="false" customHeight="false" outlineLevel="0" collapsed="false"/>
    <row r="149" customFormat="false" ht="13" hidden="false" customHeight="false" outlineLevel="0" collapsed="false"/>
    <row r="150" customFormat="false" ht="13" hidden="false" customHeight="false" outlineLevel="0" collapsed="false"/>
    <row r="151" customFormat="false" ht="13" hidden="false" customHeight="false" outlineLevel="0" collapsed="false"/>
    <row r="152" customFormat="false" ht="13" hidden="false" customHeight="false" outlineLevel="0" collapsed="false"/>
    <row r="153" customFormat="false" ht="13" hidden="false" customHeight="false" outlineLevel="0" collapsed="false"/>
    <row r="154" customFormat="false" ht="13" hidden="false" customHeight="false" outlineLevel="0" collapsed="false"/>
    <row r="155" customFormat="false" ht="13" hidden="false" customHeight="false" outlineLevel="0" collapsed="false"/>
    <row r="156" customFormat="false" ht="13" hidden="false" customHeight="false" outlineLevel="0" collapsed="false"/>
    <row r="157" customFormat="false" ht="13" hidden="false" customHeight="false" outlineLevel="0" collapsed="false"/>
    <row r="158" customFormat="false" ht="13" hidden="false" customHeight="false" outlineLevel="0" collapsed="false"/>
    <row r="159" customFormat="false" ht="13" hidden="false" customHeight="false" outlineLevel="0" collapsed="false"/>
    <row r="160" customFormat="false" ht="13" hidden="false" customHeight="false" outlineLevel="0" collapsed="false"/>
    <row r="161" customFormat="false" ht="13" hidden="false" customHeight="false" outlineLevel="0" collapsed="false"/>
    <row r="162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4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1" activeCellId="0" sqref="A1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37.11"/>
    <col collapsed="false" customWidth="true" hidden="false" outlineLevel="0" max="7" min="7" style="2" width="20.77"/>
    <col collapsed="false" customWidth="true" hidden="false" outlineLevel="0" max="8" min="8" style="2" width="15.33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1" min="11" style="2" width="14.33"/>
    <col collapsed="false" customWidth="true" hidden="false" outlineLevel="0" max="1025" min="12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6- Calc Fields</v>
      </c>
    </row>
    <row r="7" customFormat="false" ht="18.5" hidden="false" customHeight="false" outlineLevel="0" collapsed="false">
      <c r="B7" s="43" t="s">
        <v>308</v>
      </c>
    </row>
    <row r="8" customFormat="false" ht="13" hidden="true" customHeight="false" outlineLevel="1" collapsed="false">
      <c r="F8" s="44" t="s">
        <v>309</v>
      </c>
    </row>
    <row r="9" customFormat="false" ht="13" hidden="true" customHeight="false" outlineLevel="1" collapsed="false">
      <c r="F9" s="61" t="s">
        <v>21</v>
      </c>
      <c r="G9" s="62" t="s">
        <v>271</v>
      </c>
    </row>
    <row r="10" customFormat="false" ht="13" hidden="true" customHeight="false" outlineLevel="1" collapsed="false">
      <c r="F10" s="65" t="s">
        <v>54</v>
      </c>
      <c r="G10" s="72" t="n">
        <v>1765</v>
      </c>
    </row>
    <row r="11" customFormat="false" ht="13" hidden="true" customHeight="false" outlineLevel="1" collapsed="false">
      <c r="F11" s="67" t="s">
        <v>31</v>
      </c>
      <c r="G11" s="73" t="n">
        <v>1444</v>
      </c>
    </row>
    <row r="12" customFormat="false" ht="13" hidden="true" customHeight="false" outlineLevel="1" collapsed="false">
      <c r="F12" s="67" t="s">
        <v>102</v>
      </c>
      <c r="G12" s="73" t="n">
        <v>1357</v>
      </c>
    </row>
    <row r="13" customFormat="false" ht="13" hidden="true" customHeight="false" outlineLevel="1" collapsed="false">
      <c r="F13" s="67" t="s">
        <v>116</v>
      </c>
      <c r="G13" s="73" t="n">
        <v>1246</v>
      </c>
    </row>
    <row r="14" customFormat="false" ht="13" hidden="true" customHeight="false" outlineLevel="1" collapsed="false">
      <c r="F14" s="67" t="s">
        <v>74</v>
      </c>
      <c r="G14" s="73" t="n">
        <v>1011</v>
      </c>
    </row>
    <row r="15" customFormat="false" ht="13" hidden="true" customHeight="false" outlineLevel="1" collapsed="false">
      <c r="F15" s="67" t="s">
        <v>165</v>
      </c>
      <c r="G15" s="73" t="n">
        <v>1008</v>
      </c>
    </row>
    <row r="16" customFormat="false" ht="13" hidden="true" customHeight="false" outlineLevel="1" collapsed="false">
      <c r="F16" s="67" t="s">
        <v>50</v>
      </c>
      <c r="G16" s="73" t="n">
        <v>932</v>
      </c>
    </row>
    <row r="17" customFormat="false" ht="13" hidden="true" customHeight="false" outlineLevel="1" collapsed="false">
      <c r="F17" s="67" t="s">
        <v>92</v>
      </c>
      <c r="G17" s="73" t="n">
        <v>784</v>
      </c>
    </row>
    <row r="18" customFormat="false" ht="13" hidden="true" customHeight="false" outlineLevel="1" collapsed="false">
      <c r="F18" s="67" t="s">
        <v>88</v>
      </c>
      <c r="G18" s="73" t="n">
        <v>746</v>
      </c>
    </row>
    <row r="19" customFormat="false" ht="13" hidden="true" customHeight="false" outlineLevel="1" collapsed="false">
      <c r="F19" s="67" t="s">
        <v>126</v>
      </c>
      <c r="G19" s="94" t="n">
        <v>676</v>
      </c>
    </row>
    <row r="20" customFormat="false" ht="13" hidden="true" customHeight="false" outlineLevel="1" collapsed="false">
      <c r="F20" s="87" t="s">
        <v>278</v>
      </c>
      <c r="G20" s="97" t="n">
        <v>10969</v>
      </c>
    </row>
    <row r="21" customFormat="false" ht="12.5" hidden="true" customHeight="false" outlineLevel="1" collapsed="false"/>
    <row r="22" customFormat="false" ht="12.5" hidden="true" customHeight="false" outlineLevel="1" collapsed="false"/>
    <row r="23" customFormat="false" ht="12.5" hidden="true" customHeight="false" outlineLevel="1" collapsed="false"/>
    <row r="24" customFormat="false" ht="18.5" hidden="false" customHeight="false" outlineLevel="0" collapsed="false">
      <c r="B24" s="43" t="s">
        <v>310</v>
      </c>
    </row>
    <row r="25" customFormat="false" ht="13" hidden="true" customHeight="false" outlineLevel="1" collapsed="false">
      <c r="F25" s="44" t="s">
        <v>311</v>
      </c>
    </row>
    <row r="26" customFormat="false" ht="13" hidden="true" customHeight="false" outlineLevel="1" collapsed="false">
      <c r="F26" s="61" t="s">
        <v>19</v>
      </c>
      <c r="G26" s="62" t="s">
        <v>270</v>
      </c>
    </row>
    <row r="27" customFormat="false" ht="13" hidden="true" customHeight="false" outlineLevel="1" collapsed="false">
      <c r="F27" s="65" t="s">
        <v>29</v>
      </c>
      <c r="G27" s="66" t="n">
        <v>3016</v>
      </c>
    </row>
    <row r="28" customFormat="false" ht="13" hidden="true" customHeight="false" outlineLevel="1" collapsed="false">
      <c r="F28" s="67" t="s">
        <v>34</v>
      </c>
      <c r="G28" s="68" t="n">
        <v>2856.5</v>
      </c>
    </row>
    <row r="29" customFormat="false" ht="13" hidden="true" customHeight="false" outlineLevel="1" collapsed="false">
      <c r="F29" s="67" t="s">
        <v>40</v>
      </c>
      <c r="G29" s="68" t="n">
        <v>2845.59</v>
      </c>
    </row>
    <row r="30" customFormat="false" ht="13" hidden="true" customHeight="false" outlineLevel="1" collapsed="false">
      <c r="F30" s="67" t="s">
        <v>48</v>
      </c>
      <c r="G30" s="68" t="n">
        <v>2628.27</v>
      </c>
    </row>
    <row r="31" customFormat="false" ht="13" hidden="true" customHeight="false" outlineLevel="1" collapsed="false">
      <c r="F31" s="67" t="s">
        <v>37</v>
      </c>
      <c r="G31" s="68" t="n">
        <v>2552</v>
      </c>
    </row>
    <row r="32" customFormat="false" ht="13" hidden="true" customHeight="false" outlineLevel="1" collapsed="false">
      <c r="F32" s="67" t="s">
        <v>42</v>
      </c>
      <c r="G32" s="68" t="n">
        <v>2407</v>
      </c>
    </row>
    <row r="33" customFormat="false" ht="13" hidden="true" customHeight="false" outlineLevel="1" collapsed="false">
      <c r="F33" s="67" t="s">
        <v>44</v>
      </c>
      <c r="G33" s="68" t="n">
        <v>2276.5</v>
      </c>
    </row>
    <row r="34" customFormat="false" ht="13" hidden="true" customHeight="false" outlineLevel="1" collapsed="false">
      <c r="F34" s="67" t="s">
        <v>98</v>
      </c>
      <c r="G34" s="68" t="n">
        <v>2106.05</v>
      </c>
    </row>
    <row r="35" customFormat="false" ht="13" hidden="true" customHeight="false" outlineLevel="1" collapsed="false">
      <c r="F35" s="67" t="s">
        <v>46</v>
      </c>
      <c r="G35" s="68" t="n">
        <v>2059</v>
      </c>
    </row>
    <row r="36" customFormat="false" ht="13" hidden="true" customHeight="false" outlineLevel="1" collapsed="false">
      <c r="F36" s="67" t="s">
        <v>52</v>
      </c>
      <c r="G36" s="68" t="n">
        <v>1845</v>
      </c>
    </row>
    <row r="37" customFormat="false" ht="13" hidden="true" customHeight="false" outlineLevel="1" collapsed="false">
      <c r="F37" s="67" t="s">
        <v>56</v>
      </c>
      <c r="G37" s="68" t="n">
        <v>1791</v>
      </c>
    </row>
    <row r="38" customFormat="false" ht="13" hidden="true" customHeight="false" outlineLevel="1" collapsed="false">
      <c r="F38" s="67" t="s">
        <v>60</v>
      </c>
      <c r="G38" s="68" t="n">
        <v>1692</v>
      </c>
    </row>
    <row r="39" customFormat="false" ht="13" hidden="true" customHeight="false" outlineLevel="1" collapsed="false">
      <c r="F39" s="67" t="s">
        <v>58</v>
      </c>
      <c r="G39" s="68" t="n">
        <v>1692</v>
      </c>
    </row>
    <row r="40" customFormat="false" ht="13" hidden="true" customHeight="false" outlineLevel="1" collapsed="false">
      <c r="F40" s="67" t="s">
        <v>62</v>
      </c>
      <c r="G40" s="68" t="n">
        <v>1668.33</v>
      </c>
    </row>
    <row r="41" customFormat="false" ht="13" hidden="true" customHeight="false" outlineLevel="1" collapsed="false">
      <c r="F41" s="67" t="s">
        <v>64</v>
      </c>
      <c r="G41" s="68" t="n">
        <v>1628.37</v>
      </c>
    </row>
    <row r="42" customFormat="false" ht="13" hidden="true" customHeight="false" outlineLevel="1" collapsed="false">
      <c r="F42" s="67" t="s">
        <v>66</v>
      </c>
      <c r="G42" s="68" t="n">
        <v>1530</v>
      </c>
    </row>
    <row r="43" customFormat="false" ht="13" hidden="true" customHeight="false" outlineLevel="1" collapsed="false">
      <c r="F43" s="67" t="s">
        <v>68</v>
      </c>
      <c r="G43" s="68" t="n">
        <v>1479</v>
      </c>
    </row>
    <row r="44" customFormat="false" ht="13" hidden="true" customHeight="false" outlineLevel="1" collapsed="false">
      <c r="F44" s="67" t="s">
        <v>70</v>
      </c>
      <c r="G44" s="68" t="n">
        <v>1440</v>
      </c>
    </row>
    <row r="45" customFormat="false" ht="13" hidden="true" customHeight="false" outlineLevel="1" collapsed="false">
      <c r="F45" s="67" t="s">
        <v>72</v>
      </c>
      <c r="G45" s="68" t="n">
        <v>1425.96</v>
      </c>
    </row>
    <row r="46" customFormat="false" ht="13" hidden="true" customHeight="false" outlineLevel="1" collapsed="false">
      <c r="F46" s="67" t="s">
        <v>76</v>
      </c>
      <c r="G46" s="68" t="n">
        <v>1408.59</v>
      </c>
    </row>
    <row r="47" customFormat="false" ht="13" hidden="true" customHeight="false" outlineLevel="1" collapsed="false">
      <c r="F47" s="67" t="s">
        <v>106</v>
      </c>
      <c r="G47" s="68" t="n">
        <v>1359</v>
      </c>
    </row>
    <row r="48" customFormat="false" ht="13" hidden="true" customHeight="false" outlineLevel="1" collapsed="false">
      <c r="F48" s="67" t="s">
        <v>78</v>
      </c>
      <c r="G48" s="68" t="n">
        <v>1323</v>
      </c>
    </row>
    <row r="49" customFormat="false" ht="13" hidden="true" customHeight="false" outlineLevel="1" collapsed="false">
      <c r="F49" s="67" t="s">
        <v>90</v>
      </c>
      <c r="G49" s="68" t="n">
        <v>1293</v>
      </c>
    </row>
    <row r="50" customFormat="false" ht="13" hidden="true" customHeight="false" outlineLevel="1" collapsed="false">
      <c r="F50" s="67" t="s">
        <v>80</v>
      </c>
      <c r="G50" s="68" t="n">
        <v>1286.16</v>
      </c>
    </row>
    <row r="51" customFormat="false" ht="13" hidden="true" customHeight="false" outlineLevel="1" collapsed="false">
      <c r="F51" s="67" t="s">
        <v>82</v>
      </c>
      <c r="G51" s="68" t="n">
        <v>1269</v>
      </c>
    </row>
    <row r="52" customFormat="false" ht="13" hidden="true" customHeight="false" outlineLevel="1" collapsed="false">
      <c r="F52" s="67" t="s">
        <v>84</v>
      </c>
      <c r="G52" s="68" t="n">
        <v>1215</v>
      </c>
    </row>
    <row r="53" customFormat="false" ht="13" hidden="true" customHeight="false" outlineLevel="1" collapsed="false">
      <c r="F53" s="67" t="s">
        <v>86</v>
      </c>
      <c r="G53" s="68" t="n">
        <v>1144</v>
      </c>
    </row>
    <row r="54" customFormat="false" ht="13" hidden="true" customHeight="false" outlineLevel="1" collapsed="false">
      <c r="F54" s="67" t="s">
        <v>94</v>
      </c>
      <c r="G54" s="68" t="n">
        <v>1058.5</v>
      </c>
    </row>
    <row r="55" customFormat="false" ht="13" hidden="true" customHeight="false" outlineLevel="1" collapsed="false">
      <c r="F55" s="67" t="s">
        <v>96</v>
      </c>
      <c r="G55" s="68" t="n">
        <v>1044</v>
      </c>
    </row>
    <row r="56" customFormat="false" ht="13" hidden="true" customHeight="false" outlineLevel="1" collapsed="false">
      <c r="F56" s="67" t="s">
        <v>139</v>
      </c>
      <c r="G56" s="68" t="n">
        <v>1037.08</v>
      </c>
    </row>
    <row r="57" customFormat="false" ht="13" hidden="true" customHeight="false" outlineLevel="1" collapsed="false">
      <c r="F57" s="67" t="s">
        <v>153</v>
      </c>
      <c r="G57" s="68" t="n">
        <v>1009.11</v>
      </c>
    </row>
    <row r="58" customFormat="false" ht="13" hidden="true" customHeight="false" outlineLevel="1" collapsed="false">
      <c r="F58" s="67" t="s">
        <v>104</v>
      </c>
      <c r="G58" s="68" t="n">
        <v>973.5</v>
      </c>
    </row>
    <row r="59" customFormat="false" ht="13" hidden="true" customHeight="false" outlineLevel="1" collapsed="false">
      <c r="F59" s="67" t="s">
        <v>100</v>
      </c>
      <c r="G59" s="68" t="n">
        <v>913.5</v>
      </c>
    </row>
    <row r="60" customFormat="false" ht="13" hidden="true" customHeight="false" outlineLevel="1" collapsed="false">
      <c r="F60" s="67" t="s">
        <v>155</v>
      </c>
      <c r="G60" s="68" t="n">
        <v>907.16</v>
      </c>
    </row>
    <row r="61" customFormat="false" ht="13" hidden="true" customHeight="false" outlineLevel="1" collapsed="false">
      <c r="F61" s="67" t="s">
        <v>108</v>
      </c>
      <c r="G61" s="68" t="n">
        <v>873.75</v>
      </c>
    </row>
    <row r="62" customFormat="false" ht="13" hidden="true" customHeight="false" outlineLevel="1" collapsed="false">
      <c r="F62" s="67" t="s">
        <v>110</v>
      </c>
      <c r="G62" s="68" t="n">
        <v>850.5</v>
      </c>
    </row>
    <row r="63" customFormat="false" ht="13" hidden="true" customHeight="false" outlineLevel="1" collapsed="false">
      <c r="F63" s="67" t="s">
        <v>167</v>
      </c>
      <c r="G63" s="68" t="n">
        <v>836.5</v>
      </c>
    </row>
    <row r="64" customFormat="false" ht="13" hidden="true" customHeight="false" outlineLevel="1" collapsed="false">
      <c r="F64" s="67" t="s">
        <v>112</v>
      </c>
      <c r="G64" s="68" t="n">
        <v>819</v>
      </c>
    </row>
    <row r="65" customFormat="false" ht="13" hidden="true" customHeight="false" outlineLevel="1" collapsed="false">
      <c r="F65" s="67" t="s">
        <v>186</v>
      </c>
      <c r="G65" s="68" t="n">
        <v>807</v>
      </c>
    </row>
    <row r="66" customFormat="false" ht="13" hidden="true" customHeight="false" outlineLevel="1" collapsed="false">
      <c r="F66" s="67" t="s">
        <v>114</v>
      </c>
      <c r="G66" s="68" t="n">
        <v>801.99</v>
      </c>
    </row>
    <row r="67" customFormat="false" ht="13" hidden="true" customHeight="false" outlineLevel="1" collapsed="false">
      <c r="F67" s="67" t="s">
        <v>118</v>
      </c>
      <c r="G67" s="68" t="n">
        <v>801</v>
      </c>
    </row>
    <row r="68" customFormat="false" ht="13" hidden="true" customHeight="false" outlineLevel="1" collapsed="false">
      <c r="F68" s="67" t="s">
        <v>120</v>
      </c>
      <c r="G68" s="68" t="n">
        <v>754.92</v>
      </c>
    </row>
    <row r="69" customFormat="false" ht="13" hidden="true" customHeight="false" outlineLevel="1" collapsed="false">
      <c r="F69" s="67" t="s">
        <v>122</v>
      </c>
      <c r="G69" s="68" t="n">
        <v>750</v>
      </c>
    </row>
    <row r="70" customFormat="false" ht="13" hidden="true" customHeight="false" outlineLevel="1" collapsed="false">
      <c r="F70" s="67" t="s">
        <v>124</v>
      </c>
      <c r="G70" s="68" t="n">
        <v>742.5</v>
      </c>
    </row>
    <row r="71" customFormat="false" ht="13" hidden="true" customHeight="false" outlineLevel="1" collapsed="false">
      <c r="F71" s="67" t="s">
        <v>147</v>
      </c>
      <c r="G71" s="68" t="n">
        <v>732.87</v>
      </c>
    </row>
    <row r="72" customFormat="false" ht="13" hidden="true" customHeight="false" outlineLevel="1" collapsed="false">
      <c r="F72" s="67" t="s">
        <v>135</v>
      </c>
      <c r="G72" s="68" t="n">
        <v>717</v>
      </c>
    </row>
    <row r="73" customFormat="false" ht="13" hidden="true" customHeight="false" outlineLevel="1" collapsed="false">
      <c r="F73" s="67" t="s">
        <v>143</v>
      </c>
      <c r="G73" s="68" t="n">
        <v>714.45</v>
      </c>
    </row>
    <row r="74" customFormat="false" ht="13" hidden="true" customHeight="false" outlineLevel="1" collapsed="false">
      <c r="F74" s="67" t="s">
        <v>131</v>
      </c>
      <c r="G74" s="68" t="n">
        <v>678.3</v>
      </c>
    </row>
    <row r="75" customFormat="false" ht="13" hidden="true" customHeight="false" outlineLevel="1" collapsed="false">
      <c r="F75" s="67" t="s">
        <v>133</v>
      </c>
      <c r="G75" s="68" t="n">
        <v>678</v>
      </c>
    </row>
    <row r="76" customFormat="false" ht="13" hidden="true" customHeight="false" outlineLevel="1" collapsed="false">
      <c r="F76" s="67" t="s">
        <v>201</v>
      </c>
      <c r="G76" s="68" t="n">
        <v>645.63</v>
      </c>
    </row>
    <row r="77" customFormat="false" ht="13" hidden="true" customHeight="false" outlineLevel="1" collapsed="false">
      <c r="F77" s="67" t="s">
        <v>137</v>
      </c>
      <c r="G77" s="68" t="n">
        <v>621</v>
      </c>
    </row>
    <row r="78" customFormat="false" ht="13" hidden="true" customHeight="false" outlineLevel="1" collapsed="false">
      <c r="F78" s="67" t="s">
        <v>141</v>
      </c>
      <c r="G78" s="68" t="n">
        <v>617.5</v>
      </c>
    </row>
    <row r="79" customFormat="false" ht="13" hidden="true" customHeight="false" outlineLevel="1" collapsed="false">
      <c r="F79" s="67" t="s">
        <v>145</v>
      </c>
      <c r="G79" s="68" t="n">
        <v>604.5</v>
      </c>
    </row>
    <row r="80" customFormat="false" ht="13" hidden="true" customHeight="false" outlineLevel="1" collapsed="false">
      <c r="F80" s="67" t="s">
        <v>149</v>
      </c>
      <c r="G80" s="68" t="n">
        <v>602.49</v>
      </c>
    </row>
    <row r="81" customFormat="false" ht="13" hidden="true" customHeight="false" outlineLevel="1" collapsed="false">
      <c r="F81" s="67" t="s">
        <v>151</v>
      </c>
      <c r="G81" s="68" t="n">
        <v>600</v>
      </c>
    </row>
    <row r="82" customFormat="false" ht="13" hidden="true" customHeight="false" outlineLevel="1" collapsed="false">
      <c r="F82" s="67" t="s">
        <v>157</v>
      </c>
      <c r="G82" s="68" t="n">
        <v>573.18</v>
      </c>
    </row>
    <row r="83" customFormat="false" ht="13" hidden="true" customHeight="false" outlineLevel="1" collapsed="false">
      <c r="F83" s="67" t="s">
        <v>159</v>
      </c>
      <c r="G83" s="68" t="n">
        <v>567</v>
      </c>
    </row>
    <row r="84" customFormat="false" ht="13" hidden="true" customHeight="false" outlineLevel="1" collapsed="false">
      <c r="F84" s="67" t="s">
        <v>161</v>
      </c>
      <c r="G84" s="68" t="n">
        <v>546.63</v>
      </c>
    </row>
    <row r="85" customFormat="false" ht="13" hidden="true" customHeight="false" outlineLevel="1" collapsed="false">
      <c r="F85" s="67" t="s">
        <v>163</v>
      </c>
      <c r="G85" s="68" t="n">
        <v>537</v>
      </c>
    </row>
    <row r="86" customFormat="false" ht="13" hidden="true" customHeight="false" outlineLevel="1" collapsed="false">
      <c r="F86" s="67" t="s">
        <v>169</v>
      </c>
      <c r="G86" s="68" t="n">
        <v>534</v>
      </c>
    </row>
    <row r="87" customFormat="false" ht="13" hidden="true" customHeight="false" outlineLevel="1" collapsed="false">
      <c r="F87" s="67" t="s">
        <v>171</v>
      </c>
      <c r="G87" s="68" t="n">
        <v>522.69</v>
      </c>
    </row>
    <row r="88" customFormat="false" ht="13" hidden="true" customHeight="false" outlineLevel="1" collapsed="false">
      <c r="F88" s="67" t="s">
        <v>173</v>
      </c>
      <c r="G88" s="68" t="n">
        <v>500.5</v>
      </c>
    </row>
    <row r="89" customFormat="false" ht="13" hidden="true" customHeight="false" outlineLevel="1" collapsed="false">
      <c r="F89" s="67" t="s">
        <v>175</v>
      </c>
      <c r="G89" s="68" t="n">
        <v>492</v>
      </c>
    </row>
    <row r="90" customFormat="false" ht="13" hidden="true" customHeight="false" outlineLevel="1" collapsed="false">
      <c r="F90" s="67" t="s">
        <v>178</v>
      </c>
      <c r="G90" s="68" t="n">
        <v>486.78</v>
      </c>
    </row>
    <row r="91" customFormat="false" ht="13" hidden="true" customHeight="false" outlineLevel="1" collapsed="false">
      <c r="F91" s="67" t="s">
        <v>182</v>
      </c>
      <c r="G91" s="68" t="n">
        <v>468.33</v>
      </c>
    </row>
    <row r="92" customFormat="false" ht="13" hidden="true" customHeight="false" outlineLevel="1" collapsed="false">
      <c r="F92" s="67" t="s">
        <v>184</v>
      </c>
      <c r="G92" s="68" t="n">
        <v>461.5</v>
      </c>
    </row>
    <row r="93" customFormat="false" ht="13" hidden="true" customHeight="false" outlineLevel="1" collapsed="false">
      <c r="F93" s="67" t="s">
        <v>188</v>
      </c>
      <c r="G93" s="68" t="n">
        <v>423</v>
      </c>
    </row>
    <row r="94" customFormat="false" ht="13" hidden="true" customHeight="false" outlineLevel="1" collapsed="false">
      <c r="F94" s="67" t="s">
        <v>190</v>
      </c>
      <c r="G94" s="68" t="n">
        <v>422.5</v>
      </c>
    </row>
    <row r="95" customFormat="false" ht="13" hidden="true" customHeight="false" outlineLevel="1" collapsed="false">
      <c r="F95" s="67" t="s">
        <v>193</v>
      </c>
      <c r="G95" s="68" t="n">
        <v>416</v>
      </c>
    </row>
    <row r="96" customFormat="false" ht="13" hidden="true" customHeight="false" outlineLevel="1" collapsed="false">
      <c r="F96" s="67" t="s">
        <v>197</v>
      </c>
      <c r="G96" s="68" t="n">
        <v>409.59</v>
      </c>
    </row>
    <row r="97" customFormat="false" ht="13" hidden="true" customHeight="false" outlineLevel="1" collapsed="false">
      <c r="F97" s="67" t="s">
        <v>199</v>
      </c>
      <c r="G97" s="68" t="n">
        <v>405</v>
      </c>
    </row>
    <row r="98" customFormat="false" ht="13" hidden="true" customHeight="false" outlineLevel="1" collapsed="false">
      <c r="F98" s="67" t="s">
        <v>203</v>
      </c>
      <c r="G98" s="68" t="n">
        <v>382.5</v>
      </c>
    </row>
    <row r="99" customFormat="false" ht="13" hidden="true" customHeight="false" outlineLevel="1" collapsed="false">
      <c r="F99" s="67" t="s">
        <v>206</v>
      </c>
      <c r="G99" s="68" t="n">
        <v>336</v>
      </c>
    </row>
    <row r="100" customFormat="false" ht="13" hidden="true" customHeight="false" outlineLevel="1" collapsed="false">
      <c r="F100" s="67" t="s">
        <v>208</v>
      </c>
      <c r="G100" s="68" t="n">
        <v>319.2</v>
      </c>
    </row>
    <row r="101" customFormat="false" ht="13" hidden="true" customHeight="false" outlineLevel="1" collapsed="false">
      <c r="F101" s="67" t="s">
        <v>210</v>
      </c>
      <c r="G101" s="68" t="n">
        <v>312</v>
      </c>
    </row>
    <row r="102" customFormat="false" ht="13" hidden="true" customHeight="false" outlineLevel="1" collapsed="false">
      <c r="F102" s="67" t="s">
        <v>219</v>
      </c>
      <c r="G102" s="68" t="n">
        <v>276</v>
      </c>
    </row>
    <row r="103" customFormat="false" ht="13" hidden="true" customHeight="false" outlineLevel="1" collapsed="false">
      <c r="F103" s="67" t="s">
        <v>214</v>
      </c>
      <c r="G103" s="68" t="n">
        <v>261</v>
      </c>
    </row>
    <row r="104" customFormat="false" ht="13" hidden="true" customHeight="false" outlineLevel="1" collapsed="false">
      <c r="F104" s="67" t="s">
        <v>216</v>
      </c>
      <c r="G104" s="68" t="n">
        <v>259.35</v>
      </c>
    </row>
    <row r="105" customFormat="false" ht="13" hidden="true" customHeight="false" outlineLevel="1" collapsed="false">
      <c r="F105" s="67" t="s">
        <v>221</v>
      </c>
      <c r="G105" s="68" t="n">
        <v>231</v>
      </c>
    </row>
    <row r="106" customFormat="false" ht="13" hidden="true" customHeight="false" outlineLevel="1" collapsed="false">
      <c r="F106" s="67" t="s">
        <v>223</v>
      </c>
      <c r="G106" s="68" t="n">
        <v>227.43</v>
      </c>
    </row>
    <row r="107" customFormat="false" ht="13" hidden="true" customHeight="false" outlineLevel="1" collapsed="false">
      <c r="F107" s="67" t="s">
        <v>225</v>
      </c>
      <c r="G107" s="68" t="n">
        <v>219.78</v>
      </c>
    </row>
    <row r="108" customFormat="false" ht="13" hidden="true" customHeight="false" outlineLevel="1" collapsed="false">
      <c r="F108" s="67" t="s">
        <v>229</v>
      </c>
      <c r="G108" s="68" t="n">
        <v>143</v>
      </c>
    </row>
    <row r="109" customFormat="false" ht="13" hidden="true" customHeight="false" outlineLevel="1" collapsed="false">
      <c r="F109" s="67" t="s">
        <v>231</v>
      </c>
      <c r="G109" s="68" t="n">
        <v>139.86</v>
      </c>
    </row>
    <row r="110" customFormat="false" ht="13" hidden="true" customHeight="false" outlineLevel="1" collapsed="false">
      <c r="F110" s="67" t="s">
        <v>234</v>
      </c>
      <c r="G110" s="68" t="n">
        <v>111.72</v>
      </c>
    </row>
    <row r="111" customFormat="false" ht="13" hidden="true" customHeight="false" outlineLevel="1" collapsed="false">
      <c r="F111" s="67" t="s">
        <v>238</v>
      </c>
      <c r="G111" s="68" t="n">
        <v>54</v>
      </c>
    </row>
    <row r="112" customFormat="false" ht="13" hidden="true" customHeight="false" outlineLevel="1" collapsed="false">
      <c r="F112" s="67" t="s">
        <v>240</v>
      </c>
      <c r="G112" s="68" t="n">
        <v>45</v>
      </c>
    </row>
    <row r="113" customFormat="false" ht="13" hidden="true" customHeight="false" outlineLevel="1" collapsed="false">
      <c r="F113" s="67" t="s">
        <v>245</v>
      </c>
      <c r="G113" s="89" t="n">
        <v>31.5</v>
      </c>
    </row>
    <row r="114" customFormat="false" ht="13" hidden="true" customHeight="false" outlineLevel="1" collapsed="false">
      <c r="F114" s="87" t="s">
        <v>278</v>
      </c>
      <c r="G114" s="88" t="n">
        <v>82543.11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N120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P34" activeCellId="0" sqref="P34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37.11"/>
    <col collapsed="false" customWidth="true" hidden="false" outlineLevel="0" max="7" min="7" style="2" width="22.77"/>
    <col collapsed="false" customWidth="true" hidden="false" outlineLevel="0" max="8" min="8" style="2" width="16"/>
    <col collapsed="false" customWidth="true" hidden="false" outlineLevel="0" max="9" min="9" style="2" width="20.77"/>
    <col collapsed="false" customWidth="true" hidden="false" outlineLevel="0" max="10" min="10" style="2" width="16"/>
    <col collapsed="false" customWidth="true" hidden="false" outlineLevel="0" max="11" min="11" style="2" width="20.77"/>
    <col collapsed="false" customWidth="true" hidden="false" outlineLevel="0" max="12" min="12" style="2" width="16"/>
    <col collapsed="false" customWidth="true" hidden="false" outlineLevel="0" max="13" min="13" style="2" width="27.34"/>
    <col collapsed="false" customWidth="true" hidden="false" outlineLevel="0" max="14" min="14" style="2" width="21.66"/>
    <col collapsed="false" customWidth="true" hidden="false" outlineLevel="0" max="15" min="15" style="2" width="9.34"/>
    <col collapsed="false" customWidth="true" hidden="false" outlineLevel="0" max="16" min="16" style="2" width="20.66"/>
    <col collapsed="false" customWidth="true" hidden="false" outlineLevel="0" max="17" min="17" style="2" width="20.77"/>
    <col collapsed="false" customWidth="true" hidden="false" outlineLevel="0" max="1025" min="18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6 - Calc Field (ANS)</v>
      </c>
    </row>
    <row r="6" customFormat="false" ht="13" hidden="false" customHeight="false" outlineLevel="0" collapsed="false"/>
    <row r="7" customFormat="false" ht="18.5" hidden="false" customHeight="false" outlineLevel="0" collapsed="false">
      <c r="B7" s="43" t="s">
        <v>308</v>
      </c>
    </row>
    <row r="8" customFormat="false" ht="13" hidden="false" customHeight="false" outlineLevel="1" collapsed="false">
      <c r="F8" s="44" t="s">
        <v>312</v>
      </c>
    </row>
    <row r="9" customFormat="false" ht="13" hidden="false" customHeight="false" outlineLevel="1" collapsed="false">
      <c r="F9" s="75" t="s">
        <v>270</v>
      </c>
      <c r="G9" s="76" t="s">
        <v>22</v>
      </c>
      <c r="H9" s="109"/>
      <c r="I9" s="109"/>
      <c r="J9" s="49"/>
      <c r="K9" s="0"/>
      <c r="L9" s="0"/>
      <c r="M9" s="0"/>
      <c r="N9" s="0"/>
    </row>
    <row r="10" customFormat="false" ht="13" hidden="false" customHeight="false" outlineLevel="1" collapsed="false">
      <c r="F10" s="77" t="s">
        <v>21</v>
      </c>
      <c r="G10" s="78" t="s">
        <v>35</v>
      </c>
      <c r="H10" s="110" t="s">
        <v>32</v>
      </c>
      <c r="I10" s="110" t="s">
        <v>38</v>
      </c>
      <c r="J10" s="111" t="s">
        <v>278</v>
      </c>
      <c r="K10" s="0"/>
      <c r="L10" s="0"/>
      <c r="M10" s="0"/>
      <c r="N10" s="0"/>
    </row>
    <row r="11" customFormat="false" ht="13" hidden="false" customHeight="false" outlineLevel="1" collapsed="false">
      <c r="F11" s="65" t="s">
        <v>92</v>
      </c>
      <c r="G11" s="112" t="n">
        <v>750</v>
      </c>
      <c r="H11" s="113" t="n">
        <v>1272</v>
      </c>
      <c r="I11" s="114" t="n">
        <v>2682</v>
      </c>
      <c r="J11" s="115" t="n">
        <v>4704</v>
      </c>
      <c r="K11" s="0"/>
      <c r="L11" s="0"/>
      <c r="M11" s="0"/>
      <c r="N11" s="0"/>
    </row>
    <row r="12" customFormat="false" ht="13" hidden="false" customHeight="false" outlineLevel="1" collapsed="false">
      <c r="F12" s="67" t="s">
        <v>88</v>
      </c>
      <c r="G12" s="116" t="n">
        <v>461.5</v>
      </c>
      <c r="H12" s="117" t="n">
        <v>2424.5</v>
      </c>
      <c r="I12" s="118" t="n">
        <v>1963</v>
      </c>
      <c r="J12" s="119" t="n">
        <v>4849</v>
      </c>
      <c r="K12" s="0"/>
      <c r="L12" s="0"/>
      <c r="M12" s="0"/>
      <c r="N12" s="0"/>
    </row>
    <row r="13" customFormat="false" ht="13" hidden="false" customHeight="false" outlineLevel="1" collapsed="false">
      <c r="F13" s="67" t="s">
        <v>54</v>
      </c>
      <c r="G13" s="120"/>
      <c r="H13" s="117" t="n">
        <v>11385</v>
      </c>
      <c r="I13" s="118" t="n">
        <v>4500</v>
      </c>
      <c r="J13" s="119" t="n">
        <v>15885</v>
      </c>
      <c r="K13" s="0"/>
      <c r="L13" s="0"/>
      <c r="M13" s="0"/>
      <c r="N13" s="0"/>
    </row>
    <row r="14" customFormat="false" ht="13" hidden="false" customHeight="false" outlineLevel="1" collapsed="false">
      <c r="F14" s="67" t="s">
        <v>165</v>
      </c>
      <c r="G14" s="120"/>
      <c r="H14" s="117" t="n">
        <v>1749</v>
      </c>
      <c r="I14" s="118" t="n">
        <v>1275</v>
      </c>
      <c r="J14" s="119" t="n">
        <v>3024</v>
      </c>
      <c r="K14" s="0"/>
      <c r="L14" s="0"/>
      <c r="M14" s="0"/>
      <c r="N14" s="0"/>
    </row>
    <row r="15" customFormat="false" ht="13" hidden="false" customHeight="false" outlineLevel="1" collapsed="false">
      <c r="F15" s="67" t="s">
        <v>116</v>
      </c>
      <c r="G15" s="120"/>
      <c r="H15" s="117" t="n">
        <v>3487.26</v>
      </c>
      <c r="I15" s="118" t="n">
        <v>1484.28</v>
      </c>
      <c r="J15" s="119" t="n">
        <v>4971.54</v>
      </c>
      <c r="K15" s="0"/>
      <c r="L15" s="0"/>
      <c r="M15" s="0"/>
      <c r="N15" s="0"/>
    </row>
    <row r="16" customFormat="false" ht="13" hidden="false" customHeight="false" outlineLevel="1" collapsed="false">
      <c r="F16" s="67" t="s">
        <v>102</v>
      </c>
      <c r="G16" s="116" t="n">
        <v>1849.5</v>
      </c>
      <c r="H16" s="117" t="n">
        <v>549</v>
      </c>
      <c r="I16" s="118" t="n">
        <v>3708</v>
      </c>
      <c r="J16" s="119" t="n">
        <v>6106.5</v>
      </c>
      <c r="K16" s="0"/>
      <c r="L16" s="0"/>
      <c r="M16" s="0"/>
      <c r="N16" s="0"/>
    </row>
    <row r="17" customFormat="false" ht="13" hidden="false" customHeight="false" outlineLevel="1" collapsed="false">
      <c r="F17" s="67" t="s">
        <v>129</v>
      </c>
      <c r="G17" s="120"/>
      <c r="H17" s="117" t="n">
        <v>1527.5</v>
      </c>
      <c r="I17" s="118" t="n">
        <v>1118</v>
      </c>
      <c r="J17" s="119" t="n">
        <v>2645.5</v>
      </c>
      <c r="K17" s="0"/>
      <c r="L17" s="0"/>
      <c r="M17" s="0"/>
      <c r="N17" s="0"/>
    </row>
    <row r="18" customFormat="false" ht="13" hidden="false" customHeight="false" outlineLevel="1" collapsed="false">
      <c r="F18" s="67" t="s">
        <v>50</v>
      </c>
      <c r="G18" s="116" t="n">
        <v>1408.59</v>
      </c>
      <c r="H18" s="117" t="n">
        <v>2847.15</v>
      </c>
      <c r="I18" s="118" t="n">
        <v>5054.94</v>
      </c>
      <c r="J18" s="119" t="n">
        <v>9310.68</v>
      </c>
      <c r="K18" s="0"/>
      <c r="L18" s="0"/>
      <c r="M18" s="0"/>
      <c r="N18" s="0"/>
    </row>
    <row r="19" customFormat="false" ht="13" hidden="false" customHeight="false" outlineLevel="1" collapsed="false">
      <c r="F19" s="67" t="s">
        <v>126</v>
      </c>
      <c r="G19" s="120"/>
      <c r="H19" s="117" t="n">
        <v>382.5</v>
      </c>
      <c r="I19" s="118" t="n">
        <v>2659.5</v>
      </c>
      <c r="J19" s="119" t="n">
        <v>3042</v>
      </c>
      <c r="K19" s="0"/>
      <c r="L19" s="0"/>
      <c r="M19" s="0"/>
      <c r="N19" s="0"/>
    </row>
    <row r="20" customFormat="false" ht="13" hidden="false" customHeight="false" outlineLevel="1" collapsed="false">
      <c r="F20" s="67" t="s">
        <v>74</v>
      </c>
      <c r="G20" s="116" t="n">
        <v>594.15</v>
      </c>
      <c r="H20" s="117" t="n">
        <v>3767.61</v>
      </c>
      <c r="I20" s="118" t="n">
        <v>2705.13</v>
      </c>
      <c r="J20" s="119" t="n">
        <v>7066.89</v>
      </c>
      <c r="K20" s="0"/>
      <c r="L20" s="0"/>
      <c r="M20" s="0"/>
      <c r="N20" s="0"/>
    </row>
    <row r="21" customFormat="false" ht="13" hidden="false" customHeight="false" outlineLevel="1" collapsed="false">
      <c r="F21" s="67" t="s">
        <v>31</v>
      </c>
      <c r="G21" s="121" t="n">
        <v>5292.5</v>
      </c>
      <c r="H21" s="122" t="n">
        <v>8410</v>
      </c>
      <c r="I21" s="123" t="n">
        <v>7235.5</v>
      </c>
      <c r="J21" s="124" t="n">
        <v>20938</v>
      </c>
      <c r="K21" s="0"/>
      <c r="L21" s="0"/>
      <c r="M21" s="0"/>
      <c r="N21" s="0"/>
    </row>
    <row r="22" customFormat="false" ht="13" hidden="false" customHeight="false" outlineLevel="1" collapsed="false">
      <c r="F22" s="87" t="s">
        <v>278</v>
      </c>
      <c r="G22" s="125" t="n">
        <v>10356.24</v>
      </c>
      <c r="H22" s="126" t="n">
        <v>37801.52</v>
      </c>
      <c r="I22" s="127" t="n">
        <v>34385.35</v>
      </c>
      <c r="J22" s="88" t="n">
        <v>82543.11</v>
      </c>
      <c r="K22" s="0"/>
      <c r="L22" s="0"/>
      <c r="M22" s="0"/>
      <c r="N22" s="0"/>
    </row>
    <row r="23" customFormat="false" ht="13" hidden="false" customHeight="false" outlineLevel="1" collapsed="false">
      <c r="F23" s="0"/>
      <c r="G23" s="0"/>
      <c r="H23" s="0"/>
      <c r="I23" s="0"/>
      <c r="J23" s="0"/>
      <c r="K23" s="0"/>
      <c r="L23" s="0"/>
      <c r="M23" s="0"/>
      <c r="N23" s="0"/>
    </row>
    <row r="24" customFormat="false" ht="13" hidden="false" customHeight="false" outlineLevel="1" collapsed="false"/>
    <row r="25" customFormat="false" ht="13" hidden="false" customHeight="false" outlineLevel="1" collapsed="false"/>
    <row r="26" customFormat="false" ht="18.5" hidden="false" customHeight="false" outlineLevel="0" collapsed="false">
      <c r="B26" s="43" t="s">
        <v>310</v>
      </c>
    </row>
    <row r="27" customFormat="false" ht="13" hidden="false" customHeight="false" outlineLevel="1" collapsed="false">
      <c r="F27" s="44" t="s">
        <v>311</v>
      </c>
    </row>
    <row r="28" customFormat="false" ht="13" hidden="false" customHeight="false" outlineLevel="1" collapsed="false">
      <c r="F28" s="75" t="s">
        <v>270</v>
      </c>
      <c r="G28" s="76" t="s">
        <v>22</v>
      </c>
      <c r="H28" s="109"/>
      <c r="I28" s="49"/>
      <c r="J28" s="0"/>
      <c r="K28" s="0"/>
      <c r="L28" s="0"/>
    </row>
    <row r="29" customFormat="false" ht="13" hidden="false" customHeight="false" outlineLevel="1" collapsed="false">
      <c r="F29" s="77" t="s">
        <v>19</v>
      </c>
      <c r="G29" s="78" t="s">
        <v>35</v>
      </c>
      <c r="H29" s="110" t="s">
        <v>32</v>
      </c>
      <c r="I29" s="79" t="s">
        <v>38</v>
      </c>
      <c r="J29" s="0"/>
      <c r="K29" s="0"/>
      <c r="L29" s="0"/>
    </row>
    <row r="30" customFormat="false" ht="13" hidden="false" customHeight="false" outlineLevel="1" collapsed="false">
      <c r="F30" s="65" t="s">
        <v>29</v>
      </c>
      <c r="G30" s="128"/>
      <c r="H30" s="113" t="n">
        <v>3016</v>
      </c>
      <c r="I30" s="129"/>
      <c r="J30" s="0"/>
      <c r="K30" s="0"/>
      <c r="L30" s="0"/>
    </row>
    <row r="31" customFormat="false" ht="13" hidden="false" customHeight="false" outlineLevel="1" collapsed="false">
      <c r="F31" s="67" t="s">
        <v>34</v>
      </c>
      <c r="G31" s="116" t="n">
        <v>2856.5</v>
      </c>
      <c r="H31" s="130"/>
      <c r="I31" s="131"/>
      <c r="J31" s="0"/>
      <c r="K31" s="0"/>
      <c r="L31" s="0"/>
    </row>
    <row r="32" customFormat="false" ht="13" hidden="false" customHeight="false" outlineLevel="1" collapsed="false">
      <c r="F32" s="67" t="s">
        <v>40</v>
      </c>
      <c r="G32" s="116" t="n">
        <v>2436</v>
      </c>
      <c r="H32" s="117" t="n">
        <v>409.59</v>
      </c>
      <c r="I32" s="131"/>
      <c r="J32" s="0"/>
      <c r="K32" s="0"/>
      <c r="L32" s="0"/>
    </row>
    <row r="33" customFormat="false" ht="13" hidden="false" customHeight="false" outlineLevel="1" collapsed="false">
      <c r="F33" s="67" t="s">
        <v>48</v>
      </c>
      <c r="G33" s="120"/>
      <c r="H33" s="117" t="n">
        <v>209.7</v>
      </c>
      <c r="I33" s="83" t="n">
        <v>2418.57</v>
      </c>
      <c r="J33" s="0"/>
      <c r="K33" s="0"/>
      <c r="L33" s="0"/>
    </row>
    <row r="34" customFormat="false" ht="13" hidden="false" customHeight="false" outlineLevel="1" collapsed="false">
      <c r="F34" s="67" t="s">
        <v>37</v>
      </c>
      <c r="G34" s="120"/>
      <c r="H34" s="130"/>
      <c r="I34" s="83" t="n">
        <v>2552</v>
      </c>
      <c r="J34" s="0"/>
      <c r="K34" s="0"/>
      <c r="L34" s="0"/>
    </row>
    <row r="35" customFormat="false" ht="13" hidden="false" customHeight="false" outlineLevel="1" collapsed="false">
      <c r="F35" s="67" t="s">
        <v>42</v>
      </c>
      <c r="G35" s="120"/>
      <c r="H35" s="130"/>
      <c r="I35" s="83" t="n">
        <v>2407</v>
      </c>
      <c r="J35" s="0"/>
      <c r="K35" s="0"/>
      <c r="L35" s="0"/>
    </row>
    <row r="36" customFormat="false" ht="13" hidden="false" customHeight="false" outlineLevel="1" collapsed="false">
      <c r="F36" s="67" t="s">
        <v>44</v>
      </c>
      <c r="G36" s="120"/>
      <c r="H36" s="117" t="n">
        <v>2276.5</v>
      </c>
      <c r="I36" s="131"/>
      <c r="J36" s="0"/>
      <c r="K36" s="0"/>
      <c r="L36" s="0"/>
    </row>
    <row r="37" customFormat="false" ht="13" hidden="false" customHeight="false" outlineLevel="1" collapsed="false">
      <c r="F37" s="67" t="s">
        <v>98</v>
      </c>
      <c r="G37" s="120"/>
      <c r="H37" s="117" t="n">
        <v>1157</v>
      </c>
      <c r="I37" s="83" t="n">
        <v>949.05</v>
      </c>
      <c r="J37" s="0"/>
      <c r="K37" s="0"/>
      <c r="L37" s="0"/>
    </row>
    <row r="38" customFormat="false" ht="13" hidden="false" customHeight="false" outlineLevel="1" collapsed="false">
      <c r="F38" s="67" t="s">
        <v>46</v>
      </c>
      <c r="G38" s="120"/>
      <c r="H38" s="117" t="n">
        <v>2059</v>
      </c>
      <c r="I38" s="131"/>
      <c r="J38" s="0"/>
      <c r="K38" s="0"/>
      <c r="L38" s="0"/>
    </row>
    <row r="39" customFormat="false" ht="13" hidden="false" customHeight="false" outlineLevel="1" collapsed="false">
      <c r="F39" s="67" t="s">
        <v>52</v>
      </c>
      <c r="G39" s="120"/>
      <c r="H39" s="117" t="n">
        <v>1845</v>
      </c>
      <c r="I39" s="131"/>
      <c r="J39" s="0"/>
      <c r="K39" s="0"/>
      <c r="L39" s="0"/>
    </row>
    <row r="40" customFormat="false" ht="13" hidden="false" customHeight="false" outlineLevel="1" collapsed="false">
      <c r="F40" s="67" t="s">
        <v>56</v>
      </c>
      <c r="G40" s="120"/>
      <c r="H40" s="130"/>
      <c r="I40" s="83" t="n">
        <v>1791</v>
      </c>
      <c r="J40" s="0"/>
      <c r="K40" s="0"/>
      <c r="L40" s="0"/>
    </row>
    <row r="41" customFormat="false" ht="13" hidden="false" customHeight="false" outlineLevel="1" collapsed="false">
      <c r="F41" s="67" t="s">
        <v>60</v>
      </c>
      <c r="G41" s="120"/>
      <c r="H41" s="117" t="n">
        <v>1692</v>
      </c>
      <c r="I41" s="131"/>
      <c r="J41" s="0"/>
      <c r="K41" s="0"/>
      <c r="L41" s="0"/>
    </row>
    <row r="42" customFormat="false" ht="13" hidden="false" customHeight="false" outlineLevel="1" collapsed="false">
      <c r="F42" s="67" t="s">
        <v>58</v>
      </c>
      <c r="G42" s="120"/>
      <c r="H42" s="117" t="n">
        <v>1692</v>
      </c>
      <c r="I42" s="131"/>
      <c r="J42" s="0"/>
      <c r="K42" s="0"/>
      <c r="L42" s="0"/>
    </row>
    <row r="43" customFormat="false" ht="13" hidden="false" customHeight="false" outlineLevel="1" collapsed="false">
      <c r="F43" s="67" t="s">
        <v>62</v>
      </c>
      <c r="G43" s="120"/>
      <c r="H43" s="117" t="n">
        <v>1668.33</v>
      </c>
      <c r="I43" s="131"/>
      <c r="J43" s="0"/>
      <c r="K43" s="0"/>
      <c r="L43" s="0"/>
    </row>
    <row r="44" customFormat="false" ht="13" hidden="false" customHeight="false" outlineLevel="1" collapsed="false">
      <c r="F44" s="67" t="s">
        <v>64</v>
      </c>
      <c r="G44" s="120"/>
      <c r="H44" s="130"/>
      <c r="I44" s="83" t="n">
        <v>1628.37</v>
      </c>
      <c r="J44" s="0"/>
      <c r="K44" s="0"/>
      <c r="L44" s="0"/>
    </row>
    <row r="45" customFormat="false" ht="13" hidden="false" customHeight="false" outlineLevel="1" collapsed="false">
      <c r="F45" s="67" t="s">
        <v>66</v>
      </c>
      <c r="G45" s="120"/>
      <c r="H45" s="117" t="n">
        <v>1530</v>
      </c>
      <c r="I45" s="131"/>
      <c r="J45" s="0"/>
      <c r="K45" s="0"/>
      <c r="L45" s="0"/>
    </row>
    <row r="46" customFormat="false" ht="13" hidden="false" customHeight="false" outlineLevel="1" collapsed="false">
      <c r="F46" s="67" t="s">
        <v>68</v>
      </c>
      <c r="G46" s="120"/>
      <c r="H46" s="130"/>
      <c r="I46" s="83" t="n">
        <v>1479</v>
      </c>
      <c r="J46" s="0"/>
      <c r="K46" s="0"/>
      <c r="L46" s="0"/>
    </row>
    <row r="47" customFormat="false" ht="13" hidden="false" customHeight="false" outlineLevel="1" collapsed="false">
      <c r="F47" s="67" t="s">
        <v>70</v>
      </c>
      <c r="G47" s="120"/>
      <c r="H47" s="130"/>
      <c r="I47" s="83" t="n">
        <v>1440</v>
      </c>
      <c r="J47" s="0"/>
      <c r="K47" s="0"/>
      <c r="L47" s="0"/>
    </row>
    <row r="48" customFormat="false" ht="13" hidden="false" customHeight="false" outlineLevel="1" collapsed="false">
      <c r="F48" s="67" t="s">
        <v>72</v>
      </c>
      <c r="G48" s="120"/>
      <c r="H48" s="117" t="n">
        <v>1425.96</v>
      </c>
      <c r="I48" s="131"/>
      <c r="J48" s="0"/>
      <c r="K48" s="0"/>
      <c r="L48" s="0"/>
    </row>
    <row r="49" customFormat="false" ht="13" hidden="false" customHeight="false" outlineLevel="1" collapsed="false">
      <c r="F49" s="67" t="s">
        <v>76</v>
      </c>
      <c r="G49" s="116" t="n">
        <v>1408.59</v>
      </c>
      <c r="H49" s="130"/>
      <c r="I49" s="131"/>
      <c r="J49" s="0"/>
      <c r="K49" s="0"/>
      <c r="L49" s="0"/>
    </row>
    <row r="50" customFormat="false" ht="13" hidden="false" customHeight="false" outlineLevel="1" collapsed="false">
      <c r="F50" s="67" t="s">
        <v>106</v>
      </c>
      <c r="G50" s="116" t="n">
        <v>882</v>
      </c>
      <c r="H50" s="117" t="n">
        <v>477</v>
      </c>
      <c r="I50" s="131"/>
      <c r="J50" s="0"/>
      <c r="K50" s="0"/>
      <c r="L50" s="0"/>
    </row>
    <row r="51" customFormat="false" ht="13" hidden="false" customHeight="false" outlineLevel="1" collapsed="false">
      <c r="F51" s="67" t="s">
        <v>78</v>
      </c>
      <c r="G51" s="120"/>
      <c r="H51" s="117" t="n">
        <v>1323</v>
      </c>
      <c r="I51" s="131"/>
      <c r="J51" s="0"/>
      <c r="K51" s="0"/>
      <c r="L51" s="0"/>
    </row>
    <row r="52" customFormat="false" ht="13" hidden="false" customHeight="false" outlineLevel="1" collapsed="false">
      <c r="F52" s="67" t="s">
        <v>90</v>
      </c>
      <c r="G52" s="120"/>
      <c r="H52" s="130"/>
      <c r="I52" s="83" t="n">
        <v>1293</v>
      </c>
      <c r="J52" s="0"/>
      <c r="K52" s="0"/>
      <c r="L52" s="0"/>
    </row>
    <row r="53" customFormat="false" ht="13" hidden="false" customHeight="false" outlineLevel="1" collapsed="false">
      <c r="F53" s="67" t="s">
        <v>80</v>
      </c>
      <c r="G53" s="120"/>
      <c r="H53" s="117" t="n">
        <v>1286.16</v>
      </c>
      <c r="I53" s="131"/>
      <c r="J53" s="0"/>
      <c r="K53" s="0"/>
      <c r="L53" s="0"/>
    </row>
    <row r="54" customFormat="false" ht="13" hidden="false" customHeight="false" outlineLevel="1" collapsed="false">
      <c r="F54" s="67" t="s">
        <v>82</v>
      </c>
      <c r="G54" s="120"/>
      <c r="H54" s="130"/>
      <c r="I54" s="83" t="n">
        <v>1269</v>
      </c>
      <c r="J54" s="0"/>
      <c r="K54" s="0"/>
      <c r="L54" s="0"/>
    </row>
    <row r="55" customFormat="false" ht="13" hidden="false" customHeight="false" outlineLevel="1" collapsed="false">
      <c r="F55" s="67" t="s">
        <v>84</v>
      </c>
      <c r="G55" s="120"/>
      <c r="H55" s="117" t="n">
        <v>1215</v>
      </c>
      <c r="I55" s="131"/>
      <c r="J55" s="0"/>
      <c r="K55" s="0"/>
      <c r="L55" s="0"/>
    </row>
    <row r="56" customFormat="false" ht="13" hidden="false" customHeight="false" outlineLevel="1" collapsed="false">
      <c r="F56" s="67" t="s">
        <v>86</v>
      </c>
      <c r="G56" s="120"/>
      <c r="H56" s="130"/>
      <c r="I56" s="83" t="n">
        <v>1144</v>
      </c>
      <c r="J56" s="0"/>
      <c r="K56" s="0"/>
      <c r="L56" s="0"/>
    </row>
    <row r="57" customFormat="false" ht="13" hidden="false" customHeight="false" outlineLevel="1" collapsed="false">
      <c r="F57" s="67" t="s">
        <v>94</v>
      </c>
      <c r="G57" s="120"/>
      <c r="H57" s="117" t="n">
        <v>1058.5</v>
      </c>
      <c r="I57" s="131"/>
      <c r="J57" s="0"/>
      <c r="K57" s="0"/>
      <c r="L57" s="0"/>
    </row>
    <row r="58" customFormat="false" ht="13" hidden="false" customHeight="false" outlineLevel="1" collapsed="false">
      <c r="F58" s="67" t="s">
        <v>96</v>
      </c>
      <c r="G58" s="120"/>
      <c r="H58" s="117" t="n">
        <v>1044</v>
      </c>
      <c r="I58" s="131"/>
      <c r="J58" s="0"/>
      <c r="K58" s="0"/>
      <c r="L58" s="0"/>
    </row>
    <row r="59" customFormat="false" ht="13" hidden="false" customHeight="false" outlineLevel="1" collapsed="false">
      <c r="F59" s="67" t="s">
        <v>139</v>
      </c>
      <c r="G59" s="120"/>
      <c r="H59" s="117" t="n">
        <v>1037.08</v>
      </c>
      <c r="I59" s="131"/>
      <c r="J59" s="0"/>
      <c r="K59" s="0"/>
      <c r="L59" s="0"/>
    </row>
    <row r="60" customFormat="false" ht="13" hidden="false" customHeight="false" outlineLevel="1" collapsed="false">
      <c r="F60" s="67" t="s">
        <v>153</v>
      </c>
      <c r="G60" s="116" t="n">
        <v>594.15</v>
      </c>
      <c r="H60" s="130"/>
      <c r="I60" s="83" t="n">
        <v>414.96</v>
      </c>
      <c r="J60" s="0"/>
      <c r="K60" s="0"/>
      <c r="L60" s="0"/>
    </row>
    <row r="61" customFormat="false" ht="13" hidden="false" customHeight="false" outlineLevel="1" collapsed="false">
      <c r="F61" s="67" t="s">
        <v>104</v>
      </c>
      <c r="G61" s="116" t="n">
        <v>913.5</v>
      </c>
      <c r="H61" s="130"/>
      <c r="I61" s="83" t="n">
        <v>60</v>
      </c>
      <c r="J61" s="0"/>
      <c r="K61" s="0"/>
      <c r="L61" s="0"/>
    </row>
    <row r="62" customFormat="false" ht="13" hidden="false" customHeight="false" outlineLevel="1" collapsed="false">
      <c r="F62" s="67" t="s">
        <v>100</v>
      </c>
      <c r="G62" s="120"/>
      <c r="H62" s="130"/>
      <c r="I62" s="83" t="n">
        <v>913.5</v>
      </c>
      <c r="J62" s="0"/>
      <c r="K62" s="0"/>
      <c r="L62" s="0"/>
    </row>
    <row r="63" customFormat="false" ht="13" hidden="false" customHeight="false" outlineLevel="1" collapsed="false">
      <c r="F63" s="67" t="s">
        <v>155</v>
      </c>
      <c r="G63" s="120"/>
      <c r="H63" s="117" t="n">
        <v>866.66</v>
      </c>
      <c r="I63" s="83" t="n">
        <v>40.5</v>
      </c>
      <c r="J63" s="0"/>
      <c r="K63" s="0"/>
      <c r="L63" s="0"/>
    </row>
    <row r="64" customFormat="false" ht="13" hidden="false" customHeight="false" outlineLevel="1" collapsed="false">
      <c r="F64" s="67" t="s">
        <v>108</v>
      </c>
      <c r="G64" s="120"/>
      <c r="H64" s="130"/>
      <c r="I64" s="83" t="n">
        <v>873.75</v>
      </c>
      <c r="J64" s="0"/>
      <c r="K64" s="0"/>
      <c r="L64" s="0"/>
    </row>
    <row r="65" customFormat="false" ht="13" hidden="false" customHeight="false" outlineLevel="1" collapsed="false">
      <c r="F65" s="67" t="s">
        <v>110</v>
      </c>
      <c r="G65" s="120"/>
      <c r="H65" s="130"/>
      <c r="I65" s="83" t="n">
        <v>850.5</v>
      </c>
      <c r="J65" s="0"/>
      <c r="K65" s="0"/>
      <c r="L65" s="0"/>
    </row>
    <row r="66" customFormat="false" ht="13" hidden="false" customHeight="false" outlineLevel="1" collapsed="false">
      <c r="F66" s="67" t="s">
        <v>167</v>
      </c>
      <c r="G66" s="120"/>
      <c r="H66" s="130"/>
      <c r="I66" s="83" t="n">
        <v>836.5</v>
      </c>
      <c r="J66" s="0"/>
      <c r="K66" s="0"/>
      <c r="L66" s="0"/>
    </row>
    <row r="67" customFormat="false" ht="13" hidden="false" customHeight="false" outlineLevel="1" collapsed="false">
      <c r="F67" s="67" t="s">
        <v>112</v>
      </c>
      <c r="G67" s="120"/>
      <c r="H67" s="130"/>
      <c r="I67" s="83" t="n">
        <v>819</v>
      </c>
      <c r="J67" s="0"/>
      <c r="K67" s="0"/>
      <c r="L67" s="0"/>
    </row>
    <row r="68" customFormat="false" ht="13" hidden="false" customHeight="false" outlineLevel="1" collapsed="false">
      <c r="F68" s="67" t="s">
        <v>186</v>
      </c>
      <c r="G68" s="120"/>
      <c r="H68" s="117" t="n">
        <v>348</v>
      </c>
      <c r="I68" s="83" t="n">
        <v>459</v>
      </c>
      <c r="J68" s="0"/>
      <c r="K68" s="0"/>
      <c r="L68" s="0"/>
    </row>
    <row r="69" customFormat="false" ht="13" hidden="false" customHeight="false" outlineLevel="1" collapsed="false">
      <c r="F69" s="67" t="s">
        <v>114</v>
      </c>
      <c r="G69" s="120"/>
      <c r="H69" s="117" t="n">
        <v>801.99</v>
      </c>
      <c r="I69" s="131"/>
      <c r="J69" s="0"/>
      <c r="K69" s="0"/>
      <c r="L69" s="0"/>
    </row>
    <row r="70" customFormat="false" ht="13" hidden="false" customHeight="false" outlineLevel="1" collapsed="false">
      <c r="F70" s="67" t="s">
        <v>118</v>
      </c>
      <c r="G70" s="120"/>
      <c r="H70" s="130"/>
      <c r="I70" s="83" t="n">
        <v>801</v>
      </c>
      <c r="J70" s="0"/>
      <c r="K70" s="0"/>
      <c r="L70" s="0"/>
    </row>
    <row r="71" customFormat="false" ht="13" hidden="false" customHeight="false" outlineLevel="1" collapsed="false">
      <c r="F71" s="67" t="s">
        <v>120</v>
      </c>
      <c r="G71" s="120"/>
      <c r="H71" s="130"/>
      <c r="I71" s="83" t="n">
        <v>754.92</v>
      </c>
      <c r="J71" s="0"/>
      <c r="K71" s="0"/>
      <c r="L71" s="0"/>
    </row>
    <row r="72" customFormat="false" ht="13" hidden="false" customHeight="false" outlineLevel="1" collapsed="false">
      <c r="F72" s="67" t="s">
        <v>122</v>
      </c>
      <c r="G72" s="116" t="n">
        <v>750</v>
      </c>
      <c r="H72" s="130"/>
      <c r="I72" s="131"/>
      <c r="J72" s="0"/>
      <c r="K72" s="0"/>
      <c r="L72" s="0"/>
    </row>
    <row r="73" customFormat="false" ht="13" hidden="false" customHeight="false" outlineLevel="1" collapsed="false">
      <c r="F73" s="67" t="s">
        <v>124</v>
      </c>
      <c r="G73" s="120"/>
      <c r="H73" s="130"/>
      <c r="I73" s="83" t="n">
        <v>742.5</v>
      </c>
      <c r="J73" s="0"/>
      <c r="K73" s="0"/>
      <c r="L73" s="0"/>
    </row>
    <row r="74" customFormat="false" ht="13" hidden="false" customHeight="false" outlineLevel="1" collapsed="false">
      <c r="F74" s="67" t="s">
        <v>147</v>
      </c>
      <c r="G74" s="120"/>
      <c r="H74" s="117" t="n">
        <v>129.87</v>
      </c>
      <c r="I74" s="83" t="n">
        <v>603</v>
      </c>
      <c r="J74" s="0"/>
      <c r="K74" s="0"/>
      <c r="L74" s="0"/>
    </row>
    <row r="75" customFormat="false" ht="13" hidden="false" customHeight="false" outlineLevel="1" collapsed="false">
      <c r="F75" s="67" t="s">
        <v>135</v>
      </c>
      <c r="G75" s="120"/>
      <c r="H75" s="117" t="n">
        <v>42</v>
      </c>
      <c r="I75" s="83" t="n">
        <v>675</v>
      </c>
      <c r="J75" s="0"/>
      <c r="K75" s="0"/>
      <c r="L75" s="0"/>
    </row>
    <row r="76" customFormat="false" ht="13" hidden="false" customHeight="false" outlineLevel="1" collapsed="false">
      <c r="F76" s="67" t="s">
        <v>143</v>
      </c>
      <c r="G76" s="120"/>
      <c r="H76" s="117" t="n">
        <v>72</v>
      </c>
      <c r="I76" s="83" t="n">
        <v>642.45</v>
      </c>
      <c r="J76" s="0"/>
      <c r="K76" s="0"/>
      <c r="L76" s="0"/>
    </row>
    <row r="77" customFormat="false" ht="13" hidden="false" customHeight="false" outlineLevel="1" collapsed="false">
      <c r="F77" s="67" t="s">
        <v>131</v>
      </c>
      <c r="G77" s="120"/>
      <c r="H77" s="117" t="n">
        <v>678.3</v>
      </c>
      <c r="I77" s="131"/>
      <c r="J77" s="0"/>
      <c r="K77" s="0"/>
      <c r="L77" s="0"/>
    </row>
    <row r="78" customFormat="false" ht="13" hidden="false" customHeight="false" outlineLevel="1" collapsed="false">
      <c r="F78" s="67" t="s">
        <v>133</v>
      </c>
      <c r="G78" s="120"/>
      <c r="H78" s="130"/>
      <c r="I78" s="83" t="n">
        <v>678</v>
      </c>
      <c r="J78" s="0"/>
      <c r="K78" s="0"/>
      <c r="L78" s="0"/>
    </row>
    <row r="79" customFormat="false" ht="13" hidden="false" customHeight="false" outlineLevel="1" collapsed="false">
      <c r="F79" s="67" t="s">
        <v>201</v>
      </c>
      <c r="G79" s="120"/>
      <c r="H79" s="117" t="n">
        <v>645.63</v>
      </c>
      <c r="I79" s="131"/>
      <c r="J79" s="0"/>
      <c r="K79" s="0"/>
      <c r="L79" s="0"/>
    </row>
    <row r="80" customFormat="false" ht="13" hidden="false" customHeight="false" outlineLevel="1" collapsed="false">
      <c r="F80" s="67" t="s">
        <v>137</v>
      </c>
      <c r="G80" s="120"/>
      <c r="H80" s="117" t="n">
        <v>621</v>
      </c>
      <c r="I80" s="131"/>
      <c r="J80" s="0"/>
      <c r="K80" s="0"/>
      <c r="L80" s="0"/>
    </row>
    <row r="81" customFormat="false" ht="13" hidden="false" customHeight="false" outlineLevel="1" collapsed="false">
      <c r="F81" s="67" t="s">
        <v>141</v>
      </c>
      <c r="G81" s="120"/>
      <c r="H81" s="130"/>
      <c r="I81" s="83" t="n">
        <v>617.5</v>
      </c>
      <c r="J81" s="0"/>
      <c r="K81" s="0"/>
      <c r="L81" s="0"/>
    </row>
    <row r="82" customFormat="false" ht="13" hidden="false" customHeight="false" outlineLevel="1" collapsed="false">
      <c r="F82" s="67" t="s">
        <v>145</v>
      </c>
      <c r="G82" s="120"/>
      <c r="H82" s="117" t="n">
        <v>604.5</v>
      </c>
      <c r="I82" s="131"/>
      <c r="J82" s="0"/>
      <c r="K82" s="0"/>
      <c r="L82" s="0"/>
    </row>
    <row r="83" customFormat="false" ht="13" hidden="false" customHeight="false" outlineLevel="1" collapsed="false">
      <c r="F83" s="67" t="s">
        <v>149</v>
      </c>
      <c r="G83" s="120"/>
      <c r="H83" s="117" t="n">
        <v>602.49</v>
      </c>
      <c r="I83" s="131"/>
      <c r="J83" s="0"/>
      <c r="K83" s="0"/>
      <c r="L83" s="0"/>
    </row>
    <row r="84" customFormat="false" ht="13" hidden="false" customHeight="false" outlineLevel="1" collapsed="false">
      <c r="F84" s="67" t="s">
        <v>151</v>
      </c>
      <c r="G84" s="120"/>
      <c r="H84" s="130"/>
      <c r="I84" s="83" t="n">
        <v>600</v>
      </c>
      <c r="J84" s="0"/>
      <c r="K84" s="0"/>
      <c r="L84" s="0"/>
    </row>
    <row r="85" customFormat="false" ht="13" hidden="false" customHeight="false" outlineLevel="1" collapsed="false">
      <c r="F85" s="67" t="s">
        <v>157</v>
      </c>
      <c r="G85" s="120"/>
      <c r="H85" s="130"/>
      <c r="I85" s="83" t="n">
        <v>573.18</v>
      </c>
      <c r="J85" s="0"/>
      <c r="K85" s="0"/>
      <c r="L85" s="0"/>
    </row>
    <row r="86" customFormat="false" ht="13" hidden="false" customHeight="false" outlineLevel="1" collapsed="false">
      <c r="F86" s="67" t="s">
        <v>159</v>
      </c>
      <c r="G86" s="120"/>
      <c r="H86" s="130"/>
      <c r="I86" s="83" t="n">
        <v>567</v>
      </c>
      <c r="J86" s="0"/>
      <c r="K86" s="0"/>
      <c r="L86" s="0"/>
    </row>
    <row r="87" customFormat="false" ht="13" hidden="false" customHeight="false" outlineLevel="1" collapsed="false">
      <c r="F87" s="67" t="s">
        <v>161</v>
      </c>
      <c r="G87" s="120"/>
      <c r="H87" s="130"/>
      <c r="I87" s="83" t="n">
        <v>546.63</v>
      </c>
      <c r="J87" s="0"/>
      <c r="K87" s="0"/>
      <c r="L87" s="0"/>
    </row>
    <row r="88" customFormat="false" ht="13" hidden="false" customHeight="false" outlineLevel="1" collapsed="false">
      <c r="F88" s="67" t="s">
        <v>163</v>
      </c>
      <c r="G88" s="120"/>
      <c r="H88" s="117" t="n">
        <v>537</v>
      </c>
      <c r="I88" s="131"/>
      <c r="J88" s="0"/>
      <c r="K88" s="0"/>
      <c r="L88" s="0"/>
    </row>
    <row r="89" customFormat="false" ht="13" hidden="false" customHeight="false" outlineLevel="1" collapsed="false">
      <c r="F89" s="67" t="s">
        <v>169</v>
      </c>
      <c r="G89" s="120"/>
      <c r="H89" s="117" t="n">
        <v>534</v>
      </c>
      <c r="I89" s="131"/>
      <c r="J89" s="0"/>
      <c r="K89" s="0"/>
      <c r="L89" s="0"/>
    </row>
    <row r="90" customFormat="false" ht="13" hidden="false" customHeight="false" outlineLevel="1" collapsed="false">
      <c r="F90" s="67" t="s">
        <v>171</v>
      </c>
      <c r="G90" s="120"/>
      <c r="H90" s="130"/>
      <c r="I90" s="83" t="n">
        <v>522.69</v>
      </c>
      <c r="J90" s="0"/>
      <c r="K90" s="0"/>
      <c r="L90" s="0"/>
    </row>
    <row r="91" customFormat="false" ht="13" hidden="false" customHeight="false" outlineLevel="1" collapsed="false">
      <c r="F91" s="67" t="s">
        <v>173</v>
      </c>
      <c r="G91" s="120"/>
      <c r="H91" s="130"/>
      <c r="I91" s="83" t="n">
        <v>500.5</v>
      </c>
      <c r="J91" s="0"/>
      <c r="K91" s="0"/>
      <c r="L91" s="0"/>
    </row>
    <row r="92" customFormat="false" ht="13" hidden="false" customHeight="false" outlineLevel="1" collapsed="false">
      <c r="F92" s="67" t="s">
        <v>175</v>
      </c>
      <c r="G92" s="120"/>
      <c r="H92" s="117" t="n">
        <v>492</v>
      </c>
      <c r="I92" s="131"/>
      <c r="J92" s="0"/>
      <c r="K92" s="0"/>
      <c r="L92" s="0"/>
    </row>
    <row r="93" customFormat="false" ht="13" hidden="false" customHeight="false" outlineLevel="1" collapsed="false">
      <c r="F93" s="67" t="s">
        <v>178</v>
      </c>
      <c r="G93" s="120"/>
      <c r="H93" s="117" t="n">
        <v>486.78</v>
      </c>
      <c r="I93" s="131"/>
      <c r="J93" s="0"/>
      <c r="K93" s="0"/>
      <c r="L93" s="0"/>
    </row>
    <row r="94" customFormat="false" ht="13" hidden="false" customHeight="false" outlineLevel="1" collapsed="false">
      <c r="F94" s="67" t="s">
        <v>182</v>
      </c>
      <c r="G94" s="120"/>
      <c r="H94" s="130"/>
      <c r="I94" s="83" t="n">
        <v>468.33</v>
      </c>
      <c r="J94" s="0"/>
      <c r="K94" s="0"/>
      <c r="L94" s="0"/>
    </row>
    <row r="95" customFormat="false" ht="13" hidden="false" customHeight="false" outlineLevel="1" collapsed="false">
      <c r="F95" s="67" t="s">
        <v>184</v>
      </c>
      <c r="G95" s="116" t="n">
        <v>461.5</v>
      </c>
      <c r="H95" s="130"/>
      <c r="I95" s="131"/>
      <c r="J95" s="0"/>
      <c r="K95" s="0"/>
      <c r="L95" s="0"/>
    </row>
    <row r="96" customFormat="false" ht="13" hidden="false" customHeight="false" outlineLevel="1" collapsed="false">
      <c r="F96" s="67" t="s">
        <v>188</v>
      </c>
      <c r="G96" s="120"/>
      <c r="H96" s="117" t="n">
        <v>423</v>
      </c>
      <c r="I96" s="131"/>
      <c r="J96" s="0"/>
      <c r="K96" s="0"/>
      <c r="L96" s="0"/>
    </row>
    <row r="97" customFormat="false" ht="13" hidden="false" customHeight="false" outlineLevel="1" collapsed="false">
      <c r="F97" s="67" t="s">
        <v>190</v>
      </c>
      <c r="G97" s="120"/>
      <c r="H97" s="117" t="n">
        <v>422.5</v>
      </c>
      <c r="I97" s="131"/>
      <c r="J97" s="0"/>
      <c r="K97" s="0"/>
      <c r="L97" s="0"/>
    </row>
    <row r="98" customFormat="false" ht="13" hidden="false" customHeight="false" outlineLevel="1" collapsed="false">
      <c r="F98" s="67" t="s">
        <v>193</v>
      </c>
      <c r="G98" s="120"/>
      <c r="H98" s="117" t="n">
        <v>416</v>
      </c>
      <c r="I98" s="131"/>
      <c r="J98" s="0"/>
      <c r="K98" s="0"/>
      <c r="L98" s="0"/>
    </row>
    <row r="99" customFormat="false" ht="13" hidden="false" customHeight="false" outlineLevel="1" collapsed="false">
      <c r="F99" s="67" t="s">
        <v>197</v>
      </c>
      <c r="G99" s="120"/>
      <c r="H99" s="130"/>
      <c r="I99" s="83" t="n">
        <v>409.59</v>
      </c>
      <c r="J99" s="0"/>
      <c r="K99" s="0"/>
      <c r="L99" s="0"/>
    </row>
    <row r="100" customFormat="false" ht="13" hidden="false" customHeight="false" outlineLevel="1" collapsed="false">
      <c r="F100" s="67" t="s">
        <v>199</v>
      </c>
      <c r="G100" s="120"/>
      <c r="H100" s="117" t="n">
        <v>405</v>
      </c>
      <c r="I100" s="131"/>
      <c r="J100" s="0"/>
      <c r="K100" s="0"/>
      <c r="L100" s="0"/>
    </row>
    <row r="101" customFormat="false" ht="13" hidden="false" customHeight="false" outlineLevel="1" collapsed="false">
      <c r="F101" s="67" t="s">
        <v>203</v>
      </c>
      <c r="G101" s="120"/>
      <c r="H101" s="117" t="n">
        <v>382.5</v>
      </c>
      <c r="I101" s="131"/>
      <c r="J101" s="0"/>
      <c r="K101" s="0"/>
      <c r="L101" s="0"/>
    </row>
    <row r="102" customFormat="false" ht="13" hidden="false" customHeight="false" outlineLevel="1" collapsed="false">
      <c r="F102" s="67" t="s">
        <v>206</v>
      </c>
      <c r="G102" s="120"/>
      <c r="H102" s="130"/>
      <c r="I102" s="83" t="n">
        <v>336</v>
      </c>
      <c r="J102" s="0"/>
      <c r="K102" s="0"/>
      <c r="L102" s="0"/>
    </row>
    <row r="103" customFormat="false" ht="13" hidden="false" customHeight="false" outlineLevel="1" collapsed="false">
      <c r="F103" s="67" t="s">
        <v>208</v>
      </c>
      <c r="G103" s="120"/>
      <c r="H103" s="117" t="n">
        <v>319.2</v>
      </c>
      <c r="I103" s="131"/>
      <c r="J103" s="0"/>
      <c r="K103" s="0"/>
      <c r="L103" s="0"/>
    </row>
    <row r="104" customFormat="false" ht="13" hidden="false" customHeight="false" outlineLevel="1" collapsed="false">
      <c r="F104" s="67" t="s">
        <v>210</v>
      </c>
      <c r="G104" s="120"/>
      <c r="H104" s="117" t="n">
        <v>312</v>
      </c>
      <c r="I104" s="131"/>
      <c r="J104" s="0"/>
      <c r="K104" s="0"/>
      <c r="L104" s="0"/>
    </row>
    <row r="105" customFormat="false" ht="13" hidden="false" customHeight="false" outlineLevel="1" collapsed="false">
      <c r="F105" s="67" t="s">
        <v>219</v>
      </c>
      <c r="G105" s="120"/>
      <c r="H105" s="117" t="n">
        <v>276</v>
      </c>
      <c r="I105" s="131"/>
      <c r="J105" s="0"/>
      <c r="K105" s="0"/>
      <c r="L105" s="0"/>
    </row>
    <row r="106" customFormat="false" ht="13" hidden="false" customHeight="false" outlineLevel="1" collapsed="false">
      <c r="F106" s="67" t="s">
        <v>214</v>
      </c>
      <c r="G106" s="120"/>
      <c r="H106" s="130"/>
      <c r="I106" s="83" t="n">
        <v>261</v>
      </c>
      <c r="J106" s="0"/>
      <c r="K106" s="0"/>
      <c r="L106" s="0"/>
    </row>
    <row r="107" customFormat="false" ht="13" hidden="false" customHeight="false" outlineLevel="1" collapsed="false">
      <c r="F107" s="67" t="s">
        <v>216</v>
      </c>
      <c r="G107" s="120"/>
      <c r="H107" s="117" t="n">
        <v>259.35</v>
      </c>
      <c r="I107" s="131"/>
      <c r="J107" s="0"/>
      <c r="K107" s="0"/>
      <c r="L107" s="0"/>
    </row>
    <row r="108" customFormat="false" ht="13" hidden="false" customHeight="false" outlineLevel="1" collapsed="false">
      <c r="F108" s="67" t="s">
        <v>221</v>
      </c>
      <c r="G108" s="120"/>
      <c r="H108" s="130"/>
      <c r="I108" s="83" t="n">
        <v>231</v>
      </c>
      <c r="J108" s="0"/>
      <c r="K108" s="0"/>
      <c r="L108" s="0"/>
    </row>
    <row r="109" customFormat="false" ht="13" hidden="false" customHeight="false" outlineLevel="1" collapsed="false">
      <c r="F109" s="67" t="s">
        <v>223</v>
      </c>
      <c r="G109" s="120"/>
      <c r="H109" s="117" t="n">
        <v>227.43</v>
      </c>
      <c r="I109" s="131"/>
      <c r="J109" s="0"/>
      <c r="K109" s="0"/>
      <c r="L109" s="0"/>
    </row>
    <row r="110" customFormat="false" ht="13" hidden="false" customHeight="false" outlineLevel="1" collapsed="false">
      <c r="F110" s="67" t="s">
        <v>225</v>
      </c>
      <c r="G110" s="120"/>
      <c r="H110" s="117" t="n">
        <v>219.78</v>
      </c>
      <c r="I110" s="131"/>
      <c r="J110" s="0"/>
      <c r="K110" s="0"/>
      <c r="L110" s="0"/>
    </row>
    <row r="111" customFormat="false" ht="13" hidden="false" customHeight="false" outlineLevel="1" collapsed="false">
      <c r="F111" s="67" t="s">
        <v>229</v>
      </c>
      <c r="G111" s="120"/>
      <c r="H111" s="117" t="n">
        <v>143</v>
      </c>
      <c r="I111" s="131"/>
      <c r="J111" s="0"/>
      <c r="K111" s="0"/>
      <c r="L111" s="0"/>
    </row>
    <row r="112" customFormat="false" ht="13" hidden="false" customHeight="false" outlineLevel="1" collapsed="false">
      <c r="F112" s="67" t="s">
        <v>231</v>
      </c>
      <c r="G112" s="120"/>
      <c r="H112" s="130"/>
      <c r="I112" s="83" t="n">
        <v>139.86</v>
      </c>
      <c r="J112" s="0"/>
      <c r="K112" s="0"/>
      <c r="L112" s="0"/>
    </row>
    <row r="113" customFormat="false" ht="13" hidden="false" customHeight="false" outlineLevel="1" collapsed="false">
      <c r="F113" s="67" t="s">
        <v>234</v>
      </c>
      <c r="G113" s="120"/>
      <c r="H113" s="117" t="n">
        <v>111.72</v>
      </c>
      <c r="I113" s="131"/>
      <c r="J113" s="0"/>
      <c r="K113" s="0"/>
      <c r="L113" s="0"/>
    </row>
    <row r="114" customFormat="false" ht="13" hidden="false" customHeight="false" outlineLevel="1" collapsed="false">
      <c r="F114" s="67" t="s">
        <v>238</v>
      </c>
      <c r="G114" s="116" t="n">
        <v>54</v>
      </c>
      <c r="H114" s="130"/>
      <c r="I114" s="131"/>
      <c r="J114" s="0"/>
      <c r="K114" s="0"/>
      <c r="L114" s="0"/>
    </row>
    <row r="115" customFormat="false" ht="13" hidden="false" customHeight="false" outlineLevel="1" collapsed="false">
      <c r="F115" s="67" t="s">
        <v>240</v>
      </c>
      <c r="G115" s="120"/>
      <c r="H115" s="130"/>
      <c r="I115" s="83" t="n">
        <v>45</v>
      </c>
      <c r="J115" s="0"/>
      <c r="K115" s="0"/>
      <c r="L115" s="0"/>
    </row>
    <row r="116" customFormat="false" ht="13" hidden="false" customHeight="false" outlineLevel="1" collapsed="false">
      <c r="F116" s="67" t="s">
        <v>245</v>
      </c>
      <c r="G116" s="132"/>
      <c r="H116" s="133"/>
      <c r="I116" s="134" t="n">
        <v>31.5</v>
      </c>
      <c r="J116" s="0"/>
      <c r="K116" s="0"/>
      <c r="L116" s="0"/>
    </row>
    <row r="117" customFormat="false" ht="13" hidden="false" customHeight="false" outlineLevel="1" collapsed="false">
      <c r="F117" s="87" t="s">
        <v>278</v>
      </c>
      <c r="G117" s="125" t="n">
        <v>10356.24</v>
      </c>
      <c r="H117" s="126" t="n">
        <v>37801.52</v>
      </c>
      <c r="I117" s="135" t="n">
        <v>34385.35</v>
      </c>
      <c r="J117" s="0"/>
      <c r="K117" s="0"/>
      <c r="L117" s="0"/>
    </row>
    <row r="118" customFormat="false" ht="13" hidden="false" customHeight="false" outlineLevel="1" collapsed="false"/>
    <row r="119" customFormat="false" ht="13" hidden="false" customHeight="false" outlineLevel="1" collapsed="false"/>
    <row r="120" customFormat="false" ht="13" hidden="false" customHeight="false" outlineLevel="0" collapsed="false"/>
    <row r="121" customFormat="false" ht="13" hidden="false" customHeight="false" outlineLevel="0" collapsed="false"/>
    <row r="122" customFormat="false" ht="13" hidden="false" customHeight="false" outlineLevel="0" collapsed="false"/>
    <row r="123" customFormat="false" ht="13" hidden="false" customHeight="false" outlineLevel="0" collapsed="false"/>
    <row r="124" customFormat="false" ht="13" hidden="false" customHeight="false" outlineLevel="0" collapsed="false"/>
    <row r="125" customFormat="false" ht="13" hidden="false" customHeight="false" outlineLevel="0" collapsed="false"/>
    <row r="126" customFormat="false" ht="13" hidden="false" customHeight="false" outlineLevel="0" collapsed="false"/>
    <row r="127" customFormat="false" ht="13" hidden="false" customHeight="false" outlineLevel="0" collapsed="false"/>
    <row r="128" customFormat="false" ht="13" hidden="false" customHeight="false" outlineLevel="0" collapsed="false"/>
    <row r="129" customFormat="false" ht="13" hidden="false" customHeight="false" outlineLevel="0" collapsed="false"/>
    <row r="130" customFormat="false" ht="13" hidden="false" customHeight="false" outlineLevel="0" collapsed="false"/>
    <row r="131" customFormat="false" ht="13" hidden="false" customHeight="false" outlineLevel="0" collapsed="false"/>
    <row r="132" customFormat="false" ht="13" hidden="false" customHeight="false" outlineLevel="0" collapsed="false"/>
    <row r="133" customFormat="false" ht="13" hidden="false" customHeight="false" outlineLevel="0" collapsed="false"/>
    <row r="134" customFormat="false" ht="13" hidden="false" customHeight="false" outlineLevel="0" collapsed="false"/>
    <row r="135" customFormat="false" ht="13" hidden="false" customHeight="false" outlineLevel="0" collapsed="false"/>
    <row r="136" customFormat="false" ht="13" hidden="false" customHeight="false" outlineLevel="0" collapsed="false"/>
    <row r="137" customFormat="false" ht="13" hidden="false" customHeight="false" outlineLevel="0" collapsed="false"/>
    <row r="138" customFormat="false" ht="13" hidden="false" customHeight="false" outlineLevel="0" collapsed="false"/>
    <row r="139" customFormat="false" ht="13" hidden="false" customHeight="false" outlineLevel="0" collapsed="false"/>
    <row r="140" customFormat="false" ht="13" hidden="false" customHeight="false" outlineLevel="0" collapsed="false"/>
    <row r="141" customFormat="false" ht="13" hidden="false" customHeight="false" outlineLevel="0" collapsed="false"/>
    <row r="142" customFormat="false" ht="13" hidden="false" customHeight="false" outlineLevel="0" collapsed="false"/>
    <row r="143" customFormat="false" ht="13" hidden="false" customHeight="false" outlineLevel="0" collapsed="false"/>
    <row r="144" customFormat="false" ht="13" hidden="false" customHeight="false" outlineLevel="0" collapsed="false"/>
    <row r="145" customFormat="false" ht="13" hidden="false" customHeight="false" outlineLevel="0" collapsed="false"/>
    <row r="146" customFormat="false" ht="13" hidden="false" customHeight="false" outlineLevel="0" collapsed="false"/>
    <row r="147" customFormat="false" ht="13" hidden="false" customHeight="false" outlineLevel="0" collapsed="false"/>
    <row r="148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4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G2" activeCellId="0" sqref="G2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31.34"/>
    <col collapsed="false" customWidth="true" hidden="false" outlineLevel="0" max="7" min="7" style="2" width="20.66"/>
    <col collapsed="false" customWidth="true" hidden="false" outlineLevel="0" max="8" min="8" style="2" width="15.33"/>
    <col collapsed="false" customWidth="true" hidden="false" outlineLevel="0" max="9" min="9" style="2" width="14.33"/>
    <col collapsed="false" customWidth="true" hidden="false" outlineLevel="0" max="10" min="10" style="2" width="15.78"/>
    <col collapsed="false" customWidth="true" hidden="false" outlineLevel="0" max="11" min="11" style="2" width="14.33"/>
    <col collapsed="false" customWidth="true" hidden="false" outlineLevel="0" max="1025" min="12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7 - Slicers</v>
      </c>
    </row>
    <row r="7" customFormat="false" ht="18.5" hidden="false" customHeight="false" outlineLevel="0" collapsed="false">
      <c r="B7" s="43" t="s">
        <v>313</v>
      </c>
    </row>
    <row r="8" customFormat="false" ht="13" hidden="true" customHeight="false" outlineLevel="1" collapsed="false">
      <c r="F8" s="44" t="s">
        <v>314</v>
      </c>
    </row>
    <row r="9" customFormat="false" ht="13" hidden="true" customHeight="false" outlineLevel="1" collapsed="false">
      <c r="F9" s="61" t="s">
        <v>21</v>
      </c>
      <c r="G9" s="62" t="s">
        <v>271</v>
      </c>
    </row>
    <row r="10" customFormat="false" ht="13" hidden="true" customHeight="false" outlineLevel="1" collapsed="false">
      <c r="F10" s="65" t="s">
        <v>54</v>
      </c>
      <c r="G10" s="72" t="n">
        <v>1765</v>
      </c>
    </row>
    <row r="11" customFormat="false" ht="13" hidden="true" customHeight="false" outlineLevel="1" collapsed="false">
      <c r="F11" s="67" t="s">
        <v>31</v>
      </c>
      <c r="G11" s="73" t="n">
        <v>1444</v>
      </c>
    </row>
    <row r="12" customFormat="false" ht="13" hidden="true" customHeight="false" outlineLevel="1" collapsed="false">
      <c r="F12" s="67" t="s">
        <v>102</v>
      </c>
      <c r="G12" s="73" t="n">
        <v>1357</v>
      </c>
    </row>
    <row r="13" customFormat="false" ht="13" hidden="true" customHeight="false" outlineLevel="1" collapsed="false">
      <c r="F13" s="67" t="s">
        <v>116</v>
      </c>
      <c r="G13" s="73" t="n">
        <v>1246</v>
      </c>
    </row>
    <row r="14" customFormat="false" ht="13" hidden="true" customHeight="false" outlineLevel="1" collapsed="false">
      <c r="F14" s="67" t="s">
        <v>74</v>
      </c>
      <c r="G14" s="73" t="n">
        <v>1011</v>
      </c>
    </row>
    <row r="15" customFormat="false" ht="13" hidden="true" customHeight="false" outlineLevel="1" collapsed="false">
      <c r="F15" s="67" t="s">
        <v>165</v>
      </c>
      <c r="G15" s="73" t="n">
        <v>1008</v>
      </c>
    </row>
    <row r="16" customFormat="false" ht="13" hidden="true" customHeight="false" outlineLevel="1" collapsed="false">
      <c r="F16" s="67" t="s">
        <v>50</v>
      </c>
      <c r="G16" s="73" t="n">
        <v>932</v>
      </c>
    </row>
    <row r="17" customFormat="false" ht="13" hidden="true" customHeight="false" outlineLevel="1" collapsed="false">
      <c r="F17" s="67" t="s">
        <v>92</v>
      </c>
      <c r="G17" s="73" t="n">
        <v>784</v>
      </c>
    </row>
    <row r="18" customFormat="false" ht="13" hidden="true" customHeight="false" outlineLevel="1" collapsed="false">
      <c r="F18" s="67" t="s">
        <v>88</v>
      </c>
      <c r="G18" s="73" t="n">
        <v>746</v>
      </c>
    </row>
    <row r="19" customFormat="false" ht="13" hidden="true" customHeight="false" outlineLevel="1" collapsed="false">
      <c r="F19" s="67" t="s">
        <v>126</v>
      </c>
      <c r="G19" s="94" t="n">
        <v>676</v>
      </c>
    </row>
    <row r="20" customFormat="false" ht="13" hidden="true" customHeight="false" outlineLevel="1" collapsed="false">
      <c r="F20" s="87" t="s">
        <v>278</v>
      </c>
      <c r="G20" s="97" t="n">
        <v>10969</v>
      </c>
    </row>
    <row r="21" customFormat="false" ht="12.5" hidden="true" customHeight="false" outlineLevel="1" collapsed="false"/>
    <row r="22" customFormat="false" ht="12.5" hidden="true" customHeight="false" outlineLevel="1" collapsed="false"/>
    <row r="23" customFormat="false" ht="12.5" hidden="true" customHeight="false" outlineLevel="1" collapsed="false"/>
    <row r="24" customFormat="false" ht="18.5" hidden="false" customHeight="false" outlineLevel="0" collapsed="false">
      <c r="B24" s="43" t="s">
        <v>315</v>
      </c>
    </row>
    <row r="25" customFormat="false" ht="13" hidden="true" customHeight="false" outlineLevel="1" collapsed="false">
      <c r="F25" s="44" t="s">
        <v>316</v>
      </c>
    </row>
    <row r="26" customFormat="false" ht="13" hidden="true" customHeight="false" outlineLevel="1" collapsed="false">
      <c r="F26" s="61" t="s">
        <v>19</v>
      </c>
      <c r="G26" s="62" t="s">
        <v>270</v>
      </c>
    </row>
    <row r="27" customFormat="false" ht="13" hidden="true" customHeight="false" outlineLevel="1" collapsed="false">
      <c r="F27" s="65" t="s">
        <v>29</v>
      </c>
      <c r="G27" s="66" t="n">
        <v>3016</v>
      </c>
    </row>
    <row r="28" customFormat="false" ht="13" hidden="true" customHeight="false" outlineLevel="1" collapsed="false">
      <c r="F28" s="67" t="s">
        <v>34</v>
      </c>
      <c r="G28" s="68" t="n">
        <v>2856.5</v>
      </c>
    </row>
    <row r="29" customFormat="false" ht="13" hidden="true" customHeight="false" outlineLevel="1" collapsed="false">
      <c r="F29" s="67" t="s">
        <v>40</v>
      </c>
      <c r="G29" s="68" t="n">
        <v>2845.59</v>
      </c>
    </row>
    <row r="30" customFormat="false" ht="13" hidden="true" customHeight="false" outlineLevel="1" collapsed="false">
      <c r="F30" s="67" t="s">
        <v>48</v>
      </c>
      <c r="G30" s="68" t="n">
        <v>2628.27</v>
      </c>
    </row>
    <row r="31" customFormat="false" ht="13" hidden="true" customHeight="false" outlineLevel="1" collapsed="false">
      <c r="F31" s="67" t="s">
        <v>37</v>
      </c>
      <c r="G31" s="68" t="n">
        <v>2552</v>
      </c>
    </row>
    <row r="32" customFormat="false" ht="13" hidden="true" customHeight="false" outlineLevel="1" collapsed="false">
      <c r="F32" s="67" t="s">
        <v>42</v>
      </c>
      <c r="G32" s="68" t="n">
        <v>2407</v>
      </c>
    </row>
    <row r="33" customFormat="false" ht="13" hidden="true" customHeight="false" outlineLevel="1" collapsed="false">
      <c r="F33" s="67" t="s">
        <v>44</v>
      </c>
      <c r="G33" s="68" t="n">
        <v>2276.5</v>
      </c>
    </row>
    <row r="34" customFormat="false" ht="13" hidden="true" customHeight="false" outlineLevel="1" collapsed="false">
      <c r="F34" s="67" t="s">
        <v>98</v>
      </c>
      <c r="G34" s="68" t="n">
        <v>2106.05</v>
      </c>
    </row>
    <row r="35" customFormat="false" ht="13" hidden="true" customHeight="false" outlineLevel="1" collapsed="false">
      <c r="F35" s="67" t="s">
        <v>46</v>
      </c>
      <c r="G35" s="68" t="n">
        <v>2059</v>
      </c>
    </row>
    <row r="36" customFormat="false" ht="13" hidden="true" customHeight="false" outlineLevel="1" collapsed="false">
      <c r="F36" s="67" t="s">
        <v>52</v>
      </c>
      <c r="G36" s="68" t="n">
        <v>1845</v>
      </c>
    </row>
    <row r="37" customFormat="false" ht="13" hidden="true" customHeight="false" outlineLevel="1" collapsed="false">
      <c r="F37" s="67" t="s">
        <v>56</v>
      </c>
      <c r="G37" s="68" t="n">
        <v>1791</v>
      </c>
    </row>
    <row r="38" customFormat="false" ht="13" hidden="true" customHeight="false" outlineLevel="1" collapsed="false">
      <c r="F38" s="67" t="s">
        <v>60</v>
      </c>
      <c r="G38" s="68" t="n">
        <v>1692</v>
      </c>
    </row>
    <row r="39" customFormat="false" ht="13" hidden="true" customHeight="false" outlineLevel="1" collapsed="false">
      <c r="F39" s="67" t="s">
        <v>58</v>
      </c>
      <c r="G39" s="68" t="n">
        <v>1692</v>
      </c>
    </row>
    <row r="40" customFormat="false" ht="13" hidden="true" customHeight="false" outlineLevel="1" collapsed="false">
      <c r="F40" s="67" t="s">
        <v>62</v>
      </c>
      <c r="G40" s="68" t="n">
        <v>1668.33</v>
      </c>
    </row>
    <row r="41" customFormat="false" ht="13" hidden="true" customHeight="false" outlineLevel="1" collapsed="false">
      <c r="F41" s="67" t="s">
        <v>64</v>
      </c>
      <c r="G41" s="68" t="n">
        <v>1628.37</v>
      </c>
    </row>
    <row r="42" customFormat="false" ht="13" hidden="true" customHeight="false" outlineLevel="1" collapsed="false">
      <c r="F42" s="67" t="s">
        <v>66</v>
      </c>
      <c r="G42" s="68" t="n">
        <v>1530</v>
      </c>
    </row>
    <row r="43" customFormat="false" ht="13" hidden="true" customHeight="false" outlineLevel="1" collapsed="false">
      <c r="F43" s="67" t="s">
        <v>68</v>
      </c>
      <c r="G43" s="68" t="n">
        <v>1479</v>
      </c>
    </row>
    <row r="44" customFormat="false" ht="13" hidden="true" customHeight="false" outlineLevel="1" collapsed="false">
      <c r="F44" s="67" t="s">
        <v>70</v>
      </c>
      <c r="G44" s="68" t="n">
        <v>1440</v>
      </c>
    </row>
    <row r="45" customFormat="false" ht="13" hidden="true" customHeight="false" outlineLevel="1" collapsed="false">
      <c r="F45" s="67" t="s">
        <v>72</v>
      </c>
      <c r="G45" s="68" t="n">
        <v>1425.96</v>
      </c>
    </row>
    <row r="46" customFormat="false" ht="13" hidden="true" customHeight="false" outlineLevel="1" collapsed="false">
      <c r="F46" s="67" t="s">
        <v>76</v>
      </c>
      <c r="G46" s="68" t="n">
        <v>1408.59</v>
      </c>
    </row>
    <row r="47" customFormat="false" ht="13" hidden="true" customHeight="false" outlineLevel="1" collapsed="false">
      <c r="F47" s="67" t="s">
        <v>106</v>
      </c>
      <c r="G47" s="68" t="n">
        <v>1359</v>
      </c>
    </row>
    <row r="48" customFormat="false" ht="13" hidden="true" customHeight="false" outlineLevel="1" collapsed="false">
      <c r="F48" s="67" t="s">
        <v>78</v>
      </c>
      <c r="G48" s="68" t="n">
        <v>1323</v>
      </c>
    </row>
    <row r="49" customFormat="false" ht="13" hidden="true" customHeight="false" outlineLevel="1" collapsed="false">
      <c r="F49" s="67" t="s">
        <v>90</v>
      </c>
      <c r="G49" s="68" t="n">
        <v>1293</v>
      </c>
    </row>
    <row r="50" customFormat="false" ht="13" hidden="true" customHeight="false" outlineLevel="1" collapsed="false">
      <c r="F50" s="67" t="s">
        <v>80</v>
      </c>
      <c r="G50" s="68" t="n">
        <v>1286.16</v>
      </c>
    </row>
    <row r="51" customFormat="false" ht="13" hidden="true" customHeight="false" outlineLevel="1" collapsed="false">
      <c r="F51" s="67" t="s">
        <v>82</v>
      </c>
      <c r="G51" s="68" t="n">
        <v>1269</v>
      </c>
    </row>
    <row r="52" customFormat="false" ht="13" hidden="true" customHeight="false" outlineLevel="1" collapsed="false">
      <c r="F52" s="67" t="s">
        <v>84</v>
      </c>
      <c r="G52" s="68" t="n">
        <v>1215</v>
      </c>
    </row>
    <row r="53" customFormat="false" ht="13" hidden="true" customHeight="false" outlineLevel="1" collapsed="false">
      <c r="F53" s="67" t="s">
        <v>86</v>
      </c>
      <c r="G53" s="68" t="n">
        <v>1144</v>
      </c>
    </row>
    <row r="54" customFormat="false" ht="13" hidden="true" customHeight="false" outlineLevel="1" collapsed="false">
      <c r="F54" s="67" t="s">
        <v>94</v>
      </c>
      <c r="G54" s="68" t="n">
        <v>1058.5</v>
      </c>
    </row>
    <row r="55" customFormat="false" ht="13" hidden="true" customHeight="false" outlineLevel="1" collapsed="false">
      <c r="F55" s="67" t="s">
        <v>96</v>
      </c>
      <c r="G55" s="68" t="n">
        <v>1044</v>
      </c>
    </row>
    <row r="56" customFormat="false" ht="13" hidden="true" customHeight="false" outlineLevel="1" collapsed="false">
      <c r="F56" s="67" t="s">
        <v>139</v>
      </c>
      <c r="G56" s="68" t="n">
        <v>1037.08</v>
      </c>
    </row>
    <row r="57" customFormat="false" ht="13" hidden="true" customHeight="false" outlineLevel="1" collapsed="false">
      <c r="F57" s="67" t="s">
        <v>153</v>
      </c>
      <c r="G57" s="68" t="n">
        <v>1009.11</v>
      </c>
    </row>
    <row r="58" customFormat="false" ht="13" hidden="true" customHeight="false" outlineLevel="1" collapsed="false">
      <c r="F58" s="67" t="s">
        <v>104</v>
      </c>
      <c r="G58" s="68" t="n">
        <v>973.5</v>
      </c>
    </row>
    <row r="59" customFormat="false" ht="13" hidden="true" customHeight="false" outlineLevel="1" collapsed="false">
      <c r="F59" s="67" t="s">
        <v>100</v>
      </c>
      <c r="G59" s="68" t="n">
        <v>913.5</v>
      </c>
    </row>
    <row r="60" customFormat="false" ht="13" hidden="true" customHeight="false" outlineLevel="1" collapsed="false">
      <c r="F60" s="67" t="s">
        <v>155</v>
      </c>
      <c r="G60" s="68" t="n">
        <v>907.16</v>
      </c>
    </row>
    <row r="61" customFormat="false" ht="13" hidden="true" customHeight="false" outlineLevel="1" collapsed="false">
      <c r="F61" s="67" t="s">
        <v>108</v>
      </c>
      <c r="G61" s="68" t="n">
        <v>873.75</v>
      </c>
    </row>
    <row r="62" customFormat="false" ht="13" hidden="true" customHeight="false" outlineLevel="1" collapsed="false">
      <c r="F62" s="67" t="s">
        <v>110</v>
      </c>
      <c r="G62" s="68" t="n">
        <v>850.5</v>
      </c>
    </row>
    <row r="63" customFormat="false" ht="13" hidden="true" customHeight="false" outlineLevel="1" collapsed="false">
      <c r="F63" s="67" t="s">
        <v>167</v>
      </c>
      <c r="G63" s="68" t="n">
        <v>836.5</v>
      </c>
    </row>
    <row r="64" customFormat="false" ht="13" hidden="true" customHeight="false" outlineLevel="1" collapsed="false">
      <c r="F64" s="67" t="s">
        <v>112</v>
      </c>
      <c r="G64" s="68" t="n">
        <v>819</v>
      </c>
    </row>
    <row r="65" customFormat="false" ht="13" hidden="true" customHeight="false" outlineLevel="1" collapsed="false">
      <c r="F65" s="67" t="s">
        <v>186</v>
      </c>
      <c r="G65" s="68" t="n">
        <v>807</v>
      </c>
    </row>
    <row r="66" customFormat="false" ht="13" hidden="true" customHeight="false" outlineLevel="1" collapsed="false">
      <c r="F66" s="67" t="s">
        <v>114</v>
      </c>
      <c r="G66" s="68" t="n">
        <v>801.99</v>
      </c>
    </row>
    <row r="67" customFormat="false" ht="13" hidden="true" customHeight="false" outlineLevel="1" collapsed="false">
      <c r="F67" s="67" t="s">
        <v>118</v>
      </c>
      <c r="G67" s="68" t="n">
        <v>801</v>
      </c>
    </row>
    <row r="68" customFormat="false" ht="13" hidden="true" customHeight="false" outlineLevel="1" collapsed="false">
      <c r="F68" s="67" t="s">
        <v>120</v>
      </c>
      <c r="G68" s="68" t="n">
        <v>754.92</v>
      </c>
    </row>
    <row r="69" customFormat="false" ht="13" hidden="true" customHeight="false" outlineLevel="1" collapsed="false">
      <c r="F69" s="67" t="s">
        <v>122</v>
      </c>
      <c r="G69" s="68" t="n">
        <v>750</v>
      </c>
    </row>
    <row r="70" customFormat="false" ht="13" hidden="true" customHeight="false" outlineLevel="1" collapsed="false">
      <c r="F70" s="67" t="s">
        <v>124</v>
      </c>
      <c r="G70" s="68" t="n">
        <v>742.5</v>
      </c>
    </row>
    <row r="71" customFormat="false" ht="13" hidden="true" customHeight="false" outlineLevel="1" collapsed="false">
      <c r="F71" s="67" t="s">
        <v>147</v>
      </c>
      <c r="G71" s="68" t="n">
        <v>732.87</v>
      </c>
    </row>
    <row r="72" customFormat="false" ht="13" hidden="true" customHeight="false" outlineLevel="1" collapsed="false">
      <c r="F72" s="67" t="s">
        <v>135</v>
      </c>
      <c r="G72" s="68" t="n">
        <v>717</v>
      </c>
    </row>
    <row r="73" customFormat="false" ht="13" hidden="true" customHeight="false" outlineLevel="1" collapsed="false">
      <c r="F73" s="67" t="s">
        <v>143</v>
      </c>
      <c r="G73" s="68" t="n">
        <v>714.45</v>
      </c>
    </row>
    <row r="74" customFormat="false" ht="13" hidden="true" customHeight="false" outlineLevel="1" collapsed="false">
      <c r="F74" s="67" t="s">
        <v>131</v>
      </c>
      <c r="G74" s="68" t="n">
        <v>678.3</v>
      </c>
    </row>
    <row r="75" customFormat="false" ht="13" hidden="true" customHeight="false" outlineLevel="1" collapsed="false">
      <c r="F75" s="67" t="s">
        <v>133</v>
      </c>
      <c r="G75" s="68" t="n">
        <v>678</v>
      </c>
    </row>
    <row r="76" customFormat="false" ht="13" hidden="true" customHeight="false" outlineLevel="1" collapsed="false">
      <c r="F76" s="67" t="s">
        <v>201</v>
      </c>
      <c r="G76" s="68" t="n">
        <v>645.63</v>
      </c>
    </row>
    <row r="77" customFormat="false" ht="13" hidden="true" customHeight="false" outlineLevel="1" collapsed="false">
      <c r="F77" s="67" t="s">
        <v>137</v>
      </c>
      <c r="G77" s="68" t="n">
        <v>621</v>
      </c>
    </row>
    <row r="78" customFormat="false" ht="13" hidden="true" customHeight="false" outlineLevel="1" collapsed="false">
      <c r="F78" s="67" t="s">
        <v>141</v>
      </c>
      <c r="G78" s="68" t="n">
        <v>617.5</v>
      </c>
    </row>
    <row r="79" customFormat="false" ht="13" hidden="true" customHeight="false" outlineLevel="1" collapsed="false">
      <c r="F79" s="67" t="s">
        <v>145</v>
      </c>
      <c r="G79" s="68" t="n">
        <v>604.5</v>
      </c>
    </row>
    <row r="80" customFormat="false" ht="13" hidden="true" customHeight="false" outlineLevel="1" collapsed="false">
      <c r="F80" s="67" t="s">
        <v>149</v>
      </c>
      <c r="G80" s="68" t="n">
        <v>602.49</v>
      </c>
    </row>
    <row r="81" customFormat="false" ht="13" hidden="true" customHeight="false" outlineLevel="1" collapsed="false">
      <c r="F81" s="67" t="s">
        <v>151</v>
      </c>
      <c r="G81" s="68" t="n">
        <v>600</v>
      </c>
    </row>
    <row r="82" customFormat="false" ht="13" hidden="true" customHeight="false" outlineLevel="1" collapsed="false">
      <c r="F82" s="67" t="s">
        <v>157</v>
      </c>
      <c r="G82" s="68" t="n">
        <v>573.18</v>
      </c>
    </row>
    <row r="83" customFormat="false" ht="13" hidden="true" customHeight="false" outlineLevel="1" collapsed="false">
      <c r="F83" s="67" t="s">
        <v>159</v>
      </c>
      <c r="G83" s="68" t="n">
        <v>567</v>
      </c>
    </row>
    <row r="84" customFormat="false" ht="13" hidden="true" customHeight="false" outlineLevel="1" collapsed="false">
      <c r="F84" s="67" t="s">
        <v>161</v>
      </c>
      <c r="G84" s="68" t="n">
        <v>546.63</v>
      </c>
    </row>
    <row r="85" customFormat="false" ht="13" hidden="true" customHeight="false" outlineLevel="1" collapsed="false">
      <c r="F85" s="67" t="s">
        <v>163</v>
      </c>
      <c r="G85" s="68" t="n">
        <v>537</v>
      </c>
    </row>
    <row r="86" customFormat="false" ht="13" hidden="true" customHeight="false" outlineLevel="1" collapsed="false">
      <c r="F86" s="67" t="s">
        <v>169</v>
      </c>
      <c r="G86" s="68" t="n">
        <v>534</v>
      </c>
    </row>
    <row r="87" customFormat="false" ht="13" hidden="true" customHeight="false" outlineLevel="1" collapsed="false">
      <c r="F87" s="67" t="s">
        <v>171</v>
      </c>
      <c r="G87" s="68" t="n">
        <v>522.69</v>
      </c>
    </row>
    <row r="88" customFormat="false" ht="13" hidden="true" customHeight="false" outlineLevel="1" collapsed="false">
      <c r="F88" s="67" t="s">
        <v>173</v>
      </c>
      <c r="G88" s="68" t="n">
        <v>500.5</v>
      </c>
    </row>
    <row r="89" customFormat="false" ht="13" hidden="true" customHeight="false" outlineLevel="1" collapsed="false">
      <c r="F89" s="67" t="s">
        <v>175</v>
      </c>
      <c r="G89" s="68" t="n">
        <v>492</v>
      </c>
    </row>
    <row r="90" customFormat="false" ht="13" hidden="true" customHeight="false" outlineLevel="1" collapsed="false">
      <c r="F90" s="67" t="s">
        <v>178</v>
      </c>
      <c r="G90" s="68" t="n">
        <v>486.78</v>
      </c>
    </row>
    <row r="91" customFormat="false" ht="13" hidden="true" customHeight="false" outlineLevel="1" collapsed="false">
      <c r="F91" s="67" t="s">
        <v>182</v>
      </c>
      <c r="G91" s="68" t="n">
        <v>468.33</v>
      </c>
    </row>
    <row r="92" customFormat="false" ht="13" hidden="true" customHeight="false" outlineLevel="1" collapsed="false">
      <c r="F92" s="67" t="s">
        <v>184</v>
      </c>
      <c r="G92" s="68" t="n">
        <v>461.5</v>
      </c>
    </row>
    <row r="93" customFormat="false" ht="13" hidden="true" customHeight="false" outlineLevel="1" collapsed="false">
      <c r="F93" s="67" t="s">
        <v>188</v>
      </c>
      <c r="G93" s="68" t="n">
        <v>423</v>
      </c>
    </row>
    <row r="94" customFormat="false" ht="13" hidden="true" customHeight="false" outlineLevel="1" collapsed="false">
      <c r="F94" s="67" t="s">
        <v>190</v>
      </c>
      <c r="G94" s="68" t="n">
        <v>422.5</v>
      </c>
    </row>
    <row r="95" customFormat="false" ht="13" hidden="true" customHeight="false" outlineLevel="1" collapsed="false">
      <c r="F95" s="67" t="s">
        <v>193</v>
      </c>
      <c r="G95" s="68" t="n">
        <v>416</v>
      </c>
    </row>
    <row r="96" customFormat="false" ht="13" hidden="true" customHeight="false" outlineLevel="1" collapsed="false">
      <c r="F96" s="67" t="s">
        <v>197</v>
      </c>
      <c r="G96" s="68" t="n">
        <v>409.59</v>
      </c>
    </row>
    <row r="97" customFormat="false" ht="13" hidden="true" customHeight="false" outlineLevel="1" collapsed="false">
      <c r="F97" s="67" t="s">
        <v>199</v>
      </c>
      <c r="G97" s="68" t="n">
        <v>405</v>
      </c>
    </row>
    <row r="98" customFormat="false" ht="13" hidden="true" customHeight="false" outlineLevel="1" collapsed="false">
      <c r="F98" s="67" t="s">
        <v>203</v>
      </c>
      <c r="G98" s="68" t="n">
        <v>382.5</v>
      </c>
    </row>
    <row r="99" customFormat="false" ht="13" hidden="true" customHeight="false" outlineLevel="1" collapsed="false">
      <c r="F99" s="67" t="s">
        <v>206</v>
      </c>
      <c r="G99" s="68" t="n">
        <v>336</v>
      </c>
    </row>
    <row r="100" customFormat="false" ht="13" hidden="true" customHeight="false" outlineLevel="1" collapsed="false">
      <c r="F100" s="67" t="s">
        <v>208</v>
      </c>
      <c r="G100" s="68" t="n">
        <v>319.2</v>
      </c>
    </row>
    <row r="101" customFormat="false" ht="13" hidden="true" customHeight="false" outlineLevel="1" collapsed="false">
      <c r="F101" s="67" t="s">
        <v>210</v>
      </c>
      <c r="G101" s="68" t="n">
        <v>312</v>
      </c>
    </row>
    <row r="102" customFormat="false" ht="13" hidden="true" customHeight="false" outlineLevel="1" collapsed="false">
      <c r="F102" s="67" t="s">
        <v>219</v>
      </c>
      <c r="G102" s="68" t="n">
        <v>276</v>
      </c>
    </row>
    <row r="103" customFormat="false" ht="13" hidden="true" customHeight="false" outlineLevel="1" collapsed="false">
      <c r="F103" s="67" t="s">
        <v>214</v>
      </c>
      <c r="G103" s="68" t="n">
        <v>261</v>
      </c>
    </row>
    <row r="104" customFormat="false" ht="13" hidden="true" customHeight="false" outlineLevel="1" collapsed="false">
      <c r="F104" s="67" t="s">
        <v>216</v>
      </c>
      <c r="G104" s="68" t="n">
        <v>259.35</v>
      </c>
    </row>
    <row r="105" customFormat="false" ht="13" hidden="true" customHeight="false" outlineLevel="1" collapsed="false">
      <c r="F105" s="67" t="s">
        <v>221</v>
      </c>
      <c r="G105" s="68" t="n">
        <v>231</v>
      </c>
    </row>
    <row r="106" customFormat="false" ht="13" hidden="true" customHeight="false" outlineLevel="1" collapsed="false">
      <c r="F106" s="67" t="s">
        <v>223</v>
      </c>
      <c r="G106" s="68" t="n">
        <v>227.43</v>
      </c>
    </row>
    <row r="107" customFormat="false" ht="13" hidden="true" customHeight="false" outlineLevel="1" collapsed="false">
      <c r="F107" s="67" t="s">
        <v>225</v>
      </c>
      <c r="G107" s="68" t="n">
        <v>219.78</v>
      </c>
    </row>
    <row r="108" customFormat="false" ht="13" hidden="true" customHeight="false" outlineLevel="1" collapsed="false">
      <c r="F108" s="67" t="s">
        <v>229</v>
      </c>
      <c r="G108" s="68" t="n">
        <v>143</v>
      </c>
    </row>
    <row r="109" customFormat="false" ht="13" hidden="true" customHeight="false" outlineLevel="1" collapsed="false">
      <c r="F109" s="67" t="s">
        <v>231</v>
      </c>
      <c r="G109" s="68" t="n">
        <v>139.86</v>
      </c>
    </row>
    <row r="110" customFormat="false" ht="13" hidden="true" customHeight="false" outlineLevel="1" collapsed="false">
      <c r="F110" s="67" t="s">
        <v>234</v>
      </c>
      <c r="G110" s="68" t="n">
        <v>111.72</v>
      </c>
    </row>
    <row r="111" customFormat="false" ht="13" hidden="true" customHeight="false" outlineLevel="1" collapsed="false">
      <c r="F111" s="67" t="s">
        <v>238</v>
      </c>
      <c r="G111" s="68" t="n">
        <v>54</v>
      </c>
    </row>
    <row r="112" customFormat="false" ht="13" hidden="true" customHeight="false" outlineLevel="1" collapsed="false">
      <c r="F112" s="67" t="s">
        <v>240</v>
      </c>
      <c r="G112" s="68" t="n">
        <v>45</v>
      </c>
    </row>
    <row r="113" customFormat="false" ht="13" hidden="true" customHeight="false" outlineLevel="1" collapsed="false">
      <c r="F113" s="67" t="s">
        <v>245</v>
      </c>
      <c r="G113" s="89" t="n">
        <v>31.5</v>
      </c>
    </row>
    <row r="114" customFormat="false" ht="13" hidden="true" customHeight="false" outlineLevel="1" collapsed="false">
      <c r="F114" s="87" t="s">
        <v>278</v>
      </c>
      <c r="G114" s="88" t="n">
        <v>82543.11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P117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N29" activeCellId="0" sqref="N29"/>
    </sheetView>
  </sheetViews>
  <sheetFormatPr defaultRowHeight="12.5" zeroHeight="false" outlineLevelRow="1" outlineLevelCol="0"/>
  <cols>
    <col collapsed="false" customWidth="true" hidden="false" outlineLevel="0" max="5" min="1" style="2" width="9.34"/>
    <col collapsed="false" customWidth="true" hidden="false" outlineLevel="0" max="6" min="6" style="2" width="31.34"/>
    <col collapsed="false" customWidth="true" hidden="false" outlineLevel="0" max="7" min="7" style="2" width="20.77"/>
    <col collapsed="false" customWidth="true" hidden="false" outlineLevel="0" max="8" min="8" style="2" width="15.33"/>
    <col collapsed="false" customWidth="true" hidden="false" outlineLevel="0" max="9" min="9" style="2" width="16"/>
    <col collapsed="false" customWidth="true" hidden="false" outlineLevel="0" max="10" min="10" style="2" width="15.78"/>
    <col collapsed="false" customWidth="true" hidden="false" outlineLevel="0" max="16" min="11" style="2" width="9.34"/>
    <col collapsed="false" customWidth="true" hidden="false" outlineLevel="0" max="17" min="17" style="2" width="31.34"/>
    <col collapsed="false" customWidth="true" hidden="false" outlineLevel="0" max="18" min="18" style="2" width="20.66"/>
    <col collapsed="false" customWidth="true" hidden="false" outlineLevel="0" max="19" min="19" style="2" width="20.77"/>
    <col collapsed="false" customWidth="true" hidden="false" outlineLevel="0" max="1025" min="20" style="2" width="9.34"/>
  </cols>
  <sheetData>
    <row r="1" customFormat="false" ht="13" hidden="false" customHeight="false" outlineLevel="0" collapsed="false">
      <c r="A1" s="3" t="str">
        <f aca="false">Introduction!A1</f>
        <v>Problem Solving with Excel</v>
      </c>
    </row>
    <row r="2" customFormat="false" ht="13" hidden="false" customHeight="false" outlineLevel="0" collapsed="false">
      <c r="A2" s="3" t="str">
        <f aca="false">Introduction!A2</f>
        <v>Week 3</v>
      </c>
    </row>
    <row r="3" customFormat="false" ht="13" hidden="false" customHeight="false" outlineLevel="0" collapsed="false">
      <c r="A3" s="3" t="str">
        <f aca="false">Introduction!A3</f>
        <v>Pivot Tables</v>
      </c>
    </row>
    <row r="4" customFormat="false" ht="13" hidden="false" customHeight="false" outlineLevel="0" collapsed="false">
      <c r="A4" s="3" t="str">
        <f aca="true">MID(CELL("Filename",I7),SEARCH("]",CELL("Filename",I7),1)+1,100)</f>
        <v>Section 7 - Slicers (ANS)</v>
      </c>
    </row>
    <row r="5" customFormat="false" ht="12.5" hidden="false" customHeight="false" outlineLevel="0" collapsed="false">
      <c r="P5" s="52"/>
    </row>
    <row r="6" customFormat="false" ht="13" hidden="false" customHeight="false" outlineLevel="0" collapsed="false"/>
    <row r="7" customFormat="false" ht="18.5" hidden="false" customHeight="false" outlineLevel="0" collapsed="false">
      <c r="B7" s="43" t="s">
        <v>313</v>
      </c>
    </row>
    <row r="8" customFormat="false" ht="13" hidden="false" customHeight="false" outlineLevel="1" collapsed="false">
      <c r="F8" s="44" t="s">
        <v>314</v>
      </c>
    </row>
    <row r="9" customFormat="false" ht="13" hidden="false" customHeight="false" outlineLevel="1" collapsed="false">
      <c r="F9" s="61" t="s">
        <v>21</v>
      </c>
      <c r="G9" s="62" t="s">
        <v>270</v>
      </c>
    </row>
    <row r="10" customFormat="false" ht="13" hidden="false" customHeight="false" outlineLevel="1" collapsed="false">
      <c r="F10" s="65" t="s">
        <v>92</v>
      </c>
      <c r="G10" s="66" t="n">
        <v>4704</v>
      </c>
    </row>
    <row r="11" customFormat="false" ht="13" hidden="false" customHeight="false" outlineLevel="1" collapsed="false">
      <c r="F11" s="67" t="s">
        <v>88</v>
      </c>
      <c r="G11" s="68" t="n">
        <v>4849</v>
      </c>
    </row>
    <row r="12" customFormat="false" ht="13" hidden="false" customHeight="false" outlineLevel="1" collapsed="false">
      <c r="F12" s="67" t="s">
        <v>54</v>
      </c>
      <c r="G12" s="68" t="n">
        <v>15885</v>
      </c>
    </row>
    <row r="13" customFormat="false" ht="13" hidden="false" customHeight="false" outlineLevel="1" collapsed="false">
      <c r="F13" s="67" t="s">
        <v>165</v>
      </c>
      <c r="G13" s="68" t="n">
        <v>3024</v>
      </c>
    </row>
    <row r="14" customFormat="false" ht="13" hidden="false" customHeight="false" outlineLevel="1" collapsed="false">
      <c r="F14" s="67" t="s">
        <v>116</v>
      </c>
      <c r="G14" s="68" t="n">
        <v>4971.54</v>
      </c>
    </row>
    <row r="15" customFormat="false" ht="13" hidden="false" customHeight="false" outlineLevel="1" collapsed="false">
      <c r="F15" s="67" t="s">
        <v>102</v>
      </c>
      <c r="G15" s="68" t="n">
        <v>6106.5</v>
      </c>
    </row>
    <row r="16" customFormat="false" ht="13" hidden="false" customHeight="false" outlineLevel="1" collapsed="false">
      <c r="F16" s="67" t="s">
        <v>129</v>
      </c>
      <c r="G16" s="68" t="n">
        <v>2645.5</v>
      </c>
    </row>
    <row r="17" customFormat="false" ht="13" hidden="false" customHeight="false" outlineLevel="1" collapsed="false">
      <c r="F17" s="67" t="s">
        <v>50</v>
      </c>
      <c r="G17" s="68" t="n">
        <v>9310.68</v>
      </c>
    </row>
    <row r="18" customFormat="false" ht="13" hidden="false" customHeight="false" outlineLevel="1" collapsed="false">
      <c r="F18" s="67" t="s">
        <v>126</v>
      </c>
      <c r="G18" s="68" t="n">
        <v>3042</v>
      </c>
    </row>
    <row r="19" customFormat="false" ht="13" hidden="false" customHeight="false" outlineLevel="1" collapsed="false">
      <c r="F19" s="67" t="s">
        <v>74</v>
      </c>
      <c r="G19" s="68" t="n">
        <v>7066.89</v>
      </c>
    </row>
    <row r="20" customFormat="false" ht="13" hidden="false" customHeight="false" outlineLevel="1" collapsed="false">
      <c r="F20" s="67" t="s">
        <v>31</v>
      </c>
      <c r="G20" s="89" t="n">
        <v>20938</v>
      </c>
    </row>
    <row r="21" customFormat="false" ht="13" hidden="false" customHeight="false" outlineLevel="1" collapsed="false">
      <c r="F21" s="87" t="s">
        <v>278</v>
      </c>
      <c r="G21" s="88" t="n">
        <v>82543.11</v>
      </c>
    </row>
    <row r="22" customFormat="false" ht="13" hidden="false" customHeight="false" outlineLevel="1" collapsed="false"/>
    <row r="23" customFormat="false" ht="13" hidden="false" customHeight="false" outlineLevel="1" collapsed="false"/>
    <row r="24" customFormat="false" ht="13" hidden="false" customHeight="false" outlineLevel="1" collapsed="false"/>
    <row r="25" customFormat="false" ht="13" hidden="false" customHeight="false" outlineLevel="1" collapsed="false"/>
    <row r="26" customFormat="false" ht="18.5" hidden="false" customHeight="false" outlineLevel="0" collapsed="false">
      <c r="B26" s="43" t="s">
        <v>315</v>
      </c>
    </row>
    <row r="27" customFormat="false" ht="13" hidden="false" customHeight="false" outlineLevel="1" collapsed="false">
      <c r="F27" s="44" t="s">
        <v>316</v>
      </c>
    </row>
    <row r="28" customFormat="false" ht="13" hidden="false" customHeight="false" outlineLevel="1" collapsed="false">
      <c r="F28" s="61" t="s">
        <v>19</v>
      </c>
      <c r="G28" s="62" t="s">
        <v>270</v>
      </c>
    </row>
    <row r="29" customFormat="false" ht="13" hidden="false" customHeight="false" outlineLevel="1" collapsed="false">
      <c r="F29" s="65" t="s">
        <v>29</v>
      </c>
      <c r="G29" s="66" t="n">
        <v>3016</v>
      </c>
    </row>
    <row r="30" customFormat="false" ht="13" hidden="false" customHeight="false" outlineLevel="1" collapsed="false">
      <c r="F30" s="67" t="s">
        <v>34</v>
      </c>
      <c r="G30" s="68" t="n">
        <v>2856.5</v>
      </c>
    </row>
    <row r="31" customFormat="false" ht="13" hidden="false" customHeight="false" outlineLevel="1" collapsed="false">
      <c r="F31" s="67" t="s">
        <v>40</v>
      </c>
      <c r="G31" s="68" t="n">
        <v>2845.59</v>
      </c>
    </row>
    <row r="32" customFormat="false" ht="13" hidden="false" customHeight="false" outlineLevel="1" collapsed="false">
      <c r="F32" s="67" t="s">
        <v>48</v>
      </c>
      <c r="G32" s="68" t="n">
        <v>2628.27</v>
      </c>
    </row>
    <row r="33" customFormat="false" ht="13" hidden="false" customHeight="false" outlineLevel="1" collapsed="false">
      <c r="F33" s="67" t="s">
        <v>37</v>
      </c>
      <c r="G33" s="68" t="n">
        <v>2552</v>
      </c>
    </row>
    <row r="34" customFormat="false" ht="13" hidden="false" customHeight="false" outlineLevel="1" collapsed="false">
      <c r="F34" s="67" t="s">
        <v>42</v>
      </c>
      <c r="G34" s="68" t="n">
        <v>2407</v>
      </c>
    </row>
    <row r="35" customFormat="false" ht="13" hidden="false" customHeight="false" outlineLevel="1" collapsed="false">
      <c r="F35" s="67" t="s">
        <v>44</v>
      </c>
      <c r="G35" s="68" t="n">
        <v>2276.5</v>
      </c>
    </row>
    <row r="36" customFormat="false" ht="13" hidden="false" customHeight="false" outlineLevel="1" collapsed="false">
      <c r="F36" s="67" t="s">
        <v>98</v>
      </c>
      <c r="G36" s="68" t="n">
        <v>2106.05</v>
      </c>
    </row>
    <row r="37" customFormat="false" ht="13" hidden="false" customHeight="false" outlineLevel="1" collapsed="false">
      <c r="F37" s="67" t="s">
        <v>46</v>
      </c>
      <c r="G37" s="68" t="n">
        <v>2059</v>
      </c>
    </row>
    <row r="38" customFormat="false" ht="13" hidden="false" customHeight="false" outlineLevel="1" collapsed="false">
      <c r="F38" s="67" t="s">
        <v>52</v>
      </c>
      <c r="G38" s="68" t="n">
        <v>1845</v>
      </c>
    </row>
    <row r="39" customFormat="false" ht="13" hidden="false" customHeight="false" outlineLevel="1" collapsed="false">
      <c r="F39" s="67" t="s">
        <v>56</v>
      </c>
      <c r="G39" s="68" t="n">
        <v>1791</v>
      </c>
    </row>
    <row r="40" customFormat="false" ht="13" hidden="false" customHeight="false" outlineLevel="1" collapsed="false">
      <c r="F40" s="67" t="s">
        <v>60</v>
      </c>
      <c r="G40" s="68" t="n">
        <v>1692</v>
      </c>
    </row>
    <row r="41" customFormat="false" ht="13" hidden="false" customHeight="false" outlineLevel="1" collapsed="false">
      <c r="F41" s="67" t="s">
        <v>58</v>
      </c>
      <c r="G41" s="68" t="n">
        <v>1692</v>
      </c>
    </row>
    <row r="42" customFormat="false" ht="13" hidden="false" customHeight="false" outlineLevel="1" collapsed="false">
      <c r="F42" s="67" t="s">
        <v>62</v>
      </c>
      <c r="G42" s="68" t="n">
        <v>1668.33</v>
      </c>
    </row>
    <row r="43" customFormat="false" ht="13" hidden="false" customHeight="false" outlineLevel="1" collapsed="false">
      <c r="F43" s="67" t="s">
        <v>64</v>
      </c>
      <c r="G43" s="68" t="n">
        <v>1628.37</v>
      </c>
    </row>
    <row r="44" customFormat="false" ht="13" hidden="false" customHeight="false" outlineLevel="1" collapsed="false">
      <c r="F44" s="67" t="s">
        <v>66</v>
      </c>
      <c r="G44" s="68" t="n">
        <v>1530</v>
      </c>
    </row>
    <row r="45" customFormat="false" ht="13" hidden="false" customHeight="false" outlineLevel="1" collapsed="false">
      <c r="F45" s="67" t="s">
        <v>68</v>
      </c>
      <c r="G45" s="68" t="n">
        <v>1479</v>
      </c>
    </row>
    <row r="46" customFormat="false" ht="13" hidden="false" customHeight="false" outlineLevel="1" collapsed="false">
      <c r="F46" s="67" t="s">
        <v>70</v>
      </c>
      <c r="G46" s="68" t="n">
        <v>1440</v>
      </c>
    </row>
    <row r="47" customFormat="false" ht="13" hidden="false" customHeight="false" outlineLevel="1" collapsed="false">
      <c r="F47" s="67" t="s">
        <v>72</v>
      </c>
      <c r="G47" s="68" t="n">
        <v>1425.96</v>
      </c>
    </row>
    <row r="48" customFormat="false" ht="13" hidden="false" customHeight="false" outlineLevel="1" collapsed="false">
      <c r="F48" s="67" t="s">
        <v>76</v>
      </c>
      <c r="G48" s="68" t="n">
        <v>1408.59</v>
      </c>
    </row>
    <row r="49" customFormat="false" ht="13" hidden="false" customHeight="false" outlineLevel="1" collapsed="false">
      <c r="F49" s="67" t="s">
        <v>106</v>
      </c>
      <c r="G49" s="68" t="n">
        <v>1359</v>
      </c>
    </row>
    <row r="50" customFormat="false" ht="13" hidden="false" customHeight="false" outlineLevel="1" collapsed="false">
      <c r="F50" s="67" t="s">
        <v>78</v>
      </c>
      <c r="G50" s="68" t="n">
        <v>1323</v>
      </c>
    </row>
    <row r="51" customFormat="false" ht="13" hidden="false" customHeight="false" outlineLevel="1" collapsed="false">
      <c r="F51" s="67" t="s">
        <v>90</v>
      </c>
      <c r="G51" s="68" t="n">
        <v>1293</v>
      </c>
    </row>
    <row r="52" customFormat="false" ht="13" hidden="false" customHeight="false" outlineLevel="1" collapsed="false">
      <c r="F52" s="67" t="s">
        <v>80</v>
      </c>
      <c r="G52" s="68" t="n">
        <v>1286.16</v>
      </c>
    </row>
    <row r="53" customFormat="false" ht="13" hidden="false" customHeight="false" outlineLevel="1" collapsed="false">
      <c r="F53" s="67" t="s">
        <v>82</v>
      </c>
      <c r="G53" s="68" t="n">
        <v>1269</v>
      </c>
    </row>
    <row r="54" customFormat="false" ht="13" hidden="false" customHeight="false" outlineLevel="1" collapsed="false">
      <c r="F54" s="67" t="s">
        <v>84</v>
      </c>
      <c r="G54" s="68" t="n">
        <v>1215</v>
      </c>
    </row>
    <row r="55" customFormat="false" ht="13" hidden="false" customHeight="false" outlineLevel="1" collapsed="false">
      <c r="F55" s="67" t="s">
        <v>86</v>
      </c>
      <c r="G55" s="68" t="n">
        <v>1144</v>
      </c>
    </row>
    <row r="56" customFormat="false" ht="13" hidden="false" customHeight="false" outlineLevel="1" collapsed="false">
      <c r="F56" s="67" t="s">
        <v>94</v>
      </c>
      <c r="G56" s="68" t="n">
        <v>1058.5</v>
      </c>
    </row>
    <row r="57" customFormat="false" ht="13" hidden="false" customHeight="false" outlineLevel="1" collapsed="false">
      <c r="F57" s="67" t="s">
        <v>96</v>
      </c>
      <c r="G57" s="68" t="n">
        <v>1044</v>
      </c>
    </row>
    <row r="58" customFormat="false" ht="13" hidden="false" customHeight="false" outlineLevel="1" collapsed="false">
      <c r="F58" s="67" t="s">
        <v>139</v>
      </c>
      <c r="G58" s="68" t="n">
        <v>1037.08</v>
      </c>
    </row>
    <row r="59" customFormat="false" ht="13" hidden="false" customHeight="false" outlineLevel="1" collapsed="false">
      <c r="F59" s="67" t="s">
        <v>153</v>
      </c>
      <c r="G59" s="68" t="n">
        <v>1009.11</v>
      </c>
    </row>
    <row r="60" customFormat="false" ht="13" hidden="false" customHeight="false" outlineLevel="1" collapsed="false">
      <c r="F60" s="67" t="s">
        <v>104</v>
      </c>
      <c r="G60" s="68" t="n">
        <v>973.5</v>
      </c>
    </row>
    <row r="61" customFormat="false" ht="13" hidden="false" customHeight="false" outlineLevel="1" collapsed="false">
      <c r="F61" s="67" t="s">
        <v>100</v>
      </c>
      <c r="G61" s="68" t="n">
        <v>913.5</v>
      </c>
    </row>
    <row r="62" customFormat="false" ht="13" hidden="false" customHeight="false" outlineLevel="1" collapsed="false">
      <c r="F62" s="67" t="s">
        <v>155</v>
      </c>
      <c r="G62" s="68" t="n">
        <v>907.16</v>
      </c>
    </row>
    <row r="63" customFormat="false" ht="13" hidden="false" customHeight="false" outlineLevel="1" collapsed="false">
      <c r="F63" s="67" t="s">
        <v>108</v>
      </c>
      <c r="G63" s="68" t="n">
        <v>873.75</v>
      </c>
    </row>
    <row r="64" customFormat="false" ht="13" hidden="false" customHeight="false" outlineLevel="1" collapsed="false">
      <c r="F64" s="67" t="s">
        <v>110</v>
      </c>
      <c r="G64" s="68" t="n">
        <v>850.5</v>
      </c>
    </row>
    <row r="65" customFormat="false" ht="13" hidden="false" customHeight="false" outlineLevel="1" collapsed="false">
      <c r="F65" s="67" t="s">
        <v>167</v>
      </c>
      <c r="G65" s="68" t="n">
        <v>836.5</v>
      </c>
    </row>
    <row r="66" customFormat="false" ht="13" hidden="false" customHeight="false" outlineLevel="1" collapsed="false">
      <c r="F66" s="67" t="s">
        <v>112</v>
      </c>
      <c r="G66" s="68" t="n">
        <v>819</v>
      </c>
    </row>
    <row r="67" customFormat="false" ht="13" hidden="false" customHeight="false" outlineLevel="1" collapsed="false">
      <c r="F67" s="67" t="s">
        <v>186</v>
      </c>
      <c r="G67" s="68" t="n">
        <v>807</v>
      </c>
    </row>
    <row r="68" customFormat="false" ht="13" hidden="false" customHeight="false" outlineLevel="1" collapsed="false">
      <c r="F68" s="67" t="s">
        <v>114</v>
      </c>
      <c r="G68" s="68" t="n">
        <v>801.99</v>
      </c>
    </row>
    <row r="69" customFormat="false" ht="13" hidden="false" customHeight="false" outlineLevel="1" collapsed="false">
      <c r="F69" s="67" t="s">
        <v>118</v>
      </c>
      <c r="G69" s="68" t="n">
        <v>801</v>
      </c>
    </row>
    <row r="70" customFormat="false" ht="13" hidden="false" customHeight="false" outlineLevel="1" collapsed="false">
      <c r="F70" s="67" t="s">
        <v>120</v>
      </c>
      <c r="G70" s="68" t="n">
        <v>754.92</v>
      </c>
    </row>
    <row r="71" customFormat="false" ht="13" hidden="false" customHeight="false" outlineLevel="1" collapsed="false">
      <c r="F71" s="67" t="s">
        <v>122</v>
      </c>
      <c r="G71" s="68" t="n">
        <v>750</v>
      </c>
    </row>
    <row r="72" customFormat="false" ht="13" hidden="false" customHeight="false" outlineLevel="1" collapsed="false">
      <c r="F72" s="67" t="s">
        <v>124</v>
      </c>
      <c r="G72" s="68" t="n">
        <v>742.5</v>
      </c>
    </row>
    <row r="73" customFormat="false" ht="13" hidden="false" customHeight="false" outlineLevel="1" collapsed="false">
      <c r="F73" s="67" t="s">
        <v>147</v>
      </c>
      <c r="G73" s="68" t="n">
        <v>732.87</v>
      </c>
    </row>
    <row r="74" customFormat="false" ht="13" hidden="false" customHeight="false" outlineLevel="1" collapsed="false">
      <c r="F74" s="67" t="s">
        <v>135</v>
      </c>
      <c r="G74" s="68" t="n">
        <v>717</v>
      </c>
    </row>
    <row r="75" customFormat="false" ht="13" hidden="false" customHeight="false" outlineLevel="1" collapsed="false">
      <c r="F75" s="67" t="s">
        <v>143</v>
      </c>
      <c r="G75" s="68" t="n">
        <v>714.45</v>
      </c>
    </row>
    <row r="76" customFormat="false" ht="13" hidden="false" customHeight="false" outlineLevel="1" collapsed="false">
      <c r="F76" s="67" t="s">
        <v>131</v>
      </c>
      <c r="G76" s="68" t="n">
        <v>678.3</v>
      </c>
    </row>
    <row r="77" customFormat="false" ht="13" hidden="false" customHeight="false" outlineLevel="1" collapsed="false">
      <c r="F77" s="67" t="s">
        <v>133</v>
      </c>
      <c r="G77" s="68" t="n">
        <v>678</v>
      </c>
    </row>
    <row r="78" customFormat="false" ht="13" hidden="false" customHeight="false" outlineLevel="1" collapsed="false">
      <c r="F78" s="67" t="s">
        <v>201</v>
      </c>
      <c r="G78" s="68" t="n">
        <v>645.63</v>
      </c>
    </row>
    <row r="79" customFormat="false" ht="13" hidden="false" customHeight="false" outlineLevel="1" collapsed="false">
      <c r="F79" s="67" t="s">
        <v>137</v>
      </c>
      <c r="G79" s="68" t="n">
        <v>621</v>
      </c>
    </row>
    <row r="80" customFormat="false" ht="13" hidden="false" customHeight="false" outlineLevel="1" collapsed="false">
      <c r="F80" s="67" t="s">
        <v>141</v>
      </c>
      <c r="G80" s="68" t="n">
        <v>617.5</v>
      </c>
    </row>
    <row r="81" customFormat="false" ht="13" hidden="false" customHeight="false" outlineLevel="1" collapsed="false">
      <c r="F81" s="67" t="s">
        <v>145</v>
      </c>
      <c r="G81" s="68" t="n">
        <v>604.5</v>
      </c>
    </row>
    <row r="82" customFormat="false" ht="13" hidden="false" customHeight="false" outlineLevel="1" collapsed="false">
      <c r="F82" s="67" t="s">
        <v>149</v>
      </c>
      <c r="G82" s="68" t="n">
        <v>602.49</v>
      </c>
    </row>
    <row r="83" customFormat="false" ht="13" hidden="false" customHeight="false" outlineLevel="1" collapsed="false">
      <c r="F83" s="67" t="s">
        <v>151</v>
      </c>
      <c r="G83" s="68" t="n">
        <v>600</v>
      </c>
    </row>
    <row r="84" customFormat="false" ht="13" hidden="false" customHeight="false" outlineLevel="1" collapsed="false">
      <c r="F84" s="67" t="s">
        <v>157</v>
      </c>
      <c r="G84" s="68" t="n">
        <v>573.18</v>
      </c>
    </row>
    <row r="85" customFormat="false" ht="13" hidden="false" customHeight="false" outlineLevel="1" collapsed="false">
      <c r="F85" s="67" t="s">
        <v>159</v>
      </c>
      <c r="G85" s="68" t="n">
        <v>567</v>
      </c>
    </row>
    <row r="86" customFormat="false" ht="13" hidden="false" customHeight="false" outlineLevel="1" collapsed="false">
      <c r="F86" s="67" t="s">
        <v>161</v>
      </c>
      <c r="G86" s="68" t="n">
        <v>546.63</v>
      </c>
    </row>
    <row r="87" customFormat="false" ht="13" hidden="false" customHeight="false" outlineLevel="1" collapsed="false">
      <c r="F87" s="67" t="s">
        <v>163</v>
      </c>
      <c r="G87" s="68" t="n">
        <v>537</v>
      </c>
    </row>
    <row r="88" customFormat="false" ht="13" hidden="false" customHeight="false" outlineLevel="1" collapsed="false">
      <c r="F88" s="67" t="s">
        <v>169</v>
      </c>
      <c r="G88" s="68" t="n">
        <v>534</v>
      </c>
    </row>
    <row r="89" customFormat="false" ht="13" hidden="false" customHeight="false" outlineLevel="1" collapsed="false">
      <c r="F89" s="67" t="s">
        <v>171</v>
      </c>
      <c r="G89" s="68" t="n">
        <v>522.69</v>
      </c>
    </row>
    <row r="90" customFormat="false" ht="13" hidden="false" customHeight="false" outlineLevel="1" collapsed="false">
      <c r="F90" s="67" t="s">
        <v>173</v>
      </c>
      <c r="G90" s="68" t="n">
        <v>500.5</v>
      </c>
    </row>
    <row r="91" customFormat="false" ht="13" hidden="false" customHeight="false" outlineLevel="1" collapsed="false">
      <c r="F91" s="67" t="s">
        <v>175</v>
      </c>
      <c r="G91" s="68" t="n">
        <v>492</v>
      </c>
    </row>
    <row r="92" customFormat="false" ht="13" hidden="false" customHeight="false" outlineLevel="1" collapsed="false">
      <c r="F92" s="67" t="s">
        <v>178</v>
      </c>
      <c r="G92" s="68" t="n">
        <v>486.78</v>
      </c>
    </row>
    <row r="93" customFormat="false" ht="13" hidden="false" customHeight="false" outlineLevel="1" collapsed="false">
      <c r="F93" s="67" t="s">
        <v>182</v>
      </c>
      <c r="G93" s="68" t="n">
        <v>468.33</v>
      </c>
    </row>
    <row r="94" customFormat="false" ht="13" hidden="false" customHeight="false" outlineLevel="1" collapsed="false">
      <c r="F94" s="67" t="s">
        <v>184</v>
      </c>
      <c r="G94" s="68" t="n">
        <v>461.5</v>
      </c>
    </row>
    <row r="95" customFormat="false" ht="13" hidden="false" customHeight="false" outlineLevel="1" collapsed="false">
      <c r="F95" s="67" t="s">
        <v>188</v>
      </c>
      <c r="G95" s="68" t="n">
        <v>423</v>
      </c>
    </row>
    <row r="96" customFormat="false" ht="13" hidden="false" customHeight="false" outlineLevel="1" collapsed="false">
      <c r="F96" s="67" t="s">
        <v>190</v>
      </c>
      <c r="G96" s="68" t="n">
        <v>422.5</v>
      </c>
    </row>
    <row r="97" customFormat="false" ht="13" hidden="false" customHeight="false" outlineLevel="1" collapsed="false">
      <c r="F97" s="67" t="s">
        <v>193</v>
      </c>
      <c r="G97" s="68" t="n">
        <v>416</v>
      </c>
    </row>
    <row r="98" customFormat="false" ht="13" hidden="false" customHeight="false" outlineLevel="1" collapsed="false">
      <c r="F98" s="67" t="s">
        <v>197</v>
      </c>
      <c r="G98" s="68" t="n">
        <v>409.59</v>
      </c>
    </row>
    <row r="99" customFormat="false" ht="13" hidden="false" customHeight="false" outlineLevel="1" collapsed="false">
      <c r="F99" s="67" t="s">
        <v>199</v>
      </c>
      <c r="G99" s="68" t="n">
        <v>405</v>
      </c>
    </row>
    <row r="100" customFormat="false" ht="13" hidden="false" customHeight="false" outlineLevel="1" collapsed="false">
      <c r="F100" s="67" t="s">
        <v>203</v>
      </c>
      <c r="G100" s="68" t="n">
        <v>382.5</v>
      </c>
    </row>
    <row r="101" customFormat="false" ht="13" hidden="false" customHeight="false" outlineLevel="1" collapsed="false">
      <c r="F101" s="67" t="s">
        <v>206</v>
      </c>
      <c r="G101" s="68" t="n">
        <v>336</v>
      </c>
    </row>
    <row r="102" customFormat="false" ht="13" hidden="false" customHeight="false" outlineLevel="1" collapsed="false">
      <c r="F102" s="67" t="s">
        <v>208</v>
      </c>
      <c r="G102" s="68" t="n">
        <v>319.2</v>
      </c>
    </row>
    <row r="103" customFormat="false" ht="13" hidden="false" customHeight="false" outlineLevel="1" collapsed="false">
      <c r="F103" s="67" t="s">
        <v>210</v>
      </c>
      <c r="G103" s="68" t="n">
        <v>312</v>
      </c>
    </row>
    <row r="104" customFormat="false" ht="13" hidden="false" customHeight="false" outlineLevel="1" collapsed="false">
      <c r="F104" s="67" t="s">
        <v>219</v>
      </c>
      <c r="G104" s="68" t="n">
        <v>276</v>
      </c>
    </row>
    <row r="105" customFormat="false" ht="13" hidden="false" customHeight="false" outlineLevel="1" collapsed="false">
      <c r="F105" s="67" t="s">
        <v>214</v>
      </c>
      <c r="G105" s="68" t="n">
        <v>261</v>
      </c>
    </row>
    <row r="106" customFormat="false" ht="13" hidden="false" customHeight="false" outlineLevel="1" collapsed="false">
      <c r="F106" s="67" t="s">
        <v>216</v>
      </c>
      <c r="G106" s="68" t="n">
        <v>259.35</v>
      </c>
    </row>
    <row r="107" customFormat="false" ht="13" hidden="false" customHeight="false" outlineLevel="1" collapsed="false">
      <c r="F107" s="67" t="s">
        <v>221</v>
      </c>
      <c r="G107" s="68" t="n">
        <v>231</v>
      </c>
    </row>
    <row r="108" customFormat="false" ht="13" hidden="false" customHeight="false" outlineLevel="1" collapsed="false">
      <c r="F108" s="67" t="s">
        <v>223</v>
      </c>
      <c r="G108" s="68" t="n">
        <v>227.43</v>
      </c>
    </row>
    <row r="109" customFormat="false" ht="13" hidden="false" customHeight="false" outlineLevel="1" collapsed="false">
      <c r="F109" s="67" t="s">
        <v>225</v>
      </c>
      <c r="G109" s="68" t="n">
        <v>219.78</v>
      </c>
    </row>
    <row r="110" customFormat="false" ht="13" hidden="false" customHeight="false" outlineLevel="1" collapsed="false">
      <c r="F110" s="67" t="s">
        <v>229</v>
      </c>
      <c r="G110" s="68" t="n">
        <v>143</v>
      </c>
    </row>
    <row r="111" customFormat="false" ht="13" hidden="false" customHeight="false" outlineLevel="1" collapsed="false">
      <c r="F111" s="67" t="s">
        <v>231</v>
      </c>
      <c r="G111" s="68" t="n">
        <v>139.86</v>
      </c>
    </row>
    <row r="112" customFormat="false" ht="13" hidden="false" customHeight="false" outlineLevel="1" collapsed="false">
      <c r="F112" s="67" t="s">
        <v>234</v>
      </c>
      <c r="G112" s="68" t="n">
        <v>111.72</v>
      </c>
    </row>
    <row r="113" customFormat="false" ht="13" hidden="false" customHeight="false" outlineLevel="0" collapsed="false">
      <c r="F113" s="67" t="s">
        <v>238</v>
      </c>
      <c r="G113" s="68" t="n">
        <v>54</v>
      </c>
    </row>
    <row r="114" customFormat="false" ht="13" hidden="false" customHeight="false" outlineLevel="0" collapsed="false">
      <c r="F114" s="67" t="s">
        <v>240</v>
      </c>
      <c r="G114" s="68" t="n">
        <v>45</v>
      </c>
    </row>
    <row r="115" customFormat="false" ht="13" hidden="false" customHeight="false" outlineLevel="0" collapsed="false">
      <c r="F115" s="67" t="s">
        <v>245</v>
      </c>
      <c r="G115" s="89" t="n">
        <v>31.5</v>
      </c>
    </row>
    <row r="116" customFormat="false" ht="13" hidden="false" customHeight="false" outlineLevel="0" collapsed="false">
      <c r="F116" s="87" t="s">
        <v>278</v>
      </c>
      <c r="G116" s="88" t="n">
        <v>82543.11</v>
      </c>
    </row>
    <row r="117" customFormat="false" ht="13" hidden="false" customHeight="false" outlineLevel="0" collapsed="false"/>
    <row r="118" customFormat="false" ht="13" hidden="false" customHeight="false" outlineLevel="0" collapsed="false"/>
    <row r="119" customFormat="false" ht="13" hidden="false" customHeight="false" outlineLevel="0" collapsed="false"/>
    <row r="120" customFormat="false" ht="13" hidden="false" customHeight="false" outlineLevel="0" collapsed="false"/>
    <row r="121" customFormat="false" ht="13" hidden="false" customHeight="false" outlineLevel="0" collapsed="false"/>
    <row r="122" customFormat="false" ht="13" hidden="false" customHeight="false" outlineLevel="0" collapsed="false"/>
    <row r="123" customFormat="false" ht="13" hidden="false" customHeight="false" outlineLevel="0" collapsed="false"/>
    <row r="124" customFormat="false" ht="13" hidden="false" customHeight="false" outlineLevel="0" collapsed="false"/>
    <row r="125" customFormat="false" ht="13" hidden="false" customHeight="false" outlineLevel="0" collapsed="false"/>
    <row r="126" customFormat="false" ht="13" hidden="false" customHeight="false" outlineLevel="0" collapsed="false"/>
    <row r="127" customFormat="false" ht="13" hidden="false" customHeight="false" outlineLevel="0" collapsed="false"/>
    <row r="128" customFormat="false" ht="13" hidden="false" customHeight="false" outlineLevel="0" collapsed="false"/>
    <row r="129" customFormat="false" ht="13" hidden="false" customHeight="false" outlineLevel="0" collapsed="false"/>
    <row r="130" customFormat="false" ht="13" hidden="false" customHeight="false" outlineLevel="0" collapsed="false"/>
    <row r="131" customFormat="false" ht="13" hidden="false" customHeight="false" outlineLevel="0" collapsed="false"/>
    <row r="132" customFormat="false" ht="13" hidden="false" customHeight="false" outlineLevel="0" collapsed="false"/>
    <row r="133" customFormat="false" ht="13" hidden="false" customHeight="false" outlineLevel="0" collapsed="false"/>
    <row r="134" customFormat="false" ht="13" hidden="false" customHeight="false" outlineLevel="0" collapsed="false"/>
    <row r="135" customFormat="false" ht="13" hidden="false" customHeight="false" outlineLevel="0" collapsed="false"/>
    <row r="136" customFormat="false" ht="13" hidden="false" customHeight="false" outlineLevel="0" collapsed="false"/>
    <row r="137" customFormat="false" ht="13" hidden="false" customHeight="false" outlineLevel="0" collapsed="false"/>
    <row r="138" customFormat="false" ht="13" hidden="false" customHeight="false" outlineLevel="0" collapsed="false"/>
    <row r="139" customFormat="false" ht="13" hidden="false" customHeight="false" outlineLevel="0" collapsed="false"/>
    <row r="140" customFormat="false" ht="13" hidden="false" customHeight="false" outlineLevel="0" collapsed="false"/>
    <row r="141" customFormat="false" ht="13" hidden="false" customHeight="false" outlineLevel="0" collapsed="false"/>
    <row r="142" customFormat="false" ht="13" hidden="false" customHeight="false" outlineLevel="0" collapsed="false"/>
    <row r="143" customFormat="false" ht="13" hidden="false" customHeight="false" outlineLevel="0" collapsed="false"/>
    <row r="144" customFormat="false" ht="13" hidden="false" customHeight="false" outlineLevel="0" collapsed="false"/>
    <row r="145" customFormat="false" ht="13" hidden="false" customHeight="false" outlineLevel="0" collapsed="false"/>
    <row r="146" customFormat="false" ht="13" hidden="false" customHeight="false" outlineLevel="0" collapsed="false"/>
    <row r="147" customFormat="false" ht="13" hidden="false" customHeight="false" outlineLevel="0" collapsed="false"/>
    <row r="148" customFormat="false" ht="13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LibreOffice/6.0.7.3$Linux_X86_64 LibreOffice_project/00m0$Build-3</Application>
  <Company>PricewaterhouseCoopers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2016-06-22T22:01:00Z</dcterms:created>
  <dc:creator>Matthew Jacobs</dc:creator>
  <dc:description/>
  <dc:language>en-US</dc:language>
  <cp:lastModifiedBy/>
  <dcterms:modified xsi:type="dcterms:W3CDTF">2020-07-07T23:09:23Z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BrandFormat">
    <vt:lpwstr>1.0</vt:lpwstr>
  </property>
  <property fmtid="{D5CDD505-2E9C-101B-9397-08002B2CF9AE}" pid="4" name="Company">
    <vt:lpwstr>PricewaterhouseCoopers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LinksUpToDate">
    <vt:bool>0</vt:bool>
  </property>
  <property fmtid="{D5CDD505-2E9C-101B-9397-08002B2CF9AE}" pid="8" name="ScaleCrop">
    <vt:bool>0</vt:bool>
  </property>
  <property fmtid="{D5CDD505-2E9C-101B-9397-08002B2CF9AE}" pid="9" name="ShareDoc">
    <vt:bool>0</vt:bool>
  </property>
  <property fmtid="{D5CDD505-2E9C-101B-9397-08002B2CF9AE}" pid="10" name="Smrt_NotesFontSize">
    <vt:lpwstr>8</vt:lpwstr>
  </property>
  <property fmtid="{D5CDD505-2E9C-101B-9397-08002B2CF9AE}" pid="11" name="Smrt_WorkbookNumberDisplay">
    <vt:lpwstr>0</vt:lpwstr>
  </property>
  <property fmtid="{D5CDD505-2E9C-101B-9397-08002B2CF9AE}" pid="12" name="Smrt_WorkbookPercentageDisplay">
    <vt:lpwstr>0</vt:lpwstr>
  </property>
  <property fmtid="{D5CDD505-2E9C-101B-9397-08002B2CF9AE}" pid="13" name="Smrt_WorkbookThemeColor">
    <vt:lpwstr>PwC Maroon</vt:lpwstr>
  </property>
</Properties>
</file>