
<file path=[Content_Types].xml><?xml version="1.0" encoding="utf-8"?>
<Types xmlns="http://schemas.openxmlformats.org/package/2006/content-types">
  <Override PartName="/xl/_rels/workbook.xml.rels" ContentType="application/vnd.openxmlformats-package.relationships+xml"/>
  <Override PartName="/xl/tables/table1.xml" ContentType="application/vnd.openxmlformats-officedocument.spreadsheetml.table+xml"/>
  <Override PartName="/xl/vbaProject.bin" ContentType="application/vnd.ms-office.vbaProject"/>
  <Override PartName="/xl/worksheets/_rels/sheet3.xml.rels" ContentType="application/vnd.openxmlformats-package.relationships+xml"/>
  <Override PartName="/xl/worksheets/_rels/sheet2.xml.rels" ContentType="application/vnd.openxmlformats-package.relationships+xml"/>
  <Override PartName="/xl/worksheets/sheet3.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externalLinks/_rels/externalLink1.xml.rels" ContentType="application/vnd.openxmlformats-package.relationships+xml"/>
  <Override PartName="/xl/externalLinks/externalLink1.xml" ContentType="application/vnd.openxmlformats-officedocument.spreadsheetml.externalLink+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Cover Page" sheetId="1" state="visible" r:id="rId3"/>
    <sheet name="Question" sheetId="2" state="visible" r:id="rId4"/>
    <sheet name="Question_Ans" sheetId="3" state="hidden" r:id="rId5"/>
  </sheets>
  <externalReferences>
    <externalReference r:id="rId6"/>
  </externalReferences>
  <definedNames>
    <definedName function="false" hidden="false" name="Country" vbProcedure="false">'[1]Data Set'!$F$9:$F$32</definedName>
    <definedName function="false" hidden="false" name="Revenue_Combinations" vbProcedure="false">Question!$B$21:$B$42</definedName>
    <definedName function="false" hidden="false" name="Revenue_Combinations_Ans" vbProcedure="false">Question_Ans!$H$22:$R$42</definedName>
    <definedName function="false" hidden="false" localSheetId="1" name="Revenue_Combinations_Ans" vbProcedure="false">Question!$H$22:$R$42</definedName>
    <definedName function="true" hidden="false" name="ThisWorkbook.send_to_answer_1" vbProcedure="true"/>
    <definedName function="true" hidden="false" name="ThisWorkbook.send_to_answer_2" vbProcedure="true"/>
    <definedName function="true" hidden="false" name="ThisWorkbook.send_to_problem_1" vbProcedure="true"/>
    <definedName function="true" hidden="false" name="ThisWorkbook.send_to_problem_2" vbProcedure="tru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<sst xmlns="http://schemas.openxmlformats.org/spreadsheetml/2006/main" count="37" uniqueCount="19">
  <si>
    <t xml:space="preserve">Problem Solving With Excel</t>
  </si>
  <si>
    <t xml:space="preserve">Week 1 project</t>
  </si>
  <si>
    <t xml:space="preserve">Question</t>
  </si>
  <si>
    <t xml:space="preserve">Problem 1 - Student Lead</t>
  </si>
  <si>
    <t xml:space="preserve">You are trying to understand pricing dynamics for your new product. For the product to be profitable, you need revenue to be over $100,000 per store, for the quarter. Based on analysis, you believe the quantity sold would be between 400 and 600 units per store if the price per unit were between $100 and $200. Below in Table A, you have been given the list of potential quantities and prices to check. Copy and paste the values into Table B to create a matrix of the different options. From there, use cell locking to complete the multiplication table. Ensure that when you are copying and pasting the table, the format of the table does not change. Then use paste special formats to copy the format for profitable combinations. </t>
  </si>
  <si>
    <t xml:space="preserve">Table A</t>
  </si>
  <si>
    <t xml:space="preserve">Price Increment</t>
  </si>
  <si>
    <t xml:space="preserve">Table B</t>
  </si>
  <si>
    <t xml:space="preserve">Profitable:</t>
  </si>
  <si>
    <t xml:space="preserve">Price</t>
  </si>
  <si>
    <t xml:space="preserve">Quantity</t>
  </si>
  <si>
    <t xml:space="preserve">Problem 2 - Student Lead</t>
  </si>
  <si>
    <r>
      <rPr>
        <sz val="9"/>
        <color rgb="FF000000"/>
        <rFont val="Arial"/>
        <family val="2"/>
        <charset val="1"/>
      </rPr>
      <t xml:space="preserve">1) Name Table B, Revenue_Combinations. If something is already named Revenue_Combinations, use the Name manager to update the range. </t>
    </r>
    <r>
      <rPr>
        <i val="true"/>
        <sz val="9"/>
        <color rgb="FF000000"/>
        <rFont val="Arial"/>
        <family val="2"/>
        <charset val="1"/>
      </rPr>
      <t xml:space="preserve">Hint: Do not include the column and row headers.</t>
    </r>
  </si>
  <si>
    <t xml:space="preserve">2) If you had a store sell every combination of quantity and price, what would the total revenue be and the average revenue be?</t>
  </si>
  <si>
    <t xml:space="preserve">Sum of Revenue_Combinations</t>
  </si>
  <si>
    <t xml:space="preserve">Count of Revenue_Combinations</t>
  </si>
  <si>
    <t xml:space="preserve"> </t>
  </si>
  <si>
    <t xml:space="preserve">Average of Revenue_Combinations</t>
  </si>
  <si>
    <t xml:space="preserve">You are trying to understand pricing dynamics for your new product. For the product to be profitable, you need revenue to be over $100,000 per store, for the quarter. Based on analysis, you believe the quantity sold would be between 400 and 600 units per store if the price per unit were between $100 and $200. Below in Table A, you have been given the list of potential quantities and prices to check. Copy and paste the values into Table B to create a matrix of the different options. From there, use cell locking to complete the multiplication table. Ensure that when you are copying and pasting the table the format of the table does not change. Then use paste special formats to copy the format for profitable combinations. </t>
  </si>
</sst>
</file>

<file path=xl/styles.xml><?xml version="1.0" encoding="utf-8"?>
<styleSheet xmlns="http://schemas.openxmlformats.org/spreadsheetml/2006/main">
  <numFmts count="6">
    <numFmt numFmtId="164" formatCode="_(* #,##0_);_(* \(#,##0\);_(* \-_);@_)"/>
    <numFmt numFmtId="165" formatCode="General"/>
    <numFmt numFmtId="166" formatCode="0%_);\(0%\)"/>
    <numFmt numFmtId="167" formatCode="@"/>
    <numFmt numFmtId="168" formatCode="\$#,##0.00"/>
    <numFmt numFmtId="169" formatCode="\$#,##0"/>
  </numFmts>
  <fonts count="14">
    <font>
      <sz val="9"/>
      <color rgb="FF000000"/>
      <name val="Arial"/>
      <family val="2"/>
      <charset val="1"/>
    </font>
    <font>
      <sz val="10"/>
      <name val="Arial"/>
      <family val="0"/>
    </font>
    <font>
      <sz val="10"/>
      <name val="Arial"/>
      <family val="0"/>
    </font>
    <font>
      <sz val="10"/>
      <name val="Arial"/>
      <family val="0"/>
    </font>
    <font>
      <b val="true"/>
      <sz val="9"/>
      <color rgb="FFA32020"/>
      <name val="Arial"/>
      <family val="2"/>
      <charset val="1"/>
    </font>
    <font>
      <sz val="8"/>
      <color rgb="FF000000"/>
      <name val="Arial"/>
      <family val="2"/>
      <charset val="1"/>
    </font>
    <font>
      <b val="true"/>
      <sz val="9"/>
      <color rgb="FF000000"/>
      <name val="Arial"/>
      <family val="2"/>
      <charset val="1"/>
    </font>
    <font>
      <b val="true"/>
      <sz val="11"/>
      <color rgb="FFA32020"/>
      <name val="Arial"/>
      <family val="2"/>
      <charset val="1"/>
    </font>
    <font>
      <b val="true"/>
      <sz val="14"/>
      <color rgb="FF481A18"/>
      <name val="Arial"/>
      <family val="2"/>
      <charset val="1"/>
    </font>
    <font>
      <b val="true"/>
      <sz val="10"/>
      <color rgb="FF481A18"/>
      <name val="Arial"/>
      <family val="2"/>
      <charset val="1"/>
    </font>
    <font>
      <b val="true"/>
      <u val="single"/>
      <sz val="14"/>
      <color rgb="FF602320"/>
      <name val="Calibri"/>
      <family val="2"/>
      <charset val="1"/>
    </font>
    <font>
      <i val="true"/>
      <sz val="9"/>
      <color rgb="FF000000"/>
      <name val="Arial"/>
      <family val="2"/>
      <charset val="1"/>
    </font>
    <font>
      <sz val="9"/>
      <color rgb="FFFFFFFF"/>
      <name val="Arial"/>
      <family val="2"/>
      <charset val="1"/>
    </font>
    <font>
      <sz val="9"/>
      <color rgb="FF000000"/>
      <name val="Arial"/>
      <family val="0"/>
      <charset val="1"/>
    </font>
  </fonts>
  <fills count="10">
    <fill>
      <patternFill patternType="none"/>
    </fill>
    <fill>
      <patternFill patternType="gray125"/>
    </fill>
    <fill>
      <patternFill patternType="solid">
        <fgColor rgb="FFFCD4B6"/>
        <bgColor rgb="FFF5CACA"/>
      </patternFill>
    </fill>
    <fill>
      <patternFill patternType="solid">
        <fgColor rgb="FFE8E6DF"/>
        <bgColor rgb="FFF2F2F2"/>
      </patternFill>
    </fill>
    <fill>
      <patternFill patternType="solid">
        <fgColor rgb="FFF5CACA"/>
        <bgColor rgb="FFFCD4B6"/>
      </patternFill>
    </fill>
    <fill>
      <patternFill patternType="solid">
        <fgColor rgb="FF92D050"/>
        <bgColor rgb="FFC0C0C0"/>
      </patternFill>
    </fill>
    <fill>
      <patternFill patternType="solid">
        <fgColor rgb="FFF2F2F2"/>
        <bgColor rgb="FFE8E6DF"/>
      </patternFill>
    </fill>
    <fill>
      <patternFill patternType="solid">
        <fgColor rgb="FFBF8900"/>
        <bgColor rgb="FFFF9900"/>
      </patternFill>
    </fill>
    <fill>
      <patternFill patternType="solid">
        <fgColor rgb="FFFFF0CC"/>
        <bgColor rgb="FFF2F2F2"/>
      </patternFill>
    </fill>
    <fill>
      <patternFill patternType="solid">
        <fgColor rgb="FF521010"/>
        <bgColor rgb="FF481A18"/>
      </patternFill>
    </fill>
  </fills>
  <borders count="7">
    <border diagonalUp="false" diagonalDown="false">
      <left/>
      <right/>
      <top/>
      <bottom/>
      <diagonal/>
    </border>
    <border diagonalUp="false" diagonalDown="false">
      <left/>
      <right/>
      <top/>
      <bottom style="medium">
        <color rgb="FFA32020"/>
      </bottom>
      <diagonal/>
    </border>
    <border diagonalUp="false" diagonalDown="false">
      <left/>
      <right/>
      <top style="medium">
        <color rgb="FFA32020"/>
      </top>
      <bottom/>
      <diagonal/>
    </border>
    <border diagonalUp="false" diagonalDown="false">
      <left/>
      <right/>
      <top style="thin">
        <color rgb="FFA32020"/>
      </top>
      <bottom/>
      <diagonal/>
    </border>
    <border diagonalUp="false" diagonalDown="false">
      <left/>
      <right/>
      <top style="thin">
        <color rgb="FFA32020"/>
      </top>
      <bottom style="medium">
        <color rgb="FFA32020"/>
      </bottom>
      <diagonal/>
    </border>
    <border diagonalUp="false" diagonalDown="false">
      <left style="thin">
        <color rgb="FFFFFFFF"/>
      </left>
      <right style="thin">
        <color rgb="FFFFFFFF"/>
      </right>
      <top style="thin">
        <color rgb="FFFFFFFF"/>
      </top>
      <bottom style="thin">
        <color rgb="FFFFFFFF"/>
      </bottom>
      <diagonal/>
    </border>
    <border diagonalUp="false" diagonalDown="false">
      <left/>
      <right style="medium">
        <color rgb="FFA32020"/>
      </right>
      <top/>
      <bottom/>
      <diagonal/>
    </border>
  </borders>
  <cellStyleXfs count="3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0" fillId="2"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4" fontId="0" fillId="3"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4" fontId="5" fillId="0" borderId="0" applyFont="true" applyBorder="true" applyAlignment="true" applyProtection="false">
      <alignment horizontal="general" vertical="bottom" textRotation="0" wrapText="false" indent="0" shrinkToFit="false"/>
    </xf>
    <xf numFmtId="165" fontId="4" fillId="0" borderId="1" applyFont="true" applyBorder="true" applyAlignment="true" applyProtection="false">
      <alignment horizontal="right" vertical="bottom" textRotation="0" wrapText="true" indent="0" shrinkToFit="false"/>
    </xf>
    <xf numFmtId="165" fontId="4" fillId="0" borderId="0" applyFont="true" applyBorder="true" applyAlignment="true" applyProtection="false">
      <alignment horizontal="general" vertical="bottom" textRotation="0" wrapText="true" indent="0" shrinkToFit="false"/>
    </xf>
    <xf numFmtId="165" fontId="4" fillId="0" borderId="2" applyFont="true" applyBorder="true" applyAlignment="true" applyProtection="false">
      <alignment horizontal="general" vertical="bottom" textRotation="0" wrapText="true" indent="0" shrinkToFit="false"/>
    </xf>
    <xf numFmtId="164" fontId="6" fillId="0" borderId="3" applyFont="true" applyBorder="true" applyAlignment="true" applyProtection="false">
      <alignment horizontal="general" vertical="bottom" textRotation="0" wrapText="false" indent="0" shrinkToFit="false"/>
    </xf>
    <xf numFmtId="165" fontId="7" fillId="0" borderId="0" applyFont="true" applyBorder="true" applyAlignment="true" applyProtection="false">
      <alignment horizontal="general" vertical="bottom" textRotation="0" wrapText="false" indent="0" shrinkToFit="false"/>
    </xf>
    <xf numFmtId="164" fontId="6" fillId="0" borderId="4" applyFont="true" applyBorder="true" applyAlignment="true" applyProtection="false">
      <alignment horizontal="general" vertical="bottom" textRotation="0" wrapText="false" indent="0" shrinkToFit="false"/>
    </xf>
    <xf numFmtId="167" fontId="4" fillId="0" borderId="1" applyFont="true" applyBorder="true" applyAlignment="true" applyProtection="false">
      <alignment horizontal="right" vertical="bottom" textRotation="0" wrapText="true" indent="0" shrinkToFit="false"/>
    </xf>
  </cellStyleXfs>
  <cellXfs count="20">
    <xf numFmtId="164" fontId="0" fillId="0" borderId="0" xfId="0" applyFont="fals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64" fontId="10" fillId="0" borderId="0" xfId="30" applyFont="true" applyBorder="true" applyAlignment="true" applyProtection="true">
      <alignment horizontal="general" vertical="bottom" textRotation="0" wrapText="false" indent="0" shrinkToFit="false"/>
      <protection locked="true" hidden="false"/>
    </xf>
    <xf numFmtId="165" fontId="0" fillId="0" borderId="0" xfId="0" applyFont="true" applyBorder="true" applyAlignment="true" applyProtection="false">
      <alignment horizontal="left" vertical="top" textRotation="0" wrapText="true" indent="0" shrinkToFit="false"/>
      <protection locked="true" hidden="false"/>
    </xf>
    <xf numFmtId="164" fontId="4" fillId="0" borderId="0" xfId="20" applyFont="true" applyBorder="tru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false">
      <alignment horizontal="right" vertical="bottom" textRotation="0" wrapText="false" indent="0" shrinkToFit="false"/>
      <protection locked="true" hidden="false"/>
    </xf>
    <xf numFmtId="164" fontId="0" fillId="4" borderId="0" xfId="0" applyFont="false" applyBorder="false" applyAlignment="false" applyProtection="false">
      <alignment horizontal="general" vertical="bottom" textRotation="0" wrapText="false" indent="0" shrinkToFit="false"/>
      <protection locked="true" hidden="false"/>
    </xf>
    <xf numFmtId="164" fontId="0" fillId="5" borderId="0" xfId="0" applyFont="false" applyBorder="false" applyAlignment="false" applyProtection="false">
      <alignment horizontal="general" vertical="bottom" textRotation="0" wrapText="fals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xf numFmtId="164" fontId="4" fillId="0" borderId="0" xfId="20" applyFont="true" applyBorder="true" applyAlignment="true" applyProtection="true">
      <alignment horizontal="center" vertical="bottom" textRotation="0" wrapText="false" indent="0" shrinkToFit="false"/>
      <protection locked="true" hidden="false"/>
    </xf>
    <xf numFmtId="167" fontId="4" fillId="0" borderId="1" xfId="32" applyFont="true" applyBorder="false" applyAlignment="false" applyProtection="true">
      <alignment horizontal="right" vertical="bottom" textRotation="0" wrapText="true" indent="0" shrinkToFit="false"/>
      <protection locked="true" hidden="false"/>
    </xf>
    <xf numFmtId="165" fontId="4" fillId="6" borderId="1" xfId="26" applyFont="false" applyBorder="false" applyAlignment="false" applyProtection="true">
      <alignment horizontal="right" vertical="bottom" textRotation="0" wrapText="tru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69" fontId="0" fillId="7" borderId="0" xfId="0" applyFont="false" applyBorder="false" applyAlignment="false" applyProtection="false">
      <alignment horizontal="general" vertical="bottom" textRotation="0" wrapText="false" indent="0" shrinkToFit="false"/>
      <protection locked="true" hidden="false"/>
    </xf>
    <xf numFmtId="164" fontId="4" fillId="0" borderId="0" xfId="20" applyFont="true" applyBorder="true" applyAlignment="true" applyProtection="true">
      <alignment horizontal="center" vertical="center" textRotation="90" wrapText="false" indent="0" shrinkToFit="false"/>
      <protection locked="true" hidden="false"/>
    </xf>
    <xf numFmtId="164" fontId="0" fillId="8" borderId="0" xfId="0" applyFont="false" applyBorder="false" applyAlignment="false" applyProtection="false">
      <alignment horizontal="general" vertical="bottom" textRotation="0" wrapText="false" indent="0" shrinkToFit="false"/>
      <protection locked="true" hidden="false"/>
    </xf>
    <xf numFmtId="164" fontId="12" fillId="9" borderId="5" xfId="0" applyFont="true" applyBorder="true" applyAlignment="false" applyProtection="false">
      <alignment horizontal="general" vertical="bottom" textRotation="0" wrapText="false" indent="0" shrinkToFit="false"/>
      <protection locked="true" hidden="false"/>
    </xf>
    <xf numFmtId="164" fontId="0" fillId="4" borderId="5" xfId="0" applyFont="false" applyBorder="true" applyAlignment="false" applyProtection="false">
      <alignment horizontal="general" vertical="bottom" textRotation="0" wrapText="false" indent="0" shrinkToFit="false"/>
      <protection locked="true" hidden="false"/>
    </xf>
    <xf numFmtId="165" fontId="4" fillId="6" borderId="6" xfId="26" applyFont="false" applyBorder="true" applyAlignment="false" applyProtection="true">
      <alignment horizontal="right" vertical="bottom" textRotation="0" wrapText="true" indent="0" shrinkToFit="false"/>
      <protection locked="true" hidden="false"/>
    </xf>
  </cellXfs>
  <cellStyles count="19">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Smart Bold" xfId="20" builtinId="53" customBuiltin="true"/>
    <cellStyle name="Smart Forecast" xfId="21" builtinId="53" customBuiltin="true"/>
    <cellStyle name="Smart General" xfId="22" builtinId="53" customBuiltin="true"/>
    <cellStyle name="Smart Highlight" xfId="23" builtinId="53" customBuiltin="true"/>
    <cellStyle name="Smart Percent" xfId="24" builtinId="53" customBuiltin="true"/>
    <cellStyle name="Smart Source" xfId="25" builtinId="53" customBuiltin="true"/>
    <cellStyle name="Smart Subtitle 1" xfId="26" builtinId="53" customBuiltin="true"/>
    <cellStyle name="Smart Subtitle 2" xfId="27" builtinId="53" customBuiltin="true"/>
    <cellStyle name="Smart Subtitle 3" xfId="28" builtinId="53" customBuiltin="true"/>
    <cellStyle name="Smart Subtotal" xfId="29" builtinId="53" customBuiltin="true"/>
    <cellStyle name="Smart Title" xfId="30" builtinId="53" customBuiltin="true"/>
    <cellStyle name="Smart Total" xfId="31" builtinId="53" customBuiltin="true"/>
    <cellStyle name="Excel Built-in Heading 1" xfId="32" builtinId="53" customBuiltin="true"/>
  </cellStyles>
  <colors>
    <indexedColors>
      <rgbColor rgb="FF000000"/>
      <rgbColor rgb="FFFFFFFF"/>
      <rgbColor rgb="FFFF0000"/>
      <rgbColor rgb="FF00FF00"/>
      <rgbColor rgb="FF0000FF"/>
      <rgbColor rgb="FFFFFF00"/>
      <rgbColor rgb="FFFF00FF"/>
      <rgbColor rgb="FF00FFFF"/>
      <rgbColor rgb="FF7A1818"/>
      <rgbColor rgb="FF008000"/>
      <rgbColor rgb="FF000080"/>
      <rgbColor rgb="FFBF8900"/>
      <rgbColor rgb="FF800080"/>
      <rgbColor rgb="FF008080"/>
      <rgbColor rgb="FFC0C0C0"/>
      <rgbColor rgb="FF808080"/>
      <rgbColor rgb="FF9999FF"/>
      <rgbColor rgb="FF993366"/>
      <rgbColor rgb="FFFFF0CC"/>
      <rgbColor rgb="FFF2F2F2"/>
      <rgbColor rgb="FF660066"/>
      <rgbColor rgb="FFFF8080"/>
      <rgbColor rgb="FF0066CC"/>
      <rgbColor rgb="FFF5CACA"/>
      <rgbColor rgb="FF000080"/>
      <rgbColor rgb="FFFF00FF"/>
      <rgbColor rgb="FFFFFF00"/>
      <rgbColor rgb="FF00FFFF"/>
      <rgbColor rgb="FF800080"/>
      <rgbColor rgb="FF521010"/>
      <rgbColor rgb="FF008080"/>
      <rgbColor rgb="FF0000FF"/>
      <rgbColor rgb="FF00CCFF"/>
      <rgbColor rgb="FFCCFFFF"/>
      <rgbColor rgb="FFE8E6DF"/>
      <rgbColor rgb="FFFFFF99"/>
      <rgbColor rgb="FF99CCFF"/>
      <rgbColor rgb="FFFF99CC"/>
      <rgbColor rgb="FFCC99FF"/>
      <rgbColor rgb="FFFCD4B6"/>
      <rgbColor rgb="FF3366FF"/>
      <rgbColor rgb="FF33CCCC"/>
      <rgbColor rgb="FF92D050"/>
      <rgbColor rgb="FFFFCC00"/>
      <rgbColor rgb="FFFF9900"/>
      <rgbColor rgb="FFFF6600"/>
      <rgbColor rgb="FF666699"/>
      <rgbColor rgb="FF969696"/>
      <rgbColor rgb="FF003366"/>
      <rgbColor rgb="FF339966"/>
      <rgbColor rgb="FF003300"/>
      <rgbColor rgb="FF481A18"/>
      <rgbColor rgb="FFA32020"/>
      <rgbColor rgb="FF993366"/>
      <rgbColor rgb="FF333399"/>
      <rgbColor rgb="FF60232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externalLink" Target="externalLinks/externalLink1.xml"/><Relationship Id="rId7"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Users/dman003/Downloads/Index%20Match%20Template.xlsx"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ntroduction"/>
      <sheetName val="Summary"/>
      <sheetName val="Section 1 - Instruction"/>
      <sheetName val="Section 1 - Instruction (ANS)"/>
      <sheetName val="Section 1 - Student Ex."/>
      <sheetName val="Section 1 - Student Ex (ANS)"/>
      <sheetName val="Culminating Exersise"/>
      <sheetName val="Culminating Exersise (ANS)"/>
      <sheetName val="Data Set"/>
    </sheetNames>
    <sheetDataSet>
      <sheetData sheetId="0"/>
      <sheetData sheetId="1"/>
      <sheetData sheetId="2"/>
      <sheetData sheetId="3"/>
      <sheetData sheetId="4"/>
      <sheetData sheetId="5"/>
      <sheetData sheetId="6"/>
      <sheetData sheetId="7"/>
      <sheetData sheetId="8"/>
    </sheetDataSet>
  </externalBook>
</externalLink>
</file>

<file path=xl/tables/table1.xml><?xml version="1.0" encoding="utf-8"?>
<table xmlns="http://schemas.openxmlformats.org/spreadsheetml/2006/main" id="1" name="Revenue_Combinations" displayName="Revenue_Combinations" ref="G21:R42" headerRowCount="1" totalsRowCount="0" totalsRowShown="0">
  <tableColumns count="12">
    <tableColumn id="1" name="Column1"/>
    <tableColumn id="2" name="Column2"/>
    <tableColumn id="3" name="Column3"/>
    <tableColumn id="4" name="Column4"/>
    <tableColumn id="5" name="Column5"/>
    <tableColumn id="6" name="Column6"/>
    <tableColumn id="7" name="Column7"/>
    <tableColumn id="8" name="Column8"/>
    <tableColumn id="9" name="Column9"/>
    <tableColumn id="10" name="Column10"/>
    <tableColumn id="11" name="Column11"/>
    <tableColumn id="12" name="Column12"/>
  </tableColumns>
</table>
</file>

<file path=xl/worksheets/_rels/sheet2.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
</Relationships>
</file>

<file path=xl/worksheets/_rels/sheet3.xml.rels><?xml version="1.0" encoding="UTF-8"?>
<Relationships xmlns="http://schemas.openxmlformats.org/package/2006/relationships"><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A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3" activeCellId="0" sqref="A3"/>
    </sheetView>
  </sheetViews>
  <sheetFormatPr defaultRowHeight="11.5" zeroHeight="false" outlineLevelRow="0" outlineLevelCol="0"/>
  <cols>
    <col collapsed="false" customWidth="true" hidden="false" outlineLevel="0" max="1025" min="1" style="0" width="9"/>
  </cols>
  <sheetData>
    <row r="1" customFormat="false" ht="18" hidden="false" customHeight="false" outlineLevel="0" collapsed="false">
      <c r="A1" s="1" t="s">
        <v>0</v>
      </c>
    </row>
    <row r="2" customFormat="false" ht="18" hidden="false" customHeight="false" outlineLevel="0" collapsed="false">
      <c r="A2" s="1" t="s">
        <v>1</v>
      </c>
    </row>
    <row r="3" customFormat="false" ht="18" hidden="false" customHeight="false" outlineLevel="0" collapsed="false"/>
    <row r="4" customFormat="false" ht="13" hidden="false" customHeight="false" outlineLevel="0" collapsed="false"/>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R56"/>
  <sheetViews>
    <sheetView showFormulas="false" showGridLines="false" showRowColHeaders="true" showZeros="true" rightToLeft="false" tabSelected="true" showOutlineSymbols="true" defaultGridColor="true" view="normal" topLeftCell="A41" colorId="64" zoomScale="110" zoomScaleNormal="110" zoomScalePageLayoutView="100" workbookViewId="0">
      <selection pane="topLeft" activeCell="D55" activeCellId="0" sqref="D55"/>
    </sheetView>
  </sheetViews>
  <sheetFormatPr defaultRowHeight="11.5" zeroHeight="false" outlineLevelRow="0" outlineLevelCol="0"/>
  <cols>
    <col collapsed="false" customWidth="true" hidden="false" outlineLevel="0" max="1" min="1" style="0" width="9"/>
    <col collapsed="false" customWidth="true" hidden="false" outlineLevel="0" max="2" min="2" style="0" width="17.1"/>
    <col collapsed="false" customWidth="true" hidden="false" outlineLevel="0" max="3" min="3" style="0" width="26.1"/>
    <col collapsed="false" customWidth="true" hidden="false" outlineLevel="0" max="5" min="4" style="0" width="12.4"/>
    <col collapsed="false" customWidth="true" hidden="false" outlineLevel="0" max="6" min="6" style="0" width="3.4"/>
    <col collapsed="false" customWidth="true" hidden="false" outlineLevel="0" max="7" min="7" style="0" width="8.4"/>
    <col collapsed="false" customWidth="true" hidden="false" outlineLevel="0" max="14" min="8" style="0" width="7.6"/>
    <col collapsed="false" customWidth="true" hidden="false" outlineLevel="0" max="18" min="15" style="0" width="8.6"/>
    <col collapsed="false" customWidth="true" hidden="false" outlineLevel="0" max="1025" min="19" style="0" width="9"/>
  </cols>
  <sheetData>
    <row r="1" customFormat="false" ht="13" hidden="false" customHeight="false" outlineLevel="0" collapsed="false">
      <c r="A1" s="2" t="str">
        <f aca="false">'Cover Page'!A1</f>
        <v>Problem Solving With Excel</v>
      </c>
    </row>
    <row r="2" customFormat="false" ht="13" hidden="false" customHeight="false" outlineLevel="0" collapsed="false">
      <c r="A2" s="2" t="str">
        <f aca="false">'Cover Page'!A2</f>
        <v>Week 1 project</v>
      </c>
    </row>
    <row r="3" customFormat="false" ht="13" hidden="false" customHeight="false" outlineLevel="0" collapsed="false">
      <c r="A3" s="2"/>
    </row>
    <row r="4" customFormat="false" ht="13" hidden="false" customHeight="false" outlineLevel="0" collapsed="false">
      <c r="A4" s="2" t="s">
        <v>2</v>
      </c>
    </row>
    <row r="7" customFormat="false" ht="18.5" hidden="false" customHeight="false" outlineLevel="0" collapsed="false">
      <c r="B7" s="3" t="s">
        <v>3</v>
      </c>
    </row>
    <row r="8" customFormat="false" ht="17.5" hidden="false" customHeight="true" outlineLevel="0" collapsed="false"/>
    <row r="9" customFormat="false" ht="8.15" hidden="false" customHeight="true" outlineLevel="0" collapsed="false"/>
    <row r="10" customFormat="false" ht="22.4" hidden="false" customHeight="true" outlineLevel="0" collapsed="false">
      <c r="B10" s="4" t="s">
        <v>4</v>
      </c>
      <c r="C10" s="4"/>
      <c r="D10" s="4"/>
      <c r="E10" s="4"/>
      <c r="F10" s="4"/>
      <c r="G10" s="4"/>
      <c r="H10" s="4"/>
      <c r="I10" s="4"/>
      <c r="J10" s="4"/>
    </row>
    <row r="11" customFormat="false" ht="9.65" hidden="false" customHeight="true" outlineLevel="0" collapsed="false">
      <c r="B11" s="4"/>
      <c r="C11" s="4"/>
      <c r="D11" s="4"/>
      <c r="E11" s="4"/>
      <c r="F11" s="4"/>
      <c r="G11" s="4"/>
      <c r="H11" s="4"/>
      <c r="I11" s="4"/>
      <c r="J11" s="4"/>
    </row>
    <row r="12" customFormat="false" ht="11.5" hidden="false" customHeight="false" outlineLevel="0" collapsed="false">
      <c r="B12" s="4"/>
      <c r="C12" s="4"/>
      <c r="D12" s="4"/>
      <c r="E12" s="4"/>
      <c r="F12" s="4"/>
      <c r="G12" s="4"/>
      <c r="H12" s="4"/>
      <c r="I12" s="4"/>
      <c r="J12" s="4"/>
    </row>
    <row r="13" customFormat="false" ht="11.5" hidden="false" customHeight="false" outlineLevel="0" collapsed="false">
      <c r="B13" s="4"/>
      <c r="C13" s="4"/>
      <c r="D13" s="4"/>
      <c r="E13" s="4"/>
      <c r="F13" s="4"/>
      <c r="G13" s="4"/>
      <c r="H13" s="4"/>
      <c r="I13" s="4"/>
      <c r="J13" s="4"/>
    </row>
    <row r="14" customFormat="false" ht="11.5" hidden="false" customHeight="false" outlineLevel="0" collapsed="false">
      <c r="B14" s="4"/>
      <c r="C14" s="4"/>
      <c r="D14" s="4"/>
      <c r="E14" s="4"/>
      <c r="F14" s="4"/>
      <c r="G14" s="4"/>
      <c r="H14" s="4"/>
      <c r="I14" s="4"/>
      <c r="J14" s="4"/>
    </row>
    <row r="15" customFormat="false" ht="11.5" hidden="false" customHeight="false" outlineLevel="0" collapsed="false">
      <c r="B15" s="4"/>
      <c r="C15" s="4"/>
      <c r="D15" s="4"/>
      <c r="E15" s="4"/>
      <c r="F15" s="4"/>
      <c r="G15" s="4"/>
      <c r="H15" s="4"/>
      <c r="I15" s="4"/>
      <c r="J15" s="4"/>
    </row>
    <row r="16" customFormat="false" ht="11.5" hidden="false" customHeight="false" outlineLevel="0" collapsed="false">
      <c r="B16" s="4"/>
      <c r="C16" s="4"/>
      <c r="D16" s="4"/>
      <c r="E16" s="4"/>
      <c r="F16" s="4"/>
      <c r="G16" s="4"/>
      <c r="H16" s="4"/>
      <c r="I16" s="4"/>
      <c r="J16" s="4"/>
    </row>
    <row r="17" customFormat="false" ht="11.5" hidden="false" customHeight="false" outlineLevel="0" collapsed="false">
      <c r="B17" s="4"/>
      <c r="C17" s="4"/>
      <c r="D17" s="4"/>
      <c r="E17" s="4"/>
      <c r="F17" s="4"/>
      <c r="G17" s="4"/>
      <c r="H17" s="4"/>
      <c r="I17" s="4"/>
      <c r="J17" s="4"/>
    </row>
    <row r="18" customFormat="false" ht="11.5" hidden="false" customHeight="false" outlineLevel="0" collapsed="false">
      <c r="B18" s="5" t="s">
        <v>5</v>
      </c>
      <c r="C18" s="6" t="s">
        <v>6</v>
      </c>
      <c r="D18" s="7" t="n">
        <v>10</v>
      </c>
      <c r="G18" s="5" t="s">
        <v>7</v>
      </c>
      <c r="O18" s="0" t="s">
        <v>8</v>
      </c>
      <c r="P18" s="8"/>
    </row>
    <row r="19" customFormat="false" ht="11.5" hidden="false" customHeight="false" outlineLevel="0" collapsed="false">
      <c r="B19" s="5"/>
      <c r="C19" s="6"/>
      <c r="G19" s="5"/>
    </row>
    <row r="20" customFormat="false" ht="11.5" hidden="false" customHeight="false" outlineLevel="0" collapsed="false">
      <c r="B20" s="9"/>
      <c r="G20" s="10" t="s">
        <v>9</v>
      </c>
      <c r="H20" s="10"/>
      <c r="I20" s="10"/>
      <c r="J20" s="10"/>
      <c r="K20" s="10"/>
      <c r="L20" s="10"/>
      <c r="M20" s="10"/>
      <c r="N20" s="10"/>
      <c r="O20" s="10"/>
      <c r="P20" s="10"/>
      <c r="Q20" s="10"/>
    </row>
    <row r="21" customFormat="false" ht="12.8" hidden="false" customHeight="false" outlineLevel="0" collapsed="false">
      <c r="B21" s="11" t="s">
        <v>10</v>
      </c>
      <c r="C21" s="11" t="s">
        <v>9</v>
      </c>
      <c r="H21" s="12" t="n">
        <v>100</v>
      </c>
      <c r="I21" s="12" t="n">
        <v>110</v>
      </c>
      <c r="J21" s="12" t="n">
        <v>120</v>
      </c>
      <c r="K21" s="12" t="n">
        <v>130</v>
      </c>
      <c r="L21" s="12" t="n">
        <v>140</v>
      </c>
      <c r="M21" s="12" t="n">
        <v>150</v>
      </c>
      <c r="N21" s="12" t="n">
        <v>160</v>
      </c>
      <c r="O21" s="12" t="n">
        <v>170</v>
      </c>
      <c r="P21" s="12" t="n">
        <v>180</v>
      </c>
      <c r="Q21" s="12" t="n">
        <v>190</v>
      </c>
      <c r="R21" s="12" t="n">
        <v>200</v>
      </c>
    </row>
    <row r="22" customFormat="false" ht="12.8" hidden="false" customHeight="false" outlineLevel="0" collapsed="false">
      <c r="B22" s="0" t="n">
        <v>400</v>
      </c>
      <c r="C22" s="13" t="n">
        <v>100</v>
      </c>
      <c r="G22" s="0" t="n">
        <v>400</v>
      </c>
      <c r="H22" s="14" t="n">
        <f aca="false">$G$22*H21</f>
        <v>40000</v>
      </c>
      <c r="I22" s="14" t="n">
        <f aca="false">$G$22*I21</f>
        <v>44000</v>
      </c>
      <c r="J22" s="14" t="n">
        <f aca="false">$G$22*J21</f>
        <v>48000</v>
      </c>
      <c r="K22" s="14" t="n">
        <f aca="false">$G$22*K21</f>
        <v>52000</v>
      </c>
      <c r="L22" s="14" t="n">
        <f aca="false">$G$22*L21</f>
        <v>56000</v>
      </c>
      <c r="M22" s="14" t="n">
        <f aca="false">$G$22*M21</f>
        <v>60000</v>
      </c>
      <c r="N22" s="14" t="n">
        <f aca="false">$G$22*N21</f>
        <v>64000</v>
      </c>
      <c r="O22" s="14" t="n">
        <f aca="false">$G$22*O21</f>
        <v>68000</v>
      </c>
      <c r="P22" s="14" t="n">
        <f aca="false">$G$22*P21</f>
        <v>72000</v>
      </c>
      <c r="Q22" s="14" t="n">
        <f aca="false">$G$22*Q21</f>
        <v>76000</v>
      </c>
      <c r="R22" s="14" t="n">
        <f aca="false">$G$22*R21</f>
        <v>80000</v>
      </c>
    </row>
    <row r="23" customFormat="false" ht="12.8" hidden="false" customHeight="false" outlineLevel="0" collapsed="false">
      <c r="B23" s="0" t="n">
        <v>410</v>
      </c>
      <c r="C23" s="13" t="n">
        <f aca="false">C22+$D$18</f>
        <v>110</v>
      </c>
      <c r="F23" s="15" t="s">
        <v>10</v>
      </c>
      <c r="G23" s="0" t="n">
        <v>410</v>
      </c>
      <c r="H23" s="16" t="n">
        <f aca="false">$G$23*H21</f>
        <v>41000</v>
      </c>
      <c r="I23" s="16" t="n">
        <f aca="false">$G$23*I21</f>
        <v>45100</v>
      </c>
      <c r="J23" s="16" t="n">
        <f aca="false">$G$23*J21</f>
        <v>49200</v>
      </c>
      <c r="K23" s="16" t="n">
        <f aca="false">$G$23*K21</f>
        <v>53300</v>
      </c>
      <c r="L23" s="16" t="n">
        <f aca="false">$G$23*L21</f>
        <v>57400</v>
      </c>
      <c r="M23" s="16" t="n">
        <f aca="false">$G$23*M21</f>
        <v>61500</v>
      </c>
      <c r="N23" s="16" t="n">
        <f aca="false">$G$23*N21</f>
        <v>65600</v>
      </c>
      <c r="O23" s="16" t="n">
        <f aca="false">$G$23*O21</f>
        <v>69700</v>
      </c>
      <c r="P23" s="16" t="n">
        <f aca="false">$G$23*P21</f>
        <v>73800</v>
      </c>
      <c r="Q23" s="16" t="n">
        <f aca="false">$G$23*Q21</f>
        <v>77900</v>
      </c>
      <c r="R23" s="16" t="n">
        <f aca="false">$G$23*R21</f>
        <v>82000</v>
      </c>
    </row>
    <row r="24" customFormat="false" ht="12.8" hidden="false" customHeight="false" outlineLevel="0" collapsed="false">
      <c r="B24" s="0" t="n">
        <v>420</v>
      </c>
      <c r="C24" s="13" t="n">
        <f aca="false">C23+$D$18</f>
        <v>120</v>
      </c>
      <c r="F24" s="15"/>
      <c r="G24" s="0" t="n">
        <v>420</v>
      </c>
      <c r="H24" s="16" t="n">
        <f aca="false">G24*$H$21</f>
        <v>42000</v>
      </c>
      <c r="I24" s="16" t="n">
        <f aca="false">$G$24*I21</f>
        <v>46200</v>
      </c>
      <c r="J24" s="16" t="n">
        <f aca="false">$G$24*J21</f>
        <v>50400</v>
      </c>
      <c r="K24" s="16" t="n">
        <f aca="false">$G$24*K21</f>
        <v>54600</v>
      </c>
      <c r="L24" s="16" t="n">
        <f aca="false">$G$24*L21</f>
        <v>58800</v>
      </c>
      <c r="M24" s="16" t="n">
        <f aca="false">$G$24*M21</f>
        <v>63000</v>
      </c>
      <c r="N24" s="16" t="n">
        <f aca="false">$G$24*N21</f>
        <v>67200</v>
      </c>
      <c r="O24" s="16" t="n">
        <f aca="false">$G$24*O21</f>
        <v>71400</v>
      </c>
      <c r="P24" s="16" t="n">
        <f aca="false">$G$24*P21</f>
        <v>75600</v>
      </c>
      <c r="Q24" s="16" t="n">
        <f aca="false">$G$24*Q21</f>
        <v>79800</v>
      </c>
      <c r="R24" s="16" t="n">
        <f aca="false">$G$24*R21</f>
        <v>84000</v>
      </c>
    </row>
    <row r="25" customFormat="false" ht="12.8" hidden="false" customHeight="false" outlineLevel="0" collapsed="false">
      <c r="B25" s="0" t="n">
        <v>430</v>
      </c>
      <c r="C25" s="13" t="n">
        <f aca="false">C24+$D$18</f>
        <v>130</v>
      </c>
      <c r="F25" s="15"/>
      <c r="G25" s="0" t="n">
        <v>430</v>
      </c>
      <c r="H25" s="16" t="n">
        <f aca="false">G25*$H$21</f>
        <v>43000</v>
      </c>
      <c r="I25" s="16" t="n">
        <f aca="false">$G$25*I21</f>
        <v>47300</v>
      </c>
      <c r="J25" s="16" t="n">
        <f aca="false">$G$25*J21</f>
        <v>51600</v>
      </c>
      <c r="K25" s="16" t="n">
        <f aca="false">$G$25*K21</f>
        <v>55900</v>
      </c>
      <c r="L25" s="16" t="n">
        <f aca="false">$G$25*L21</f>
        <v>60200</v>
      </c>
      <c r="M25" s="16" t="n">
        <f aca="false">$G$25*M21</f>
        <v>64500</v>
      </c>
      <c r="N25" s="16" t="n">
        <f aca="false">$G$25*N21</f>
        <v>68800</v>
      </c>
      <c r="O25" s="16" t="n">
        <f aca="false">$G$25*O21</f>
        <v>73100</v>
      </c>
      <c r="P25" s="16" t="n">
        <f aca="false">$G$25*P21</f>
        <v>77400</v>
      </c>
      <c r="Q25" s="16" t="n">
        <f aca="false">$G$25*Q21</f>
        <v>81700</v>
      </c>
      <c r="R25" s="16" t="n">
        <f aca="false">$G$25*R21</f>
        <v>86000</v>
      </c>
    </row>
    <row r="26" customFormat="false" ht="12.8" hidden="false" customHeight="false" outlineLevel="0" collapsed="false">
      <c r="B26" s="0" t="n">
        <v>440</v>
      </c>
      <c r="C26" s="13" t="n">
        <f aca="false">C25+$D$18</f>
        <v>140</v>
      </c>
      <c r="F26" s="15"/>
      <c r="G26" s="0" t="n">
        <v>440</v>
      </c>
      <c r="H26" s="16" t="n">
        <f aca="false">G26*$H$21</f>
        <v>44000</v>
      </c>
      <c r="I26" s="16" t="n">
        <f aca="false">$G$26*I21</f>
        <v>48400</v>
      </c>
      <c r="J26" s="16" t="n">
        <f aca="false">$G$26*J21</f>
        <v>52800</v>
      </c>
      <c r="K26" s="16" t="n">
        <f aca="false">$G$26*K21</f>
        <v>57200</v>
      </c>
      <c r="L26" s="16" t="n">
        <f aca="false">$G$26*L21</f>
        <v>61600</v>
      </c>
      <c r="M26" s="16" t="n">
        <f aca="false">$G$26*M21</f>
        <v>66000</v>
      </c>
      <c r="N26" s="16" t="n">
        <f aca="false">$G$26*N21</f>
        <v>70400</v>
      </c>
      <c r="O26" s="16" t="n">
        <f aca="false">$G$26*O21</f>
        <v>74800</v>
      </c>
      <c r="P26" s="16" t="n">
        <f aca="false">$G$26*P21</f>
        <v>79200</v>
      </c>
      <c r="Q26" s="16" t="n">
        <f aca="false">$G$26*Q21</f>
        <v>83600</v>
      </c>
      <c r="R26" s="16" t="n">
        <f aca="false">$G$26*R21</f>
        <v>88000</v>
      </c>
    </row>
    <row r="27" customFormat="false" ht="12.8" hidden="false" customHeight="false" outlineLevel="0" collapsed="false">
      <c r="B27" s="0" t="n">
        <v>450</v>
      </c>
      <c r="C27" s="13" t="n">
        <f aca="false">C26+$D$18</f>
        <v>150</v>
      </c>
      <c r="F27" s="15"/>
      <c r="G27" s="0" t="n">
        <v>450</v>
      </c>
      <c r="H27" s="16" t="n">
        <f aca="false">G27*$H$21</f>
        <v>45000</v>
      </c>
      <c r="I27" s="16" t="n">
        <f aca="false">$G$27*I21</f>
        <v>49500</v>
      </c>
      <c r="J27" s="16" t="n">
        <f aca="false">$G$27*J21</f>
        <v>54000</v>
      </c>
      <c r="K27" s="16" t="n">
        <f aca="false">$G$27*K21</f>
        <v>58500</v>
      </c>
      <c r="L27" s="16" t="n">
        <f aca="false">$G$27*L21</f>
        <v>63000</v>
      </c>
      <c r="M27" s="16" t="n">
        <f aca="false">$G$27*M21</f>
        <v>67500</v>
      </c>
      <c r="N27" s="16" t="n">
        <f aca="false">$G$27*N21</f>
        <v>72000</v>
      </c>
      <c r="O27" s="16" t="n">
        <f aca="false">$G$27*O21</f>
        <v>76500</v>
      </c>
      <c r="P27" s="16" t="n">
        <f aca="false">$G$27*P21</f>
        <v>81000</v>
      </c>
      <c r="Q27" s="16" t="n">
        <f aca="false">$G$27*Q21</f>
        <v>85500</v>
      </c>
      <c r="R27" s="16" t="n">
        <f aca="false">$G$27*R21</f>
        <v>90000</v>
      </c>
    </row>
    <row r="28" customFormat="false" ht="12.8" hidden="false" customHeight="false" outlineLevel="0" collapsed="false">
      <c r="B28" s="0" t="n">
        <v>460</v>
      </c>
      <c r="C28" s="13" t="n">
        <f aca="false">C27+$D$18</f>
        <v>160</v>
      </c>
      <c r="F28" s="15"/>
      <c r="G28" s="0" t="n">
        <v>460</v>
      </c>
      <c r="H28" s="16" t="n">
        <f aca="false">G28*$H$21</f>
        <v>46000</v>
      </c>
      <c r="I28" s="16" t="n">
        <f aca="false">$G$28*I21</f>
        <v>50600</v>
      </c>
      <c r="J28" s="16" t="n">
        <f aca="false">$G$28*J21</f>
        <v>55200</v>
      </c>
      <c r="K28" s="16" t="n">
        <f aca="false">$G$28*K21</f>
        <v>59800</v>
      </c>
      <c r="L28" s="16" t="n">
        <f aca="false">$G$28*L21</f>
        <v>64400</v>
      </c>
      <c r="M28" s="16" t="n">
        <f aca="false">$G$28*M21</f>
        <v>69000</v>
      </c>
      <c r="N28" s="16" t="n">
        <f aca="false">$G$28*N21</f>
        <v>73600</v>
      </c>
      <c r="O28" s="16" t="n">
        <f aca="false">$G$28*O21</f>
        <v>78200</v>
      </c>
      <c r="P28" s="16" t="n">
        <f aca="false">$G$28*P21</f>
        <v>82800</v>
      </c>
      <c r="Q28" s="16" t="n">
        <f aca="false">$G$28*Q21</f>
        <v>87400</v>
      </c>
      <c r="R28" s="16" t="n">
        <f aca="false">$G$28*R21</f>
        <v>92000</v>
      </c>
    </row>
    <row r="29" customFormat="false" ht="12.8" hidden="false" customHeight="false" outlineLevel="0" collapsed="false">
      <c r="B29" s="0" t="n">
        <v>470</v>
      </c>
      <c r="C29" s="13" t="n">
        <f aca="false">C28+$D$18</f>
        <v>170</v>
      </c>
      <c r="F29" s="15"/>
      <c r="G29" s="0" t="n">
        <v>470</v>
      </c>
      <c r="H29" s="16" t="n">
        <f aca="false">G29*$H$21</f>
        <v>47000</v>
      </c>
      <c r="I29" s="16" t="n">
        <f aca="false">$G$29*I21</f>
        <v>51700</v>
      </c>
      <c r="J29" s="16" t="n">
        <f aca="false">$G$29*J21</f>
        <v>56400</v>
      </c>
      <c r="K29" s="16" t="n">
        <f aca="false">$G$29*K21</f>
        <v>61100</v>
      </c>
      <c r="L29" s="16" t="n">
        <f aca="false">$G$29*L21</f>
        <v>65800</v>
      </c>
      <c r="M29" s="16" t="n">
        <f aca="false">$G$29*M21</f>
        <v>70500</v>
      </c>
      <c r="N29" s="16" t="n">
        <f aca="false">$G$29*N21</f>
        <v>75200</v>
      </c>
      <c r="O29" s="16" t="n">
        <f aca="false">$G$29*O21</f>
        <v>79900</v>
      </c>
      <c r="P29" s="16" t="n">
        <f aca="false">$G$29*P21</f>
        <v>84600</v>
      </c>
      <c r="Q29" s="16" t="n">
        <f aca="false">$G$29*Q21</f>
        <v>89300</v>
      </c>
      <c r="R29" s="16" t="n">
        <f aca="false">$G$29*R21</f>
        <v>94000</v>
      </c>
    </row>
    <row r="30" customFormat="false" ht="12.8" hidden="false" customHeight="false" outlineLevel="0" collapsed="false">
      <c r="B30" s="0" t="n">
        <v>480</v>
      </c>
      <c r="C30" s="13" t="n">
        <f aca="false">C29+$D$18</f>
        <v>180</v>
      </c>
      <c r="F30" s="15"/>
      <c r="G30" s="0" t="n">
        <v>480</v>
      </c>
      <c r="H30" s="16" t="n">
        <f aca="false">G30*$H$21</f>
        <v>48000</v>
      </c>
      <c r="I30" s="16" t="n">
        <f aca="false">$G$30*I21</f>
        <v>52800</v>
      </c>
      <c r="J30" s="16" t="n">
        <f aca="false">$G$30*J21</f>
        <v>57600</v>
      </c>
      <c r="K30" s="16" t="n">
        <f aca="false">$G$30*K21</f>
        <v>62400</v>
      </c>
      <c r="L30" s="16" t="n">
        <f aca="false">$G$30*L21</f>
        <v>67200</v>
      </c>
      <c r="M30" s="16" t="n">
        <f aca="false">$G$30*M21</f>
        <v>72000</v>
      </c>
      <c r="N30" s="16" t="n">
        <f aca="false">$G$30*N21</f>
        <v>76800</v>
      </c>
      <c r="O30" s="16" t="n">
        <f aca="false">$G$30*O21</f>
        <v>81600</v>
      </c>
      <c r="P30" s="16" t="n">
        <f aca="false">$G$30*P21</f>
        <v>86400</v>
      </c>
      <c r="Q30" s="16" t="n">
        <f aca="false">$G$30*Q21</f>
        <v>91200</v>
      </c>
      <c r="R30" s="16" t="n">
        <f aca="false">$G$30*R21</f>
        <v>96000</v>
      </c>
    </row>
    <row r="31" customFormat="false" ht="12.8" hidden="false" customHeight="false" outlineLevel="0" collapsed="false">
      <c r="B31" s="0" t="n">
        <v>490</v>
      </c>
      <c r="C31" s="13" t="n">
        <f aca="false">C30+$D$18</f>
        <v>190</v>
      </c>
      <c r="F31" s="15"/>
      <c r="G31" s="0" t="n">
        <v>490</v>
      </c>
      <c r="H31" s="16" t="n">
        <f aca="false">G31*$H$21</f>
        <v>49000</v>
      </c>
      <c r="I31" s="16" t="n">
        <f aca="false">$I$21*G31</f>
        <v>53900</v>
      </c>
      <c r="J31" s="16" t="n">
        <f aca="false">$J$21*G31</f>
        <v>58800</v>
      </c>
      <c r="K31" s="16" t="n">
        <f aca="false">$K$21*G31</f>
        <v>63700</v>
      </c>
      <c r="L31" s="16" t="n">
        <f aca="false">$L$21*G31</f>
        <v>68600</v>
      </c>
      <c r="M31" s="16" t="n">
        <f aca="false">$M$21*G31</f>
        <v>73500</v>
      </c>
      <c r="N31" s="16" t="n">
        <f aca="false">$N$21*G31</f>
        <v>78400</v>
      </c>
      <c r="O31" s="16" t="n">
        <f aca="false">$O$21*G31</f>
        <v>83300</v>
      </c>
      <c r="P31" s="16" t="n">
        <f aca="false">$P$21*G31</f>
        <v>88200</v>
      </c>
      <c r="Q31" s="16" t="n">
        <f aca="false">$Q$21*G31</f>
        <v>93100</v>
      </c>
      <c r="R31" s="16" t="n">
        <f aca="false">$R$21*G31</f>
        <v>98000</v>
      </c>
    </row>
    <row r="32" customFormat="false" ht="12.8" hidden="false" customHeight="false" outlineLevel="0" collapsed="false">
      <c r="B32" s="0" t="n">
        <v>500</v>
      </c>
      <c r="C32" s="13" t="n">
        <f aca="false">C31+$D$18</f>
        <v>200</v>
      </c>
      <c r="F32" s="15"/>
      <c r="G32" s="0" t="n">
        <v>500</v>
      </c>
      <c r="H32" s="16" t="n">
        <f aca="false">G32*$H$21</f>
        <v>50000</v>
      </c>
      <c r="I32" s="16" t="n">
        <f aca="false">$I$21*G32</f>
        <v>55000</v>
      </c>
      <c r="J32" s="16" t="n">
        <f aca="false">$J$21*G32</f>
        <v>60000</v>
      </c>
      <c r="K32" s="16" t="n">
        <f aca="false">$K$21*G32</f>
        <v>65000</v>
      </c>
      <c r="L32" s="16" t="n">
        <f aca="false">$L$21*G32</f>
        <v>70000</v>
      </c>
      <c r="M32" s="16" t="n">
        <f aca="false">$M$21*G32</f>
        <v>75000</v>
      </c>
      <c r="N32" s="16" t="n">
        <f aca="false">$N$21*G32</f>
        <v>80000</v>
      </c>
      <c r="O32" s="16" t="n">
        <f aca="false">$O$21*G32</f>
        <v>85000</v>
      </c>
      <c r="P32" s="16" t="n">
        <f aca="false">$P$21*G32</f>
        <v>90000</v>
      </c>
      <c r="Q32" s="16" t="n">
        <f aca="false">$Q$21*G32</f>
        <v>95000</v>
      </c>
      <c r="R32" s="16" t="n">
        <f aca="false">$R$21*G32</f>
        <v>100000</v>
      </c>
    </row>
    <row r="33" customFormat="false" ht="12.8" hidden="false" customHeight="false" outlineLevel="0" collapsed="false">
      <c r="B33" s="0" t="n">
        <v>510</v>
      </c>
      <c r="F33" s="15"/>
      <c r="G33" s="0" t="n">
        <v>510</v>
      </c>
      <c r="H33" s="16" t="n">
        <f aca="false">G33*$H$21</f>
        <v>51000</v>
      </c>
      <c r="I33" s="16" t="n">
        <f aca="false">$I$21*G33</f>
        <v>56100</v>
      </c>
      <c r="J33" s="16" t="n">
        <f aca="false">$J$21*G33</f>
        <v>61200</v>
      </c>
      <c r="K33" s="16" t="n">
        <f aca="false">$K$21*G33</f>
        <v>66300</v>
      </c>
      <c r="L33" s="16" t="n">
        <f aca="false">$L$21*G33</f>
        <v>71400</v>
      </c>
      <c r="M33" s="16" t="n">
        <f aca="false">$M$21*G33</f>
        <v>76500</v>
      </c>
      <c r="N33" s="16" t="n">
        <f aca="false">$N$21*G33</f>
        <v>81600</v>
      </c>
      <c r="O33" s="16" t="n">
        <f aca="false">$O$21*G33</f>
        <v>86700</v>
      </c>
      <c r="P33" s="16" t="n">
        <f aca="false">$P$21*G33</f>
        <v>91800</v>
      </c>
      <c r="Q33" s="16" t="n">
        <f aca="false">$Q$21*G33</f>
        <v>96900</v>
      </c>
      <c r="R33" s="16" t="n">
        <f aca="false">$R$21*G33</f>
        <v>102000</v>
      </c>
    </row>
    <row r="34" customFormat="false" ht="12.8" hidden="false" customHeight="false" outlineLevel="0" collapsed="false">
      <c r="B34" s="0" t="n">
        <v>520</v>
      </c>
      <c r="F34" s="15"/>
      <c r="G34" s="0" t="n">
        <v>520</v>
      </c>
      <c r="H34" s="16" t="n">
        <f aca="false">G34*$H$21</f>
        <v>52000</v>
      </c>
      <c r="I34" s="16" t="n">
        <f aca="false">$I$21*G34</f>
        <v>57200</v>
      </c>
      <c r="J34" s="16" t="n">
        <f aca="false">$J$21*G34</f>
        <v>62400</v>
      </c>
      <c r="K34" s="16" t="n">
        <f aca="false">$K$21*G34</f>
        <v>67600</v>
      </c>
      <c r="L34" s="16" t="n">
        <f aca="false">$L$21*G34</f>
        <v>72800</v>
      </c>
      <c r="M34" s="16" t="n">
        <f aca="false">$M$21*G34</f>
        <v>78000</v>
      </c>
      <c r="N34" s="16" t="n">
        <f aca="false">$N$21*G34</f>
        <v>83200</v>
      </c>
      <c r="O34" s="16" t="n">
        <f aca="false">$O$21*G34</f>
        <v>88400</v>
      </c>
      <c r="P34" s="16" t="n">
        <f aca="false">$P$21*G34</f>
        <v>93600</v>
      </c>
      <c r="Q34" s="16" t="n">
        <f aca="false">$Q$21*G34</f>
        <v>98800</v>
      </c>
      <c r="R34" s="16" t="n">
        <f aca="false">$R$21*G34</f>
        <v>104000</v>
      </c>
    </row>
    <row r="35" customFormat="false" ht="12.8" hidden="false" customHeight="false" outlineLevel="0" collapsed="false">
      <c r="B35" s="0" t="n">
        <v>530</v>
      </c>
      <c r="F35" s="15"/>
      <c r="G35" s="0" t="n">
        <v>530</v>
      </c>
      <c r="H35" s="16" t="n">
        <f aca="false">G35*$H$21</f>
        <v>53000</v>
      </c>
      <c r="I35" s="16" t="n">
        <f aca="false">$I$21*G35</f>
        <v>58300</v>
      </c>
      <c r="J35" s="16" t="n">
        <f aca="false">$J$21*G35</f>
        <v>63600</v>
      </c>
      <c r="K35" s="16" t="n">
        <f aca="false">$K$21*G35</f>
        <v>68900</v>
      </c>
      <c r="L35" s="16" t="n">
        <f aca="false">$L$21*G35</f>
        <v>74200</v>
      </c>
      <c r="M35" s="16" t="n">
        <f aca="false">$M$21*G35</f>
        <v>79500</v>
      </c>
      <c r="N35" s="16" t="n">
        <f aca="false">$N$21*G35</f>
        <v>84800</v>
      </c>
      <c r="O35" s="16" t="n">
        <f aca="false">$O$21*G35</f>
        <v>90100</v>
      </c>
      <c r="P35" s="16" t="n">
        <f aca="false">$P$21*G35</f>
        <v>95400</v>
      </c>
      <c r="Q35" s="16" t="n">
        <f aca="false">$Q$21*G35</f>
        <v>100700</v>
      </c>
      <c r="R35" s="16" t="n">
        <f aca="false">$R$21*G35</f>
        <v>106000</v>
      </c>
    </row>
    <row r="36" customFormat="false" ht="12.8" hidden="false" customHeight="false" outlineLevel="0" collapsed="false">
      <c r="B36" s="0" t="n">
        <v>540</v>
      </c>
      <c r="F36" s="15"/>
      <c r="G36" s="0" t="n">
        <v>540</v>
      </c>
      <c r="H36" s="16" t="n">
        <f aca="false">G36*$H$21</f>
        <v>54000</v>
      </c>
      <c r="I36" s="16" t="n">
        <f aca="false">$I$21*G36</f>
        <v>59400</v>
      </c>
      <c r="J36" s="16" t="n">
        <f aca="false">$J$21*G36</f>
        <v>64800</v>
      </c>
      <c r="K36" s="16" t="n">
        <f aca="false">$K$21*G36</f>
        <v>70200</v>
      </c>
      <c r="L36" s="16" t="n">
        <f aca="false">$L$21*G36</f>
        <v>75600</v>
      </c>
      <c r="M36" s="16" t="n">
        <f aca="false">$M$21*G36</f>
        <v>81000</v>
      </c>
      <c r="N36" s="16" t="n">
        <f aca="false">$N$21*G36</f>
        <v>86400</v>
      </c>
      <c r="O36" s="16" t="n">
        <f aca="false">$O$21*G36</f>
        <v>91800</v>
      </c>
      <c r="P36" s="16" t="n">
        <f aca="false">$P$21*G36</f>
        <v>97200</v>
      </c>
      <c r="Q36" s="16" t="n">
        <f aca="false">$Q$21*G36</f>
        <v>102600</v>
      </c>
      <c r="R36" s="16" t="n">
        <f aca="false">$R$21*G36</f>
        <v>108000</v>
      </c>
    </row>
    <row r="37" customFormat="false" ht="12.8" hidden="false" customHeight="false" outlineLevel="0" collapsed="false">
      <c r="B37" s="0" t="n">
        <v>550</v>
      </c>
      <c r="F37" s="15"/>
      <c r="G37" s="0" t="n">
        <v>550</v>
      </c>
      <c r="H37" s="16" t="n">
        <f aca="false">G37*$H$21</f>
        <v>55000</v>
      </c>
      <c r="I37" s="16" t="n">
        <f aca="false">$I$21*G37</f>
        <v>60500</v>
      </c>
      <c r="J37" s="16" t="n">
        <f aca="false">$J$21*G37</f>
        <v>66000</v>
      </c>
      <c r="K37" s="16" t="n">
        <f aca="false">$K$21*G37</f>
        <v>71500</v>
      </c>
      <c r="L37" s="16" t="n">
        <f aca="false">$L$21*G37</f>
        <v>77000</v>
      </c>
      <c r="M37" s="16" t="n">
        <f aca="false">$M$21*G37</f>
        <v>82500</v>
      </c>
      <c r="N37" s="16" t="n">
        <f aca="false">$N$21*G37</f>
        <v>88000</v>
      </c>
      <c r="O37" s="16" t="n">
        <f aca="false">$O$21*G37</f>
        <v>93500</v>
      </c>
      <c r="P37" s="16" t="n">
        <f aca="false">$P$21*G37</f>
        <v>99000</v>
      </c>
      <c r="Q37" s="16" t="n">
        <f aca="false">$Q$21*G37</f>
        <v>104500</v>
      </c>
      <c r="R37" s="16" t="n">
        <f aca="false">$R$21*G37</f>
        <v>110000</v>
      </c>
    </row>
    <row r="38" customFormat="false" ht="12.8" hidden="false" customHeight="false" outlineLevel="0" collapsed="false">
      <c r="B38" s="0" t="n">
        <v>560</v>
      </c>
      <c r="F38" s="15"/>
      <c r="G38" s="0" t="n">
        <v>560</v>
      </c>
      <c r="H38" s="16" t="n">
        <f aca="false">G38*$H$21</f>
        <v>56000</v>
      </c>
      <c r="I38" s="16" t="n">
        <f aca="false">$I$21*G38</f>
        <v>61600</v>
      </c>
      <c r="J38" s="16" t="n">
        <f aca="false">$J$21*G38</f>
        <v>67200</v>
      </c>
      <c r="K38" s="16" t="n">
        <f aca="false">$K$21*G38</f>
        <v>72800</v>
      </c>
      <c r="L38" s="16" t="n">
        <f aca="false">$L$21*G38</f>
        <v>78400</v>
      </c>
      <c r="M38" s="16" t="n">
        <f aca="false">$M$21*G38</f>
        <v>84000</v>
      </c>
      <c r="N38" s="16" t="n">
        <f aca="false">$N$21*G38</f>
        <v>89600</v>
      </c>
      <c r="O38" s="16" t="n">
        <f aca="false">$O$21*G38</f>
        <v>95200</v>
      </c>
      <c r="P38" s="16" t="n">
        <f aca="false">$P$21*G38</f>
        <v>100800</v>
      </c>
      <c r="Q38" s="16" t="n">
        <f aca="false">$Q$21*G38</f>
        <v>106400</v>
      </c>
      <c r="R38" s="16" t="n">
        <f aca="false">$R$21*G38</f>
        <v>112000</v>
      </c>
    </row>
    <row r="39" customFormat="false" ht="12.8" hidden="false" customHeight="false" outlineLevel="0" collapsed="false">
      <c r="B39" s="0" t="n">
        <v>570</v>
      </c>
      <c r="F39" s="15"/>
      <c r="G39" s="0" t="n">
        <v>570</v>
      </c>
      <c r="H39" s="16" t="n">
        <f aca="false">G39*$H$21</f>
        <v>57000</v>
      </c>
      <c r="I39" s="16" t="n">
        <f aca="false">$I$21*G39</f>
        <v>62700</v>
      </c>
      <c r="J39" s="16" t="n">
        <f aca="false">$J$21*G39</f>
        <v>68400</v>
      </c>
      <c r="K39" s="16" t="n">
        <f aca="false">$K$21*G39</f>
        <v>74100</v>
      </c>
      <c r="L39" s="16" t="n">
        <f aca="false">$L$21*G39</f>
        <v>79800</v>
      </c>
      <c r="M39" s="16" t="n">
        <f aca="false">$M$21*G39</f>
        <v>85500</v>
      </c>
      <c r="N39" s="16" t="n">
        <f aca="false">$N$21*G39</f>
        <v>91200</v>
      </c>
      <c r="O39" s="16" t="n">
        <f aca="false">$O$21*G39</f>
        <v>96900</v>
      </c>
      <c r="P39" s="16" t="n">
        <f aca="false">$P$21*G39</f>
        <v>102600</v>
      </c>
      <c r="Q39" s="16" t="n">
        <f aca="false">$Q$21*G39</f>
        <v>108300</v>
      </c>
      <c r="R39" s="16" t="n">
        <f aca="false">$R$21*G39</f>
        <v>114000</v>
      </c>
    </row>
    <row r="40" customFormat="false" ht="12.8" hidden="false" customHeight="false" outlineLevel="0" collapsed="false">
      <c r="B40" s="0" t="n">
        <v>580</v>
      </c>
      <c r="F40" s="15"/>
      <c r="G40" s="0" t="n">
        <v>580</v>
      </c>
      <c r="H40" s="16" t="n">
        <f aca="false">G40*$H$21</f>
        <v>58000</v>
      </c>
      <c r="I40" s="16" t="n">
        <f aca="false">$I$21*G40</f>
        <v>63800</v>
      </c>
      <c r="J40" s="16" t="n">
        <f aca="false">$J$21*G40</f>
        <v>69600</v>
      </c>
      <c r="K40" s="16" t="n">
        <f aca="false">$K$21*G40</f>
        <v>75400</v>
      </c>
      <c r="L40" s="16" t="n">
        <f aca="false">$L$21*G40</f>
        <v>81200</v>
      </c>
      <c r="M40" s="16" t="n">
        <f aca="false">$M$21*G40</f>
        <v>87000</v>
      </c>
      <c r="N40" s="16" t="n">
        <f aca="false">$N$21*G40</f>
        <v>92800</v>
      </c>
      <c r="O40" s="16" t="n">
        <f aca="false">$O$21*G40</f>
        <v>98600</v>
      </c>
      <c r="P40" s="16" t="n">
        <f aca="false">$P$21*G40</f>
        <v>104400</v>
      </c>
      <c r="Q40" s="16" t="n">
        <f aca="false">$Q$21*G40</f>
        <v>110200</v>
      </c>
      <c r="R40" s="16" t="n">
        <f aca="false">$R$21*G40</f>
        <v>116000</v>
      </c>
    </row>
    <row r="41" customFormat="false" ht="12.8" hidden="false" customHeight="false" outlineLevel="0" collapsed="false">
      <c r="B41" s="0" t="n">
        <v>590</v>
      </c>
      <c r="F41" s="15"/>
      <c r="G41" s="0" t="n">
        <v>590</v>
      </c>
      <c r="H41" s="16" t="n">
        <f aca="false">G41*$H$21</f>
        <v>59000</v>
      </c>
      <c r="I41" s="16" t="n">
        <f aca="false">$I$21*G41</f>
        <v>64900</v>
      </c>
      <c r="J41" s="16" t="n">
        <f aca="false">$J$21*G41</f>
        <v>70800</v>
      </c>
      <c r="K41" s="16" t="n">
        <f aca="false">$K$21*G41</f>
        <v>76700</v>
      </c>
      <c r="L41" s="16" t="n">
        <f aca="false">$L$21*G41</f>
        <v>82600</v>
      </c>
      <c r="M41" s="16" t="n">
        <f aca="false">$M$21*G41</f>
        <v>88500</v>
      </c>
      <c r="N41" s="16" t="n">
        <f aca="false">$N$21*G41</f>
        <v>94400</v>
      </c>
      <c r="O41" s="16" t="n">
        <f aca="false">$O$21*G41</f>
        <v>100300</v>
      </c>
      <c r="P41" s="16" t="n">
        <f aca="false">$P$21*G41</f>
        <v>106200</v>
      </c>
      <c r="Q41" s="16" t="n">
        <f aca="false">$Q$21*G41</f>
        <v>112100</v>
      </c>
      <c r="R41" s="16" t="n">
        <f aca="false">$R$21*G41</f>
        <v>118000</v>
      </c>
    </row>
    <row r="42" customFormat="false" ht="12.8" hidden="false" customHeight="false" outlineLevel="0" collapsed="false">
      <c r="B42" s="0" t="n">
        <v>600</v>
      </c>
      <c r="F42" s="15"/>
      <c r="G42" s="0" t="n">
        <v>600</v>
      </c>
      <c r="H42" s="16" t="n">
        <f aca="false">G42*$H$21</f>
        <v>60000</v>
      </c>
      <c r="I42" s="16" t="n">
        <f aca="false">$I$21*G42</f>
        <v>66000</v>
      </c>
      <c r="J42" s="16" t="n">
        <f aca="false">$J$21*G42</f>
        <v>72000</v>
      </c>
      <c r="K42" s="16" t="n">
        <f aca="false">$K$21*G42</f>
        <v>78000</v>
      </c>
      <c r="L42" s="16" t="n">
        <f aca="false">$L$21*G42</f>
        <v>84000</v>
      </c>
      <c r="M42" s="16" t="n">
        <f aca="false">$M$21*G42</f>
        <v>90000</v>
      </c>
      <c r="N42" s="16" t="n">
        <f aca="false">$N$21*G42</f>
        <v>96000</v>
      </c>
      <c r="O42" s="16" t="n">
        <f aca="false">$O$21*G42</f>
        <v>102000</v>
      </c>
      <c r="P42" s="16" t="n">
        <f aca="false">$P$21*G42</f>
        <v>108000</v>
      </c>
      <c r="Q42" s="16" t="n">
        <f aca="false">$Q$21*G42</f>
        <v>114000</v>
      </c>
      <c r="R42" s="16" t="n">
        <f aca="false">$R$21*G42</f>
        <v>120000</v>
      </c>
    </row>
    <row r="48" customFormat="false" ht="18.5" hidden="false" customHeight="false" outlineLevel="0" collapsed="false">
      <c r="B48" s="3" t="s">
        <v>11</v>
      </c>
    </row>
    <row r="49" customFormat="false" ht="17.5" hidden="false" customHeight="true" outlineLevel="0" collapsed="false"/>
    <row r="50" customFormat="false" ht="12" hidden="false" customHeight="false" outlineLevel="0" collapsed="false">
      <c r="B50" s="0" t="s">
        <v>12</v>
      </c>
    </row>
    <row r="51" customFormat="false" ht="22.4" hidden="false" customHeight="true" outlineLevel="0" collapsed="false">
      <c r="B51" s="0" t="s">
        <v>13</v>
      </c>
    </row>
    <row r="52" customFormat="false" ht="9.65" hidden="false" customHeight="true" outlineLevel="0" collapsed="false"/>
    <row r="54" customFormat="false" ht="11.5" hidden="false" customHeight="false" outlineLevel="0" collapsed="false">
      <c r="B54" s="17" t="s">
        <v>14</v>
      </c>
      <c r="C54" s="17"/>
      <c r="D54" s="18" t="n">
        <f aca="false">SUM(Revenue_Combinations)</f>
        <v>10500</v>
      </c>
    </row>
    <row r="55" customFormat="false" ht="11.5" hidden="false" customHeight="false" outlineLevel="0" collapsed="false">
      <c r="B55" s="17" t="s">
        <v>15</v>
      </c>
      <c r="C55" s="17"/>
      <c r="D55" s="18" t="s">
        <v>16</v>
      </c>
    </row>
    <row r="56" customFormat="false" ht="11.5" hidden="false" customHeight="false" outlineLevel="0" collapsed="false">
      <c r="B56" s="17" t="s">
        <v>17</v>
      </c>
      <c r="C56" s="17"/>
      <c r="D56" s="18" t="n">
        <f aca="false">AVERAGE(Revenue_Combinations)</f>
        <v>500</v>
      </c>
    </row>
  </sheetData>
  <mergeCells count="3">
    <mergeCell ref="B10:J17"/>
    <mergeCell ref="G20:Q20"/>
    <mergeCell ref="F23:F42"/>
  </mergeCells>
  <printOptions headings="false" gridLines="false" gridLinesSet="true" horizontalCentered="false" verticalCentered="false"/>
  <pageMargins left="0.7" right="0.7" top="0.75" bottom="0.75" header="0.511805555555555" footer="0.511805555555555"/>
  <pageSetup paperSize="1" scale="57"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tableParts>
    <tablePart r:id="rId2"/>
  </tableParts>
</worksheet>
</file>

<file path=xl/worksheets/sheet3.xml><?xml version="1.0" encoding="utf-8"?>
<worksheet xmlns="http://schemas.openxmlformats.org/spreadsheetml/2006/main" xmlns:r="http://schemas.openxmlformats.org/officeDocument/2006/relationships">
  <sheetPr filterMode="false">
    <tabColor rgb="FF7A1818"/>
    <pageSetUpPr fitToPage="false"/>
  </sheetPr>
  <dimension ref="A1:R5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P38" activeCellId="0" sqref="P38"/>
    </sheetView>
  </sheetViews>
  <sheetFormatPr defaultRowHeight="11.5" zeroHeight="false" outlineLevelRow="0" outlineLevelCol="0"/>
  <cols>
    <col collapsed="false" customWidth="true" hidden="false" outlineLevel="0" max="1" min="1" style="0" width="9"/>
    <col collapsed="false" customWidth="true" hidden="false" outlineLevel="0" max="2" min="2" style="0" width="17.1"/>
    <col collapsed="false" customWidth="true" hidden="false" outlineLevel="0" max="3" min="3" style="0" width="26.1"/>
    <col collapsed="false" customWidth="true" hidden="false" outlineLevel="0" max="5" min="4" style="0" width="12.4"/>
    <col collapsed="false" customWidth="true" hidden="false" outlineLevel="0" max="6" min="6" style="0" width="3.4"/>
    <col collapsed="false" customWidth="true" hidden="false" outlineLevel="0" max="7" min="7" style="0" width="8.4"/>
    <col collapsed="false" customWidth="true" hidden="false" outlineLevel="0" max="14" min="8" style="0" width="7.6"/>
    <col collapsed="false" customWidth="true" hidden="false" outlineLevel="0" max="18" min="15" style="0" width="8.6"/>
    <col collapsed="false" customWidth="true" hidden="false" outlineLevel="0" max="1025" min="19" style="0" width="9"/>
  </cols>
  <sheetData>
    <row r="1" customFormat="false" ht="13" hidden="false" customHeight="false" outlineLevel="0" collapsed="false">
      <c r="A1" s="2" t="str">
        <f aca="false">'Cover Page'!A1</f>
        <v>Problem Solving With Excel</v>
      </c>
    </row>
    <row r="2" customFormat="false" ht="13" hidden="false" customHeight="false" outlineLevel="0" collapsed="false">
      <c r="A2" s="2" t="str">
        <f aca="false">'Cover Page'!A2</f>
        <v>Week 1 project</v>
      </c>
    </row>
    <row r="3" customFormat="false" ht="13" hidden="false" customHeight="false" outlineLevel="0" collapsed="false">
      <c r="A3" s="2" t="n">
        <f aca="false">'Cover Page'!A3</f>
        <v>0</v>
      </c>
    </row>
    <row r="4" customFormat="false" ht="13" hidden="false" customHeight="false" outlineLevel="0" collapsed="false">
      <c r="A4" s="2" t="s">
        <v>2</v>
      </c>
    </row>
    <row r="7" customFormat="false" ht="18.5" hidden="false" customHeight="false" outlineLevel="0" collapsed="false">
      <c r="B7" s="3" t="s">
        <v>3</v>
      </c>
    </row>
    <row r="8" customFormat="false" ht="17.5" hidden="false" customHeight="true" outlineLevel="0" collapsed="false"/>
    <row r="9" customFormat="false" ht="8.15" hidden="false" customHeight="true" outlineLevel="0" collapsed="false"/>
    <row r="10" customFormat="false" ht="22.4" hidden="false" customHeight="true" outlineLevel="0" collapsed="false">
      <c r="B10" s="4" t="s">
        <v>18</v>
      </c>
      <c r="C10" s="4"/>
      <c r="D10" s="4"/>
      <c r="E10" s="4"/>
      <c r="F10" s="4"/>
      <c r="G10" s="4"/>
      <c r="H10" s="4"/>
      <c r="I10" s="4"/>
      <c r="J10" s="4"/>
    </row>
    <row r="11" customFormat="false" ht="9.65" hidden="false" customHeight="true" outlineLevel="0" collapsed="false">
      <c r="B11" s="4"/>
      <c r="C11" s="4"/>
      <c r="D11" s="4"/>
      <c r="E11" s="4"/>
      <c r="F11" s="4"/>
      <c r="G11" s="4"/>
      <c r="H11" s="4"/>
      <c r="I11" s="4"/>
      <c r="J11" s="4"/>
    </row>
    <row r="12" customFormat="false" ht="11.5" hidden="false" customHeight="false" outlineLevel="0" collapsed="false">
      <c r="B12" s="4"/>
      <c r="C12" s="4"/>
      <c r="D12" s="4"/>
      <c r="E12" s="4"/>
      <c r="F12" s="4"/>
      <c r="G12" s="4"/>
      <c r="H12" s="4"/>
      <c r="I12" s="4"/>
      <c r="J12" s="4"/>
    </row>
    <row r="13" customFormat="false" ht="11.5" hidden="false" customHeight="false" outlineLevel="0" collapsed="false">
      <c r="B13" s="4"/>
      <c r="C13" s="4"/>
      <c r="D13" s="4"/>
      <c r="E13" s="4"/>
      <c r="F13" s="4"/>
      <c r="G13" s="4"/>
      <c r="H13" s="4"/>
      <c r="I13" s="4"/>
      <c r="J13" s="4"/>
    </row>
    <row r="14" customFormat="false" ht="11.5" hidden="false" customHeight="false" outlineLevel="0" collapsed="false">
      <c r="B14" s="4"/>
      <c r="C14" s="4"/>
      <c r="D14" s="4"/>
      <c r="E14" s="4"/>
      <c r="F14" s="4"/>
      <c r="G14" s="4"/>
      <c r="H14" s="4"/>
      <c r="I14" s="4"/>
      <c r="J14" s="4"/>
    </row>
    <row r="15" customFormat="false" ht="11.5" hidden="false" customHeight="false" outlineLevel="0" collapsed="false">
      <c r="B15" s="4"/>
      <c r="C15" s="4"/>
      <c r="D15" s="4"/>
      <c r="E15" s="4"/>
      <c r="F15" s="4"/>
      <c r="G15" s="4"/>
      <c r="H15" s="4"/>
      <c r="I15" s="4"/>
      <c r="J15" s="4"/>
    </row>
    <row r="16" customFormat="false" ht="11.5" hidden="false" customHeight="false" outlineLevel="0" collapsed="false">
      <c r="B16" s="4"/>
      <c r="C16" s="4"/>
      <c r="D16" s="4"/>
      <c r="E16" s="4"/>
      <c r="F16" s="4"/>
      <c r="G16" s="4"/>
      <c r="H16" s="4"/>
      <c r="I16" s="4"/>
      <c r="J16" s="4"/>
    </row>
    <row r="17" customFormat="false" ht="11.5" hidden="false" customHeight="false" outlineLevel="0" collapsed="false">
      <c r="B17" s="4"/>
      <c r="C17" s="4"/>
      <c r="D17" s="4"/>
      <c r="E17" s="4"/>
      <c r="F17" s="4"/>
      <c r="G17" s="4"/>
      <c r="H17" s="4"/>
      <c r="I17" s="4"/>
      <c r="J17" s="4"/>
    </row>
    <row r="18" customFormat="false" ht="11.5" hidden="false" customHeight="false" outlineLevel="0" collapsed="false">
      <c r="B18" s="5" t="s">
        <v>5</v>
      </c>
      <c r="C18" s="6" t="s">
        <v>6</v>
      </c>
      <c r="D18" s="7" t="n">
        <v>10</v>
      </c>
      <c r="G18" s="5" t="s">
        <v>7</v>
      </c>
      <c r="O18" s="0" t="s">
        <v>8</v>
      </c>
      <c r="P18" s="8"/>
    </row>
    <row r="19" customFormat="false" ht="11.5" hidden="false" customHeight="false" outlineLevel="0" collapsed="false">
      <c r="B19" s="5"/>
      <c r="C19" s="6"/>
      <c r="G19" s="5"/>
    </row>
    <row r="20" customFormat="false" ht="11.5" hidden="false" customHeight="false" outlineLevel="0" collapsed="false">
      <c r="B20" s="9"/>
      <c r="G20" s="10" t="s">
        <v>9</v>
      </c>
      <c r="H20" s="10"/>
      <c r="I20" s="10"/>
      <c r="J20" s="10"/>
      <c r="K20" s="10"/>
      <c r="L20" s="10"/>
      <c r="M20" s="10"/>
      <c r="N20" s="10"/>
      <c r="O20" s="10"/>
      <c r="P20" s="10"/>
      <c r="Q20" s="10"/>
    </row>
    <row r="21" customFormat="false" ht="12" hidden="false" customHeight="false" outlineLevel="0" collapsed="false">
      <c r="B21" s="11" t="s">
        <v>10</v>
      </c>
      <c r="C21" s="11" t="s">
        <v>9</v>
      </c>
      <c r="H21" s="12" t="n">
        <v>100</v>
      </c>
      <c r="I21" s="12" t="n">
        <v>110</v>
      </c>
      <c r="J21" s="12" t="n">
        <v>120</v>
      </c>
      <c r="K21" s="12" t="n">
        <v>130</v>
      </c>
      <c r="L21" s="12" t="n">
        <v>140</v>
      </c>
      <c r="M21" s="12" t="n">
        <v>150</v>
      </c>
      <c r="N21" s="12" t="n">
        <v>160</v>
      </c>
      <c r="O21" s="12" t="n">
        <v>170</v>
      </c>
      <c r="P21" s="12" t="n">
        <v>180</v>
      </c>
      <c r="Q21" s="12" t="n">
        <v>190</v>
      </c>
      <c r="R21" s="12" t="n">
        <v>200</v>
      </c>
    </row>
    <row r="22" customFormat="false" ht="11.5" hidden="false" customHeight="false" outlineLevel="0" collapsed="false">
      <c r="B22" s="0" t="n">
        <v>400</v>
      </c>
      <c r="C22" s="13" t="n">
        <v>100</v>
      </c>
      <c r="G22" s="19" t="n">
        <v>400</v>
      </c>
      <c r="H22" s="14" t="n">
        <f aca="false">$G22*H$21</f>
        <v>40000</v>
      </c>
      <c r="I22" s="16" t="n">
        <f aca="false">$G22*I$21</f>
        <v>44000</v>
      </c>
      <c r="J22" s="16" t="n">
        <f aca="false">$G22*J$21</f>
        <v>48000</v>
      </c>
      <c r="K22" s="16" t="n">
        <f aca="false">$G22*K$21</f>
        <v>52000</v>
      </c>
      <c r="L22" s="16" t="n">
        <f aca="false">$G22*L$21</f>
        <v>56000</v>
      </c>
      <c r="M22" s="16" t="n">
        <f aca="false">$G22*M$21</f>
        <v>60000</v>
      </c>
      <c r="N22" s="16" t="n">
        <f aca="false">$G22*N$21</f>
        <v>64000</v>
      </c>
      <c r="O22" s="16" t="n">
        <f aca="false">$G22*O$21</f>
        <v>68000</v>
      </c>
      <c r="P22" s="16" t="n">
        <f aca="false">$G22*P$21</f>
        <v>72000</v>
      </c>
      <c r="Q22" s="16" t="n">
        <f aca="false">$G22*Q$21</f>
        <v>76000</v>
      </c>
      <c r="R22" s="16" t="n">
        <f aca="false">$G22*R$21</f>
        <v>80000</v>
      </c>
    </row>
    <row r="23" customFormat="false" ht="11.5" hidden="false" customHeight="false" outlineLevel="0" collapsed="false">
      <c r="B23" s="0" t="n">
        <v>410</v>
      </c>
      <c r="C23" s="13" t="n">
        <f aca="false">C22+$D$18</f>
        <v>110</v>
      </c>
      <c r="F23" s="15" t="s">
        <v>10</v>
      </c>
      <c r="G23" s="19" t="n">
        <v>410</v>
      </c>
      <c r="H23" s="16" t="n">
        <f aca="false">$G23*H$21</f>
        <v>41000</v>
      </c>
      <c r="I23" s="16" t="n">
        <f aca="false">$G23*I$21</f>
        <v>45100</v>
      </c>
      <c r="J23" s="16" t="n">
        <f aca="false">$G23*J$21</f>
        <v>49200</v>
      </c>
      <c r="K23" s="16" t="n">
        <f aca="false">$G23*K$21</f>
        <v>53300</v>
      </c>
      <c r="L23" s="16" t="n">
        <f aca="false">$G23*L$21</f>
        <v>57400</v>
      </c>
      <c r="M23" s="16" t="n">
        <f aca="false">$G23*M$21</f>
        <v>61500</v>
      </c>
      <c r="N23" s="16" t="n">
        <f aca="false">$G23*N$21</f>
        <v>65600</v>
      </c>
      <c r="O23" s="16" t="n">
        <f aca="false">$G23*O$21</f>
        <v>69700</v>
      </c>
      <c r="P23" s="16" t="n">
        <f aca="false">$G23*P$21</f>
        <v>73800</v>
      </c>
      <c r="Q23" s="16" t="n">
        <f aca="false">$G23*Q$21</f>
        <v>77900</v>
      </c>
      <c r="R23" s="16" t="n">
        <f aca="false">$G23*R$21</f>
        <v>82000</v>
      </c>
    </row>
    <row r="24" customFormat="false" ht="11.5" hidden="false" customHeight="false" outlineLevel="0" collapsed="false">
      <c r="B24" s="0" t="n">
        <v>420</v>
      </c>
      <c r="C24" s="13" t="n">
        <f aca="false">C23+$D$18</f>
        <v>120</v>
      </c>
      <c r="F24" s="15"/>
      <c r="G24" s="19" t="n">
        <v>420</v>
      </c>
      <c r="H24" s="16" t="n">
        <f aca="false">$G24*H$21</f>
        <v>42000</v>
      </c>
      <c r="I24" s="16" t="n">
        <f aca="false">$G24*I$21</f>
        <v>46200</v>
      </c>
      <c r="J24" s="16" t="n">
        <f aca="false">$G24*J$21</f>
        <v>50400</v>
      </c>
      <c r="K24" s="16" t="n">
        <f aca="false">$G24*K$21</f>
        <v>54600</v>
      </c>
      <c r="L24" s="16" t="n">
        <f aca="false">$G24*L$21</f>
        <v>58800</v>
      </c>
      <c r="M24" s="16" t="n">
        <f aca="false">$G24*M$21</f>
        <v>63000</v>
      </c>
      <c r="N24" s="16" t="n">
        <f aca="false">$G24*N$21</f>
        <v>67200</v>
      </c>
      <c r="O24" s="16" t="n">
        <f aca="false">$G24*O$21</f>
        <v>71400</v>
      </c>
      <c r="P24" s="16" t="n">
        <f aca="false">$G24*P$21</f>
        <v>75600</v>
      </c>
      <c r="Q24" s="16" t="n">
        <f aca="false">$G24*Q$21</f>
        <v>79800</v>
      </c>
      <c r="R24" s="16" t="n">
        <f aca="false">$G24*R$21</f>
        <v>84000</v>
      </c>
    </row>
    <row r="25" customFormat="false" ht="11.5" hidden="false" customHeight="false" outlineLevel="0" collapsed="false">
      <c r="B25" s="0" t="n">
        <v>430</v>
      </c>
      <c r="C25" s="13" t="n">
        <f aca="false">C24+$D$18</f>
        <v>130</v>
      </c>
      <c r="F25" s="15"/>
      <c r="G25" s="19" t="n">
        <v>430</v>
      </c>
      <c r="H25" s="16" t="n">
        <f aca="false">$G25*H$21</f>
        <v>43000</v>
      </c>
      <c r="I25" s="16" t="n">
        <f aca="false">$G25*I$21</f>
        <v>47300</v>
      </c>
      <c r="J25" s="16" t="n">
        <f aca="false">$G25*J$21</f>
        <v>51600</v>
      </c>
      <c r="K25" s="16" t="n">
        <f aca="false">$G25*K$21</f>
        <v>55900</v>
      </c>
      <c r="L25" s="16" t="n">
        <f aca="false">$G25*L$21</f>
        <v>60200</v>
      </c>
      <c r="M25" s="16" t="n">
        <f aca="false">$G25*M$21</f>
        <v>64500</v>
      </c>
      <c r="N25" s="16" t="n">
        <f aca="false">$G25*N$21</f>
        <v>68800</v>
      </c>
      <c r="O25" s="16" t="n">
        <f aca="false">$G25*O$21</f>
        <v>73100</v>
      </c>
      <c r="P25" s="16" t="n">
        <f aca="false">$G25*P$21</f>
        <v>77400</v>
      </c>
      <c r="Q25" s="16" t="n">
        <f aca="false">$G25*Q$21</f>
        <v>81700</v>
      </c>
      <c r="R25" s="16" t="n">
        <f aca="false">$G25*R$21</f>
        <v>86000</v>
      </c>
    </row>
    <row r="26" customFormat="false" ht="11.5" hidden="false" customHeight="false" outlineLevel="0" collapsed="false">
      <c r="B26" s="0" t="n">
        <v>440</v>
      </c>
      <c r="C26" s="13" t="n">
        <f aca="false">C25+$D$18</f>
        <v>140</v>
      </c>
      <c r="F26" s="15"/>
      <c r="G26" s="19" t="n">
        <v>440</v>
      </c>
      <c r="H26" s="16" t="n">
        <f aca="false">$G26*H$21</f>
        <v>44000</v>
      </c>
      <c r="I26" s="16" t="n">
        <f aca="false">$G26*I$21</f>
        <v>48400</v>
      </c>
      <c r="J26" s="16" t="n">
        <f aca="false">$G26*J$21</f>
        <v>52800</v>
      </c>
      <c r="K26" s="16" t="n">
        <f aca="false">$G26*K$21</f>
        <v>57200</v>
      </c>
      <c r="L26" s="16" t="n">
        <f aca="false">$G26*L$21</f>
        <v>61600</v>
      </c>
      <c r="M26" s="16" t="n">
        <f aca="false">$G26*M$21</f>
        <v>66000</v>
      </c>
      <c r="N26" s="16" t="n">
        <f aca="false">$G26*N$21</f>
        <v>70400</v>
      </c>
      <c r="O26" s="16" t="n">
        <f aca="false">$G26*O$21</f>
        <v>74800</v>
      </c>
      <c r="P26" s="16" t="n">
        <f aca="false">$G26*P$21</f>
        <v>79200</v>
      </c>
      <c r="Q26" s="16" t="n">
        <f aca="false">$G26*Q$21</f>
        <v>83600</v>
      </c>
      <c r="R26" s="16" t="n">
        <f aca="false">$G26*R$21</f>
        <v>88000</v>
      </c>
    </row>
    <row r="27" customFormat="false" ht="11.5" hidden="false" customHeight="false" outlineLevel="0" collapsed="false">
      <c r="B27" s="0" t="n">
        <v>450</v>
      </c>
      <c r="C27" s="13" t="n">
        <f aca="false">C26+$D$18</f>
        <v>150</v>
      </c>
      <c r="F27" s="15"/>
      <c r="G27" s="19" t="n">
        <v>450</v>
      </c>
      <c r="H27" s="16" t="n">
        <f aca="false">$G27*H$21</f>
        <v>45000</v>
      </c>
      <c r="I27" s="16" t="n">
        <f aca="false">$G27*I$21</f>
        <v>49500</v>
      </c>
      <c r="J27" s="16" t="n">
        <f aca="false">$G27*J$21</f>
        <v>54000</v>
      </c>
      <c r="K27" s="16" t="n">
        <f aca="false">$G27*K$21</f>
        <v>58500</v>
      </c>
      <c r="L27" s="16" t="n">
        <f aca="false">$G27*L$21</f>
        <v>63000</v>
      </c>
      <c r="M27" s="16" t="n">
        <f aca="false">$G27*M$21</f>
        <v>67500</v>
      </c>
      <c r="N27" s="16" t="n">
        <f aca="false">$G27*N$21</f>
        <v>72000</v>
      </c>
      <c r="O27" s="16" t="n">
        <f aca="false">$G27*O$21</f>
        <v>76500</v>
      </c>
      <c r="P27" s="16" t="n">
        <f aca="false">$G27*P$21</f>
        <v>81000</v>
      </c>
      <c r="Q27" s="16" t="n">
        <f aca="false">$G27*Q$21</f>
        <v>85500</v>
      </c>
      <c r="R27" s="16" t="n">
        <f aca="false">$G27*R$21</f>
        <v>90000</v>
      </c>
    </row>
    <row r="28" customFormat="false" ht="11.5" hidden="false" customHeight="false" outlineLevel="0" collapsed="false">
      <c r="B28" s="0" t="n">
        <v>460</v>
      </c>
      <c r="C28" s="13" t="n">
        <f aca="false">C27+$D$18</f>
        <v>160</v>
      </c>
      <c r="F28" s="15"/>
      <c r="G28" s="19" t="n">
        <v>460</v>
      </c>
      <c r="H28" s="16" t="n">
        <f aca="false">$G28*H$21</f>
        <v>46000</v>
      </c>
      <c r="I28" s="16" t="n">
        <f aca="false">$G28*I$21</f>
        <v>50600</v>
      </c>
      <c r="J28" s="16" t="n">
        <f aca="false">$G28*J$21</f>
        <v>55200</v>
      </c>
      <c r="K28" s="16" t="n">
        <f aca="false">$G28*K$21</f>
        <v>59800</v>
      </c>
      <c r="L28" s="16" t="n">
        <f aca="false">$G28*L$21</f>
        <v>64400</v>
      </c>
      <c r="M28" s="16" t="n">
        <f aca="false">$G28*M$21</f>
        <v>69000</v>
      </c>
      <c r="N28" s="16" t="n">
        <f aca="false">$G28*N$21</f>
        <v>73600</v>
      </c>
      <c r="O28" s="16" t="n">
        <f aca="false">$G28*O$21</f>
        <v>78200</v>
      </c>
      <c r="P28" s="16" t="n">
        <f aca="false">$G28*P$21</f>
        <v>82800</v>
      </c>
      <c r="Q28" s="16" t="n">
        <f aca="false">$G28*Q$21</f>
        <v>87400</v>
      </c>
      <c r="R28" s="16" t="n">
        <f aca="false">$G28*R$21</f>
        <v>92000</v>
      </c>
    </row>
    <row r="29" customFormat="false" ht="11.5" hidden="false" customHeight="false" outlineLevel="0" collapsed="false">
      <c r="B29" s="0" t="n">
        <v>470</v>
      </c>
      <c r="C29" s="13" t="n">
        <f aca="false">C28+$D$18</f>
        <v>170</v>
      </c>
      <c r="F29" s="15"/>
      <c r="G29" s="19" t="n">
        <v>470</v>
      </c>
      <c r="H29" s="16" t="n">
        <f aca="false">$G29*H$21</f>
        <v>47000</v>
      </c>
      <c r="I29" s="16" t="n">
        <f aca="false">$G29*I$21</f>
        <v>51700</v>
      </c>
      <c r="J29" s="16" t="n">
        <f aca="false">$G29*J$21</f>
        <v>56400</v>
      </c>
      <c r="K29" s="16" t="n">
        <f aca="false">$G29*K$21</f>
        <v>61100</v>
      </c>
      <c r="L29" s="16" t="n">
        <f aca="false">$G29*L$21</f>
        <v>65800</v>
      </c>
      <c r="M29" s="16" t="n">
        <f aca="false">$G29*M$21</f>
        <v>70500</v>
      </c>
      <c r="N29" s="16" t="n">
        <f aca="false">$G29*N$21</f>
        <v>75200</v>
      </c>
      <c r="O29" s="16" t="n">
        <f aca="false">$G29*O$21</f>
        <v>79900</v>
      </c>
      <c r="P29" s="16" t="n">
        <f aca="false">$G29*P$21</f>
        <v>84600</v>
      </c>
      <c r="Q29" s="16" t="n">
        <f aca="false">$G29*Q$21</f>
        <v>89300</v>
      </c>
      <c r="R29" s="16" t="n">
        <f aca="false">$G29*R$21</f>
        <v>94000</v>
      </c>
    </row>
    <row r="30" customFormat="false" ht="11.5" hidden="false" customHeight="false" outlineLevel="0" collapsed="false">
      <c r="B30" s="0" t="n">
        <v>480</v>
      </c>
      <c r="C30" s="13" t="n">
        <f aca="false">C29+$D$18</f>
        <v>180</v>
      </c>
      <c r="F30" s="15"/>
      <c r="G30" s="19" t="n">
        <v>480</v>
      </c>
      <c r="H30" s="16" t="n">
        <f aca="false">$G30*H$21</f>
        <v>48000</v>
      </c>
      <c r="I30" s="16" t="n">
        <f aca="false">$G30*I$21</f>
        <v>52800</v>
      </c>
      <c r="J30" s="16" t="n">
        <f aca="false">$G30*J$21</f>
        <v>57600</v>
      </c>
      <c r="K30" s="16" t="n">
        <f aca="false">$G30*K$21</f>
        <v>62400</v>
      </c>
      <c r="L30" s="16" t="n">
        <f aca="false">$G30*L$21</f>
        <v>67200</v>
      </c>
      <c r="M30" s="16" t="n">
        <f aca="false">$G30*M$21</f>
        <v>72000</v>
      </c>
      <c r="N30" s="16" t="n">
        <f aca="false">$G30*N$21</f>
        <v>76800</v>
      </c>
      <c r="O30" s="16" t="n">
        <f aca="false">$G30*O$21</f>
        <v>81600</v>
      </c>
      <c r="P30" s="16" t="n">
        <f aca="false">$G30*P$21</f>
        <v>86400</v>
      </c>
      <c r="Q30" s="16" t="n">
        <f aca="false">$G30*Q$21</f>
        <v>91200</v>
      </c>
      <c r="R30" s="16" t="n">
        <f aca="false">$G30*R$21</f>
        <v>96000</v>
      </c>
    </row>
    <row r="31" customFormat="false" ht="11.5" hidden="false" customHeight="false" outlineLevel="0" collapsed="false">
      <c r="B31" s="0" t="n">
        <v>490</v>
      </c>
      <c r="C31" s="13" t="n">
        <f aca="false">C30+$D$18</f>
        <v>190</v>
      </c>
      <c r="F31" s="15"/>
      <c r="G31" s="19" t="n">
        <v>490</v>
      </c>
      <c r="H31" s="16" t="n">
        <f aca="false">$G31*H$21</f>
        <v>49000</v>
      </c>
      <c r="I31" s="16" t="n">
        <f aca="false">$G31*I$21</f>
        <v>53900</v>
      </c>
      <c r="J31" s="16" t="n">
        <f aca="false">$G31*J$21</f>
        <v>58800</v>
      </c>
      <c r="K31" s="16" t="n">
        <f aca="false">$G31*K$21</f>
        <v>63700</v>
      </c>
      <c r="L31" s="16" t="n">
        <f aca="false">$G31*L$21</f>
        <v>68600</v>
      </c>
      <c r="M31" s="16" t="n">
        <f aca="false">$G31*M$21</f>
        <v>73500</v>
      </c>
      <c r="N31" s="16" t="n">
        <f aca="false">$G31*N$21</f>
        <v>78400</v>
      </c>
      <c r="O31" s="16" t="n">
        <f aca="false">$G31*O$21</f>
        <v>83300</v>
      </c>
      <c r="P31" s="16" t="n">
        <f aca="false">$G31*P$21</f>
        <v>88200</v>
      </c>
      <c r="Q31" s="16" t="n">
        <f aca="false">$G31*Q$21</f>
        <v>93100</v>
      </c>
      <c r="R31" s="16" t="n">
        <f aca="false">$G31*R$21</f>
        <v>98000</v>
      </c>
    </row>
    <row r="32" customFormat="false" ht="11.5" hidden="false" customHeight="false" outlineLevel="0" collapsed="false">
      <c r="B32" s="0" t="n">
        <v>500</v>
      </c>
      <c r="C32" s="13" t="n">
        <f aca="false">C31+$D$18</f>
        <v>200</v>
      </c>
      <c r="F32" s="15"/>
      <c r="G32" s="19" t="n">
        <v>500</v>
      </c>
      <c r="H32" s="16" t="n">
        <f aca="false">$G32*H$21</f>
        <v>50000</v>
      </c>
      <c r="I32" s="16" t="n">
        <f aca="false">$G32*I$21</f>
        <v>55000</v>
      </c>
      <c r="J32" s="16" t="n">
        <f aca="false">$G32*J$21</f>
        <v>60000</v>
      </c>
      <c r="K32" s="16" t="n">
        <f aca="false">$G32*K$21</f>
        <v>65000</v>
      </c>
      <c r="L32" s="16" t="n">
        <f aca="false">$G32*L$21</f>
        <v>70000</v>
      </c>
      <c r="M32" s="16" t="n">
        <f aca="false">$G32*M$21</f>
        <v>75000</v>
      </c>
      <c r="N32" s="16" t="n">
        <f aca="false">$G32*N$21</f>
        <v>80000</v>
      </c>
      <c r="O32" s="16" t="n">
        <f aca="false">$G32*O$21</f>
        <v>85000</v>
      </c>
      <c r="P32" s="16" t="n">
        <f aca="false">$G32*P$21</f>
        <v>90000</v>
      </c>
      <c r="Q32" s="16" t="n">
        <f aca="false">$G32*Q$21</f>
        <v>95000</v>
      </c>
      <c r="R32" s="8" t="n">
        <f aca="false">$G32*R$21</f>
        <v>100000</v>
      </c>
    </row>
    <row r="33" customFormat="false" ht="11.5" hidden="false" customHeight="false" outlineLevel="0" collapsed="false">
      <c r="B33" s="0" t="n">
        <v>510</v>
      </c>
      <c r="F33" s="15"/>
      <c r="G33" s="19" t="n">
        <v>510</v>
      </c>
      <c r="H33" s="16" t="n">
        <f aca="false">$G33*H$21</f>
        <v>51000</v>
      </c>
      <c r="I33" s="16" t="n">
        <f aca="false">$G33*I$21</f>
        <v>56100</v>
      </c>
      <c r="J33" s="16" t="n">
        <f aca="false">$G33*J$21</f>
        <v>61200</v>
      </c>
      <c r="K33" s="16" t="n">
        <f aca="false">$G33*K$21</f>
        <v>66300</v>
      </c>
      <c r="L33" s="16" t="n">
        <f aca="false">$G33*L$21</f>
        <v>71400</v>
      </c>
      <c r="M33" s="16" t="n">
        <f aca="false">Question_Ans!$G33*Question_Ans!M$21</f>
        <v>76500</v>
      </c>
      <c r="N33" s="16" t="n">
        <f aca="false">$G33*N$21</f>
        <v>81600</v>
      </c>
      <c r="O33" s="16" t="n">
        <f aca="false">$G33*O$21</f>
        <v>86700</v>
      </c>
      <c r="P33" s="16" t="n">
        <f aca="false">$G33*P$21</f>
        <v>91800</v>
      </c>
      <c r="Q33" s="16" t="n">
        <f aca="false">$G33*Q$21</f>
        <v>96900</v>
      </c>
      <c r="R33" s="8" t="n">
        <f aca="false">$G33*R$21</f>
        <v>102000</v>
      </c>
    </row>
    <row r="34" customFormat="false" ht="11.5" hidden="false" customHeight="false" outlineLevel="0" collapsed="false">
      <c r="B34" s="0" t="n">
        <v>520</v>
      </c>
      <c r="F34" s="15"/>
      <c r="G34" s="19" t="n">
        <v>520</v>
      </c>
      <c r="H34" s="16" t="n">
        <f aca="false">$G34*H$21</f>
        <v>52000</v>
      </c>
      <c r="I34" s="16" t="n">
        <f aca="false">$G34*I$21</f>
        <v>57200</v>
      </c>
      <c r="J34" s="16" t="n">
        <f aca="false">$G34*J$21</f>
        <v>62400</v>
      </c>
      <c r="K34" s="16" t="n">
        <f aca="false">$G34*K$21</f>
        <v>67600</v>
      </c>
      <c r="L34" s="16" t="n">
        <f aca="false">$G34*L$21</f>
        <v>72800</v>
      </c>
      <c r="M34" s="16" t="n">
        <f aca="false">$G34*M$21</f>
        <v>78000</v>
      </c>
      <c r="N34" s="16" t="n">
        <f aca="false">$G34*N$21</f>
        <v>83200</v>
      </c>
      <c r="O34" s="16" t="n">
        <f aca="false">$G34*O$21</f>
        <v>88400</v>
      </c>
      <c r="P34" s="16" t="n">
        <f aca="false">$G34*P$21</f>
        <v>93600</v>
      </c>
      <c r="Q34" s="16" t="n">
        <f aca="false">$G34*Q$21</f>
        <v>98800</v>
      </c>
      <c r="R34" s="8" t="n">
        <f aca="false">$G34*R$21</f>
        <v>104000</v>
      </c>
    </row>
    <row r="35" customFormat="false" ht="11.5" hidden="false" customHeight="false" outlineLevel="0" collapsed="false">
      <c r="B35" s="0" t="n">
        <v>530</v>
      </c>
      <c r="F35" s="15"/>
      <c r="G35" s="19" t="n">
        <v>530</v>
      </c>
      <c r="H35" s="16" t="n">
        <f aca="false">$G35*H$21</f>
        <v>53000</v>
      </c>
      <c r="I35" s="16" t="n">
        <f aca="false">$G35*I$21</f>
        <v>58300</v>
      </c>
      <c r="J35" s="16" t="n">
        <f aca="false">$G35*J$21</f>
        <v>63600</v>
      </c>
      <c r="K35" s="16" t="n">
        <f aca="false">$G35*K$21</f>
        <v>68900</v>
      </c>
      <c r="L35" s="16" t="n">
        <f aca="false">$G35*L$21</f>
        <v>74200</v>
      </c>
      <c r="M35" s="16" t="n">
        <f aca="false">$G35*M$21</f>
        <v>79500</v>
      </c>
      <c r="N35" s="16" t="n">
        <f aca="false">$G35*N$21</f>
        <v>84800</v>
      </c>
      <c r="O35" s="16" t="n">
        <f aca="false">$G35*O$21</f>
        <v>90100</v>
      </c>
      <c r="P35" s="16" t="n">
        <f aca="false">$G35*P$21</f>
        <v>95400</v>
      </c>
      <c r="Q35" s="8" t="n">
        <f aca="false">$G35*Q$21</f>
        <v>100700</v>
      </c>
      <c r="R35" s="8" t="n">
        <f aca="false">$G35*R$21</f>
        <v>106000</v>
      </c>
    </row>
    <row r="36" customFormat="false" ht="11.5" hidden="false" customHeight="false" outlineLevel="0" collapsed="false">
      <c r="B36" s="0" t="n">
        <v>540</v>
      </c>
      <c r="F36" s="15"/>
      <c r="G36" s="19" t="n">
        <v>540</v>
      </c>
      <c r="H36" s="16" t="n">
        <f aca="false">$G36*H$21</f>
        <v>54000</v>
      </c>
      <c r="I36" s="16" t="n">
        <f aca="false">$G36*I$21</f>
        <v>59400</v>
      </c>
      <c r="J36" s="16" t="n">
        <f aca="false">$G36*J$21</f>
        <v>64800</v>
      </c>
      <c r="K36" s="16" t="n">
        <f aca="false">$G36*K$21</f>
        <v>70200</v>
      </c>
      <c r="L36" s="16" t="n">
        <f aca="false">$G36*L$21</f>
        <v>75600</v>
      </c>
      <c r="M36" s="16" t="n">
        <f aca="false">$G36*M$21</f>
        <v>81000</v>
      </c>
      <c r="N36" s="16" t="n">
        <f aca="false">$G36*N$21</f>
        <v>86400</v>
      </c>
      <c r="O36" s="16" t="n">
        <f aca="false">$G36*O$21</f>
        <v>91800</v>
      </c>
      <c r="P36" s="16" t="n">
        <f aca="false">$G36*P$21</f>
        <v>97200</v>
      </c>
      <c r="Q36" s="8" t="n">
        <f aca="false">$G36*Q$21</f>
        <v>102600</v>
      </c>
      <c r="R36" s="8" t="n">
        <f aca="false">$G36*R$21</f>
        <v>108000</v>
      </c>
    </row>
    <row r="37" customFormat="false" ht="11.5" hidden="false" customHeight="false" outlineLevel="0" collapsed="false">
      <c r="B37" s="0" t="n">
        <v>550</v>
      </c>
      <c r="F37" s="15"/>
      <c r="G37" s="19" t="n">
        <v>550</v>
      </c>
      <c r="H37" s="16" t="n">
        <f aca="false">$G37*H$21</f>
        <v>55000</v>
      </c>
      <c r="I37" s="16" t="n">
        <f aca="false">$G37*I$21</f>
        <v>60500</v>
      </c>
      <c r="J37" s="16" t="n">
        <f aca="false">$G37*J$21</f>
        <v>66000</v>
      </c>
      <c r="K37" s="16" t="n">
        <f aca="false">$G37*K$21</f>
        <v>71500</v>
      </c>
      <c r="L37" s="16" t="n">
        <f aca="false">$G37*L$21</f>
        <v>77000</v>
      </c>
      <c r="M37" s="16" t="n">
        <f aca="false">$G37*M$21</f>
        <v>82500</v>
      </c>
      <c r="N37" s="16" t="n">
        <f aca="false">$G37*N$21</f>
        <v>88000</v>
      </c>
      <c r="O37" s="16" t="n">
        <f aca="false">$G37*O$21</f>
        <v>93500</v>
      </c>
      <c r="P37" s="16" t="n">
        <f aca="false">$G37*P$21</f>
        <v>99000</v>
      </c>
      <c r="Q37" s="8" t="n">
        <f aca="false">$G37*Q$21</f>
        <v>104500</v>
      </c>
      <c r="R37" s="8" t="n">
        <f aca="false">$G37*R$21</f>
        <v>110000</v>
      </c>
    </row>
    <row r="38" customFormat="false" ht="11.5" hidden="false" customHeight="false" outlineLevel="0" collapsed="false">
      <c r="B38" s="0" t="n">
        <v>560</v>
      </c>
      <c r="F38" s="15"/>
      <c r="G38" s="19" t="n">
        <v>560</v>
      </c>
      <c r="H38" s="16" t="n">
        <f aca="false">$G38*H$21</f>
        <v>56000</v>
      </c>
      <c r="I38" s="16" t="n">
        <f aca="false">$G38*I$21</f>
        <v>61600</v>
      </c>
      <c r="J38" s="16" t="n">
        <f aca="false">$G38*J$21</f>
        <v>67200</v>
      </c>
      <c r="K38" s="16" t="n">
        <f aca="false">$G38*K$21</f>
        <v>72800</v>
      </c>
      <c r="L38" s="16" t="n">
        <f aca="false">$G38*L$21</f>
        <v>78400</v>
      </c>
      <c r="M38" s="16" t="n">
        <f aca="false">$G38*M$21</f>
        <v>84000</v>
      </c>
      <c r="N38" s="16" t="n">
        <f aca="false">$G38*N$21</f>
        <v>89600</v>
      </c>
      <c r="O38" s="16" t="n">
        <f aca="false">$G38*O$21</f>
        <v>95200</v>
      </c>
      <c r="P38" s="8" t="n">
        <f aca="false">$G38*P$21</f>
        <v>100800</v>
      </c>
      <c r="Q38" s="8" t="n">
        <f aca="false">$G38*Q$21</f>
        <v>106400</v>
      </c>
      <c r="R38" s="8" t="n">
        <f aca="false">$G38*R$21</f>
        <v>112000</v>
      </c>
    </row>
    <row r="39" customFormat="false" ht="11.5" hidden="false" customHeight="false" outlineLevel="0" collapsed="false">
      <c r="B39" s="0" t="n">
        <v>570</v>
      </c>
      <c r="F39" s="15"/>
      <c r="G39" s="19" t="n">
        <v>570</v>
      </c>
      <c r="H39" s="16" t="n">
        <f aca="false">$G39*H$21</f>
        <v>57000</v>
      </c>
      <c r="I39" s="16" t="n">
        <f aca="false">$G39*I$21</f>
        <v>62700</v>
      </c>
      <c r="J39" s="16" t="n">
        <f aca="false">$G39*J$21</f>
        <v>68400</v>
      </c>
      <c r="K39" s="16" t="n">
        <f aca="false">$G39*K$21</f>
        <v>74100</v>
      </c>
      <c r="L39" s="16" t="n">
        <f aca="false">$G39*L$21</f>
        <v>79800</v>
      </c>
      <c r="M39" s="16" t="n">
        <f aca="false">$G39*M$21</f>
        <v>85500</v>
      </c>
      <c r="N39" s="16" t="n">
        <f aca="false">$G39*N$21</f>
        <v>91200</v>
      </c>
      <c r="O39" s="16" t="n">
        <f aca="false">$G39*O$21</f>
        <v>96900</v>
      </c>
      <c r="P39" s="8" t="n">
        <f aca="false">$G39*P$21</f>
        <v>102600</v>
      </c>
      <c r="Q39" s="8" t="n">
        <f aca="false">$G39*Q$21</f>
        <v>108300</v>
      </c>
      <c r="R39" s="8" t="n">
        <f aca="false">$G39*R$21</f>
        <v>114000</v>
      </c>
    </row>
    <row r="40" customFormat="false" ht="11.5" hidden="false" customHeight="false" outlineLevel="0" collapsed="false">
      <c r="B40" s="0" t="n">
        <v>580</v>
      </c>
      <c r="F40" s="15"/>
      <c r="G40" s="19" t="n">
        <v>580</v>
      </c>
      <c r="H40" s="16" t="n">
        <f aca="false">$G40*H$21</f>
        <v>58000</v>
      </c>
      <c r="I40" s="16" t="n">
        <f aca="false">$G40*I$21</f>
        <v>63800</v>
      </c>
      <c r="J40" s="16" t="n">
        <f aca="false">$G40*J$21</f>
        <v>69600</v>
      </c>
      <c r="K40" s="16" t="n">
        <f aca="false">$G40*K$21</f>
        <v>75400</v>
      </c>
      <c r="L40" s="16" t="n">
        <f aca="false">$G40*L$21</f>
        <v>81200</v>
      </c>
      <c r="M40" s="16" t="n">
        <f aca="false">$G40*M$21</f>
        <v>87000</v>
      </c>
      <c r="N40" s="16" t="n">
        <f aca="false">$G40*N$21</f>
        <v>92800</v>
      </c>
      <c r="O40" s="16" t="n">
        <f aca="false">$G40*O$21</f>
        <v>98600</v>
      </c>
      <c r="P40" s="8" t="n">
        <f aca="false">$G40*P$21</f>
        <v>104400</v>
      </c>
      <c r="Q40" s="8" t="n">
        <f aca="false">$G40*Q$21</f>
        <v>110200</v>
      </c>
      <c r="R40" s="8" t="n">
        <f aca="false">$G40*R$21</f>
        <v>116000</v>
      </c>
    </row>
    <row r="41" customFormat="false" ht="11.5" hidden="false" customHeight="false" outlineLevel="0" collapsed="false">
      <c r="B41" s="0" t="n">
        <v>590</v>
      </c>
      <c r="F41" s="15"/>
      <c r="G41" s="19" t="n">
        <v>590</v>
      </c>
      <c r="H41" s="16" t="n">
        <f aca="false">$G41*H$21</f>
        <v>59000</v>
      </c>
      <c r="I41" s="16" t="n">
        <f aca="false">$G41*I$21</f>
        <v>64900</v>
      </c>
      <c r="J41" s="16" t="n">
        <f aca="false">$G41*J$21</f>
        <v>70800</v>
      </c>
      <c r="K41" s="16" t="n">
        <f aca="false">$G41*K$21</f>
        <v>76700</v>
      </c>
      <c r="L41" s="16" t="n">
        <f aca="false">$G41*L$21</f>
        <v>82600</v>
      </c>
      <c r="M41" s="16" t="n">
        <f aca="false">$G41*M$21</f>
        <v>88500</v>
      </c>
      <c r="N41" s="16" t="n">
        <f aca="false">$G41*N$21</f>
        <v>94400</v>
      </c>
      <c r="O41" s="8" t="n">
        <f aca="false">$G41*O$21</f>
        <v>100300</v>
      </c>
      <c r="P41" s="8" t="n">
        <f aca="false">$G41*P$21</f>
        <v>106200</v>
      </c>
      <c r="Q41" s="8" t="n">
        <f aca="false">$G41*Q$21</f>
        <v>112100</v>
      </c>
      <c r="R41" s="8" t="n">
        <f aca="false">$G41*R$21</f>
        <v>118000</v>
      </c>
    </row>
    <row r="42" customFormat="false" ht="11.5" hidden="false" customHeight="false" outlineLevel="0" collapsed="false">
      <c r="B42" s="0" t="n">
        <v>600</v>
      </c>
      <c r="F42" s="15"/>
      <c r="G42" s="19" t="n">
        <v>600</v>
      </c>
      <c r="H42" s="16" t="n">
        <f aca="false">$G42*H$21</f>
        <v>60000</v>
      </c>
      <c r="I42" s="16" t="n">
        <f aca="false">$G42*I$21</f>
        <v>66000</v>
      </c>
      <c r="J42" s="16" t="n">
        <f aca="false">$G42*J$21</f>
        <v>72000</v>
      </c>
      <c r="K42" s="16" t="n">
        <f aca="false">$G42*K$21</f>
        <v>78000</v>
      </c>
      <c r="L42" s="16" t="n">
        <f aca="false">$G42*L$21</f>
        <v>84000</v>
      </c>
      <c r="M42" s="16" t="n">
        <f aca="false">$G42*M$21</f>
        <v>90000</v>
      </c>
      <c r="N42" s="16" t="n">
        <f aca="false">$G42*N$21</f>
        <v>96000</v>
      </c>
      <c r="O42" s="8" t="n">
        <f aca="false">$G42*O$21</f>
        <v>102000</v>
      </c>
      <c r="P42" s="8" t="n">
        <f aca="false">$G42*P$21</f>
        <v>108000</v>
      </c>
      <c r="Q42" s="8" t="n">
        <f aca="false">$G42*Q$21</f>
        <v>114000</v>
      </c>
      <c r="R42" s="8" t="n">
        <f aca="false">$G42*R$21</f>
        <v>120000</v>
      </c>
    </row>
    <row r="48" customFormat="false" ht="18.5" hidden="false" customHeight="false" outlineLevel="0" collapsed="false">
      <c r="B48" s="3" t="s">
        <v>11</v>
      </c>
    </row>
    <row r="49" customFormat="false" ht="17.5" hidden="false" customHeight="true" outlineLevel="0" collapsed="false"/>
    <row r="50" customFormat="false" ht="12" hidden="false" customHeight="false" outlineLevel="0" collapsed="false">
      <c r="B50" s="0" t="s">
        <v>12</v>
      </c>
    </row>
    <row r="51" customFormat="false" ht="22.4" hidden="false" customHeight="true" outlineLevel="0" collapsed="false">
      <c r="B51" s="0" t="s">
        <v>13</v>
      </c>
    </row>
    <row r="52" customFormat="false" ht="9.65" hidden="false" customHeight="true" outlineLevel="0" collapsed="false"/>
    <row r="54" customFormat="false" ht="11.5" hidden="false" customHeight="false" outlineLevel="0" collapsed="false">
      <c r="B54" s="17" t="s">
        <v>14</v>
      </c>
      <c r="C54" s="17"/>
      <c r="D54" s="18" t="n">
        <f aca="false">SUM(Revenue_Combinations_Ans)</f>
        <v>17325000</v>
      </c>
    </row>
    <row r="55" customFormat="false" ht="11.5" hidden="false" customHeight="false" outlineLevel="0" collapsed="false">
      <c r="B55" s="17" t="s">
        <v>15</v>
      </c>
      <c r="C55" s="17"/>
      <c r="D55" s="18" t="n">
        <f aca="false">COUNT(Revenue_Combinations_Ans)</f>
        <v>231</v>
      </c>
    </row>
    <row r="56" customFormat="false" ht="11.5" hidden="false" customHeight="false" outlineLevel="0" collapsed="false">
      <c r="B56" s="17" t="s">
        <v>17</v>
      </c>
      <c r="C56" s="17"/>
      <c r="D56" s="18" t="n">
        <f aca="false">AVERAGE(Revenue_Combinations_Ans)</f>
        <v>75000</v>
      </c>
    </row>
  </sheetData>
  <mergeCells count="3">
    <mergeCell ref="B10:J17"/>
    <mergeCell ref="G20:Q20"/>
    <mergeCell ref="F23:F42"/>
  </mergeCell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16</TotalTime>
  <Application>LibreOffice/6.0.7.3$Linux_X86_64 LibreOffice_project/00m0$Build-3</Application>
  <Company>PricewaterhouseCoopers</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2014-11-18T17:16:50Z</dcterms:created>
  <dc:creator>Dennis G Man</dc:creator>
  <dc:description/>
  <dc:language>en-US</dc:language>
  <cp:lastModifiedBy/>
  <cp:lastPrinted>2016-09-26T13:23:13Z</cp:lastPrinted>
  <dcterms:modified xsi:type="dcterms:W3CDTF">2020-07-05T19:48:07Z</dcterms:modified>
  <cp:revision>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BrandFormat">
    <vt:lpwstr>1.0</vt:lpwstr>
  </property>
  <property fmtid="{D5CDD505-2E9C-101B-9397-08002B2CF9AE}" pid="4" name="Company">
    <vt:lpwstr>PricewaterhouseCoopers</vt:lpwstr>
  </property>
  <property fmtid="{D5CDD505-2E9C-101B-9397-08002B2CF9AE}" pid="5" name="DocSecurity">
    <vt:i4>0</vt:i4>
  </property>
  <property fmtid="{D5CDD505-2E9C-101B-9397-08002B2CF9AE}" pid="6" name="HyperlinksChanged">
    <vt:bool>0</vt:bool>
  </property>
  <property fmtid="{D5CDD505-2E9C-101B-9397-08002B2CF9AE}" pid="7" name="LinksUpToDate">
    <vt:bool>0</vt:bool>
  </property>
  <property fmtid="{D5CDD505-2E9C-101B-9397-08002B2CF9AE}" pid="8" name="ScaleCrop">
    <vt:bool>0</vt:bool>
  </property>
  <property fmtid="{D5CDD505-2E9C-101B-9397-08002B2CF9AE}" pid="9" name="ShareDoc">
    <vt:bool>0</vt:bool>
  </property>
  <property fmtid="{D5CDD505-2E9C-101B-9397-08002B2CF9AE}" pid="10" name="Smrt_NotesFontSize">
    <vt:lpwstr>8</vt:lpwstr>
  </property>
  <property fmtid="{D5CDD505-2E9C-101B-9397-08002B2CF9AE}" pid="11" name="Smrt_WorkbookNumberDisplay">
    <vt:lpwstr>0</vt:lpwstr>
  </property>
  <property fmtid="{D5CDD505-2E9C-101B-9397-08002B2CF9AE}" pid="12" name="Smrt_WorkbookPercentageDisplay">
    <vt:lpwstr>0</vt:lpwstr>
  </property>
  <property fmtid="{D5CDD505-2E9C-101B-9397-08002B2CF9AE}" pid="13" name="Smrt_WorkbookThemeColor">
    <vt:lpwstr>PwC Burgundy</vt:lpwstr>
  </property>
</Properties>
</file>