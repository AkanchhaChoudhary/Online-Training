
<file path=[Content_Types].xml><?xml version="1.0" encoding="utf-8"?>
<Types xmlns="http://schemas.openxmlformats.org/package/2006/content-types">
  <Override PartName="/xl/_rels/workbook.xml.rels" ContentType="application/vnd.openxmlformats-package.relationship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worksheets/sheet8.xml" ContentType="application/vnd.openxmlformats-officedocument.spreadsheetml.worksheet+xml"/>
  <Override PartName="/xl/worksheets/sheet7.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vbaProject.bin" ContentType="application/vnd.ms-office.vbaProject"/>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
  </bookViews>
  <sheets>
    <sheet name="Introduction" sheetId="1" state="visible" r:id="rId3"/>
    <sheet name="Summary" sheetId="2" state="visible" r:id="rId4"/>
    <sheet name="Section 1 - Paste Special" sheetId="3" state="visible" r:id="rId5"/>
    <sheet name="Section 1 - Paste Special (ANS)" sheetId="4" state="hidden" r:id="rId6"/>
    <sheet name="Section 2 - Cell Locking" sheetId="5" state="visible" r:id="rId7"/>
    <sheet name="Section 2 - Cell Locking (ANS)" sheetId="6" state="hidden" r:id="rId8"/>
    <sheet name="Section 3 - Named Ranges" sheetId="7" state="visible" r:id="rId9"/>
    <sheet name="Section 3 - Named Ranges (ANS)" sheetId="8" state="hidden" r:id="rId10"/>
  </sheets>
  <definedNames>
    <definedName function="false" hidden="false" name="QuantitySold" vbProcedure="false">'Section 3 - Named Ranges'!$J$10:$J$116</definedName>
    <definedName function="false" hidden="false" name="SalesData" vbProcedure="false">'Section 3 - Named Ranges'!$B$9:$D$107</definedName>
    <definedName function="false" hidden="false" name="SalesRevenue" vbProcedure="false">'Section 3 - Named Ranges'!$L$10:$L$116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<sst xmlns="http://schemas.openxmlformats.org/spreadsheetml/2006/main" count="714" uniqueCount="295">
  <si>
    <t xml:space="preserve">Problem Solving with Excel</t>
  </si>
  <si>
    <t xml:space="preserve">Week 1</t>
  </si>
  <si>
    <t xml:space="preserve">Basic Functionality</t>
  </si>
  <si>
    <t xml:space="preserve">Summary</t>
  </si>
  <si>
    <t xml:space="preserve">Section</t>
  </si>
  <si>
    <t xml:space="preserve">Description</t>
  </si>
  <si>
    <t xml:space="preserve">Contained in Workbook</t>
  </si>
  <si>
    <t xml:space="preserve">Name of External Referenced File</t>
  </si>
  <si>
    <t xml:space="preserve">Paste Special</t>
  </si>
  <si>
    <t xml:space="preserve">Y</t>
  </si>
  <si>
    <t xml:space="preserve">NA</t>
  </si>
  <si>
    <t xml:space="preserve">Cell Locking</t>
  </si>
  <si>
    <t xml:space="preserve">Named Ranges</t>
  </si>
  <si>
    <t xml:space="preserve">Problem 1A - Instructor Lead</t>
  </si>
  <si>
    <t xml:space="preserve">a.) How do you paste the values of a data set?</t>
  </si>
  <si>
    <t xml:space="preserve">b.) How do you paste the format of a data set?</t>
  </si>
  <si>
    <t xml:space="preserve">c.) How do you paste the formulas of a data set?</t>
  </si>
  <si>
    <t xml:space="preserve">Problem 1B - Student Lead</t>
  </si>
  <si>
    <t xml:space="preserve">Product 1</t>
  </si>
  <si>
    <t xml:space="preserve">Product 2</t>
  </si>
  <si>
    <t xml:space="preserve">Product 3</t>
  </si>
  <si>
    <t xml:space="preserve">Product 4</t>
  </si>
  <si>
    <t xml:space="preserve">Product 5</t>
  </si>
  <si>
    <t xml:space="preserve">Price on 12/10</t>
  </si>
  <si>
    <t xml:space="preserve">Quantity Sold on 12/10</t>
  </si>
  <si>
    <t xml:space="preserve">Total Sales on 12/10</t>
  </si>
  <si>
    <t xml:space="preserve">a.) Your table updates on a daily basis, and currently, you want to do an analysis on the Total Sales from 12/10.  Paste Values for the Total Sales on 12/10 below.</t>
  </si>
  <si>
    <t xml:space="preserve">b.) You want to create a table similar to the one above but with different information.  Paste the format of the table below.</t>
  </si>
  <si>
    <t xml:space="preserve">Price on 12/112</t>
  </si>
  <si>
    <t xml:space="preserve">Quantity Sold on 12/12</t>
  </si>
  <si>
    <t xml:space="preserve">Total Sales on 12/12</t>
  </si>
  <si>
    <t xml:space="preserve">c.) You are given a table similar to the one from the question above.  Your client wants you to format the table with the same colors and type as the one above.  Use the paste format option to do this.</t>
  </si>
  <si>
    <t xml:space="preserve">Revenue</t>
  </si>
  <si>
    <t xml:space="preserve">Expenses</t>
  </si>
  <si>
    <t xml:space="preserve">Net Income</t>
  </si>
  <si>
    <t xml:space="preserve">  </t>
  </si>
  <si>
    <t xml:space="preserve">Problem 2A - Instructor Lead</t>
  </si>
  <si>
    <t xml:space="preserve">The client gives you the below table of their monthly Revenue and COGS; however, you noticed the revenue and COGS signs are inverted. Using the Paste Special multiply feature, change the sign of the table below.</t>
  </si>
  <si>
    <t xml:space="preserve">January</t>
  </si>
  <si>
    <t xml:space="preserve">February</t>
  </si>
  <si>
    <t xml:space="preserve">March</t>
  </si>
  <si>
    <t xml:space="preserve">April</t>
  </si>
  <si>
    <t xml:space="preserve">May</t>
  </si>
  <si>
    <t xml:space="preserve">COGS</t>
  </si>
  <si>
    <t xml:space="preserve">Gross Profit</t>
  </si>
  <si>
    <t xml:space="preserve">Problem 3A - Instructor Lead</t>
  </si>
  <si>
    <t xml:space="preserve">You have the months listed in Column F, but you want to transpose the months to Row 116</t>
  </si>
  <si>
    <t xml:space="preserve">Problem 1A- Instructor Lead</t>
  </si>
  <si>
    <t xml:space="preserve">Determine savings from February to June if the monthly growth rate is 5%, using the cell locking function.</t>
  </si>
  <si>
    <t xml:space="preserve">Savings A</t>
  </si>
  <si>
    <t xml:space="preserve">Savings B</t>
  </si>
  <si>
    <t xml:space="preserve">Monthly Grow Rate</t>
  </si>
  <si>
    <t xml:space="preserve">June</t>
  </si>
  <si>
    <t xml:space="preserve">Problem 1B- Student Lead</t>
  </si>
  <si>
    <t xml:space="preserve">Determine COGS from 2017 to 2020 if the Projected COGS Annual Decrease is 10.00%, using the cell locking function.</t>
  </si>
  <si>
    <t xml:space="preserve">Projected COGS Annual Decrease</t>
  </si>
  <si>
    <t xml:space="preserve">Problem 2A- Instructor Lead</t>
  </si>
  <si>
    <t xml:space="preserve">Using the cell locking technique above, create a multiplication matrix</t>
  </si>
  <si>
    <t xml:space="preserve">Monthly Growth Rate</t>
  </si>
  <si>
    <t xml:space="preserve">MOOC Course </t>
  </si>
  <si>
    <t xml:space="preserve">Data Analytics</t>
  </si>
  <si>
    <t xml:space="preserve">Distributor ID</t>
  </si>
  <si>
    <t xml:space="preserve">Distributor Name</t>
  </si>
  <si>
    <t xml:space="preserve">Country</t>
  </si>
  <si>
    <t xml:space="preserve">Product Code</t>
  </si>
  <si>
    <t xml:space="preserve">Product </t>
  </si>
  <si>
    <t xml:space="preserve">Sales Channel</t>
  </si>
  <si>
    <t xml:space="preserve">Date Sold</t>
  </si>
  <si>
    <t xml:space="preserve">Month Sold</t>
  </si>
  <si>
    <t xml:space="preserve">Quantity</t>
  </si>
  <si>
    <t xml:space="preserve">Unit Price</t>
  </si>
  <si>
    <t xml:space="preserve">Devin Abbott</t>
  </si>
  <si>
    <t xml:space="preserve">France</t>
  </si>
  <si>
    <t xml:space="preserve">SUPA105</t>
  </si>
  <si>
    <t xml:space="preserve">Super Soft Bulk - 2 Litres</t>
  </si>
  <si>
    <t xml:space="preserve">Online</t>
  </si>
  <si>
    <t xml:space="preserve">Aphrodite Brennan</t>
  </si>
  <si>
    <t xml:space="preserve">Malawi</t>
  </si>
  <si>
    <t xml:space="preserve">Direct</t>
  </si>
  <si>
    <t xml:space="preserve">Guinevere Key</t>
  </si>
  <si>
    <t xml:space="preserve">Colombia</t>
  </si>
  <si>
    <t xml:space="preserve">Retail</t>
  </si>
  <si>
    <t xml:space="preserve">Zahir Fields</t>
  </si>
  <si>
    <t xml:space="preserve">Canada</t>
  </si>
  <si>
    <t xml:space="preserve">Deacon Craig</t>
  </si>
  <si>
    <t xml:space="preserve">Mongolia</t>
  </si>
  <si>
    <t xml:space="preserve">Brynne Mcgowan</t>
  </si>
  <si>
    <t xml:space="preserve">Finland</t>
  </si>
  <si>
    <t xml:space="preserve">Lani Sweet</t>
  </si>
  <si>
    <t xml:space="preserve">Vanuatu</t>
  </si>
  <si>
    <t xml:space="preserve">Noble Warner</t>
  </si>
  <si>
    <t xml:space="preserve">Burkina Faso</t>
  </si>
  <si>
    <t xml:space="preserve">SUPA104</t>
  </si>
  <si>
    <t xml:space="preserve">Super Soft - 1 Litre</t>
  </si>
  <si>
    <t xml:space="preserve">Levi Douglas</t>
  </si>
  <si>
    <t xml:space="preserve">Tanzania, United Republic of</t>
  </si>
  <si>
    <t xml:space="preserve">DETA800</t>
  </si>
  <si>
    <t xml:space="preserve">Detafast Stain Remover - 800ml</t>
  </si>
  <si>
    <t xml:space="preserve">Jelani Odonnell</t>
  </si>
  <si>
    <t xml:space="preserve">Albania</t>
  </si>
  <si>
    <t xml:space="preserve">Jared Sandoval</t>
  </si>
  <si>
    <t xml:space="preserve">Botswana</t>
  </si>
  <si>
    <t xml:space="preserve">Hiroko Acevedo</t>
  </si>
  <si>
    <t xml:space="preserve">Burundi</t>
  </si>
  <si>
    <t xml:space="preserve">Rhona Clarke</t>
  </si>
  <si>
    <t xml:space="preserve">Zimbabwe</t>
  </si>
  <si>
    <t xml:space="preserve">Tad Mack</t>
  </si>
  <si>
    <t xml:space="preserve">Iceland</t>
  </si>
  <si>
    <t xml:space="preserve">Rama Goodwin</t>
  </si>
  <si>
    <t xml:space="preserve">Tunisia</t>
  </si>
  <si>
    <t xml:space="preserve">Keaton Wolfe</t>
  </si>
  <si>
    <t xml:space="preserve">French Southern Territories</t>
  </si>
  <si>
    <t xml:space="preserve">Samuel Ayala</t>
  </si>
  <si>
    <t xml:space="preserve">Brazil</t>
  </si>
  <si>
    <t xml:space="preserve">Doris Williams</t>
  </si>
  <si>
    <t xml:space="preserve">Trinidad and Tobago</t>
  </si>
  <si>
    <t xml:space="preserve">SUPA103</t>
  </si>
  <si>
    <t xml:space="preserve">Super Soft - 500ml</t>
  </si>
  <si>
    <t xml:space="preserve">Ingrid Bush</t>
  </si>
  <si>
    <t xml:space="preserve">Montserrat</t>
  </si>
  <si>
    <t xml:space="preserve">Nell Maddox</t>
  </si>
  <si>
    <t xml:space="preserve">Azerbaijan</t>
  </si>
  <si>
    <t xml:space="preserve">Benedict Byrd</t>
  </si>
  <si>
    <t xml:space="preserve">Mauritania</t>
  </si>
  <si>
    <t xml:space="preserve">Ethan Gregory</t>
  </si>
  <si>
    <t xml:space="preserve">Tuvalu</t>
  </si>
  <si>
    <t xml:space="preserve">Ursula Mcconnell</t>
  </si>
  <si>
    <t xml:space="preserve">Hungary</t>
  </si>
  <si>
    <t xml:space="preserve">Fletcher Jimenez</t>
  </si>
  <si>
    <t xml:space="preserve">Chad</t>
  </si>
  <si>
    <t xml:space="preserve">DETA200</t>
  </si>
  <si>
    <t xml:space="preserve">Detafast Stain Remover - 200ml</t>
  </si>
  <si>
    <t xml:space="preserve">Isadora Mcclure</t>
  </si>
  <si>
    <t xml:space="preserve">Indonesia</t>
  </si>
  <si>
    <t xml:space="preserve">DETA100</t>
  </si>
  <si>
    <t xml:space="preserve">Detafast Stain Remover - 100ml</t>
  </si>
  <si>
    <t xml:space="preserve">Liberty Mcbride</t>
  </si>
  <si>
    <t xml:space="preserve">Fiji</t>
  </si>
  <si>
    <t xml:space="preserve">Noble Gilbert</t>
  </si>
  <si>
    <t xml:space="preserve">United States</t>
  </si>
  <si>
    <t xml:space="preserve">Maxine Gentry</t>
  </si>
  <si>
    <t xml:space="preserve">Panama</t>
  </si>
  <si>
    <t xml:space="preserve">Melinda Cobb</t>
  </si>
  <si>
    <t xml:space="preserve">Uruguay</t>
  </si>
  <si>
    <t xml:space="preserve">PURA250</t>
  </si>
  <si>
    <t xml:space="preserve">Pure Soft Detergent - 250ml</t>
  </si>
  <si>
    <t xml:space="preserve">Yael Carter</t>
  </si>
  <si>
    <t xml:space="preserve">Malaysia</t>
  </si>
  <si>
    <t xml:space="preserve">Kay Buckley</t>
  </si>
  <si>
    <t xml:space="preserve">Malta</t>
  </si>
  <si>
    <t xml:space="preserve">Athena Fitzpatrick</t>
  </si>
  <si>
    <t xml:space="preserve">Reunion</t>
  </si>
  <si>
    <t xml:space="preserve">Joy Vazquez</t>
  </si>
  <si>
    <t xml:space="preserve">Korea</t>
  </si>
  <si>
    <t xml:space="preserve">Amery Frazier</t>
  </si>
  <si>
    <t xml:space="preserve">Georgia</t>
  </si>
  <si>
    <t xml:space="preserve">Buckminster Hopkins</t>
  </si>
  <si>
    <t xml:space="preserve">Sierra Leone</t>
  </si>
  <si>
    <t xml:space="preserve">PURA200</t>
  </si>
  <si>
    <t xml:space="preserve">Pure Soft Detergent - 200ml</t>
  </si>
  <si>
    <t xml:space="preserve">George Best</t>
  </si>
  <si>
    <t xml:space="preserve">Western Sahara</t>
  </si>
  <si>
    <t xml:space="preserve">Maxwell Parker</t>
  </si>
  <si>
    <t xml:space="preserve">Falkland Islands (Malvinas)</t>
  </si>
  <si>
    <t xml:space="preserve">Lance Little</t>
  </si>
  <si>
    <t xml:space="preserve">Croatia</t>
  </si>
  <si>
    <t xml:space="preserve">Gwendolyn Walton</t>
  </si>
  <si>
    <t xml:space="preserve">Cuba</t>
  </si>
  <si>
    <t xml:space="preserve">SUPA102</t>
  </si>
  <si>
    <t xml:space="preserve">Super Soft - 250ml</t>
  </si>
  <si>
    <t xml:space="preserve">Isaac Wolf</t>
  </si>
  <si>
    <t xml:space="preserve">PURA500</t>
  </si>
  <si>
    <t xml:space="preserve">Pure Soft Detergent - 500ml</t>
  </si>
  <si>
    <t xml:space="preserve">Celeste Pugh</t>
  </si>
  <si>
    <t xml:space="preserve">Gabon</t>
  </si>
  <si>
    <t xml:space="preserve">Oprah Ellis</t>
  </si>
  <si>
    <t xml:space="preserve">Dominican Republic</t>
  </si>
  <si>
    <t xml:space="preserve">Emerson Beard</t>
  </si>
  <si>
    <t xml:space="preserve">Niue</t>
  </si>
  <si>
    <t xml:space="preserve">Renee Padilla</t>
  </si>
  <si>
    <t xml:space="preserve">Yemen</t>
  </si>
  <si>
    <t xml:space="preserve">Maite Henson</t>
  </si>
  <si>
    <t xml:space="preserve">Bangladesh</t>
  </si>
  <si>
    <t xml:space="preserve">Ivory Chang</t>
  </si>
  <si>
    <t xml:space="preserve">Tonga</t>
  </si>
  <si>
    <t xml:space="preserve">Clark Weaver</t>
  </si>
  <si>
    <t xml:space="preserve">Palau</t>
  </si>
  <si>
    <t xml:space="preserve">Ima Cummings</t>
  </si>
  <si>
    <t xml:space="preserve">Philippines</t>
  </si>
  <si>
    <t xml:space="preserve">Adria Kaufman</t>
  </si>
  <si>
    <t xml:space="preserve">Bouvet Island</t>
  </si>
  <si>
    <t xml:space="preserve">Nyssa Quinn</t>
  </si>
  <si>
    <t xml:space="preserve">Cocos (Keeling) Islands</t>
  </si>
  <si>
    <t xml:space="preserve">Amir Alexander</t>
  </si>
  <si>
    <t xml:space="preserve">Liberia</t>
  </si>
  <si>
    <t xml:space="preserve">Imogene Bradshaw</t>
  </si>
  <si>
    <t xml:space="preserve">Niger</t>
  </si>
  <si>
    <t xml:space="preserve">Gwendolyn Mccarty</t>
  </si>
  <si>
    <t xml:space="preserve">Madagascar</t>
  </si>
  <si>
    <t xml:space="preserve">Bell Prince</t>
  </si>
  <si>
    <t xml:space="preserve">Guinea</t>
  </si>
  <si>
    <t xml:space="preserve">Katelyn Joseph</t>
  </si>
  <si>
    <t xml:space="preserve">Slovenia</t>
  </si>
  <si>
    <t xml:space="preserve">Robert Juarez</t>
  </si>
  <si>
    <t xml:space="preserve">Svalbard and Jan Mayen</t>
  </si>
  <si>
    <t xml:space="preserve">Jerry Alvarado</t>
  </si>
  <si>
    <t xml:space="preserve">Korea, Republic of</t>
  </si>
  <si>
    <t xml:space="preserve">PURA100</t>
  </si>
  <si>
    <t xml:space="preserve">Pure Soft Detergent - 100ml</t>
  </si>
  <si>
    <t xml:space="preserve">India Gilbert</t>
  </si>
  <si>
    <t xml:space="preserve">Denmark</t>
  </si>
  <si>
    <t xml:space="preserve">Iliana Porter</t>
  </si>
  <si>
    <t xml:space="preserve">Poland</t>
  </si>
  <si>
    <t xml:space="preserve">Deanna Santana</t>
  </si>
  <si>
    <t xml:space="preserve">Solomon Islands</t>
  </si>
  <si>
    <t xml:space="preserve">Ivor Mclaughlin</t>
  </si>
  <si>
    <t xml:space="preserve">United States Minor Outlying Islands</t>
  </si>
  <si>
    <t xml:space="preserve">Latifah Wall</t>
  </si>
  <si>
    <t xml:space="preserve">Guadeloupe</t>
  </si>
  <si>
    <t xml:space="preserve">Anika Tillman</t>
  </si>
  <si>
    <t xml:space="preserve">Paul Duke</t>
  </si>
  <si>
    <t xml:space="preserve">Puerto Rico</t>
  </si>
  <si>
    <t xml:space="preserve">Sawyer Stokes</t>
  </si>
  <si>
    <t xml:space="preserve">Xerxes Smith</t>
  </si>
  <si>
    <t xml:space="preserve">Wanda Garza</t>
  </si>
  <si>
    <t xml:space="preserve">Kyrgyzstan</t>
  </si>
  <si>
    <t xml:space="preserve">Anjolie Hicks</t>
  </si>
  <si>
    <t xml:space="preserve">Turks and Caicos Islands</t>
  </si>
  <si>
    <t xml:space="preserve">Asher Weber</t>
  </si>
  <si>
    <t xml:space="preserve">Macedonia</t>
  </si>
  <si>
    <t xml:space="preserve">Mercedes Humphrey</t>
  </si>
  <si>
    <t xml:space="preserve">Turkey</t>
  </si>
  <si>
    <t xml:space="preserve">Hayes Rollins</t>
  </si>
  <si>
    <t xml:space="preserve">Nepal</t>
  </si>
  <si>
    <t xml:space="preserve">Josiah Yates</t>
  </si>
  <si>
    <t xml:space="preserve">Winifred Cantu</t>
  </si>
  <si>
    <t xml:space="preserve">Kazakhstan</t>
  </si>
  <si>
    <t xml:space="preserve">Germaine Kidd</t>
  </si>
  <si>
    <t xml:space="preserve">Kenyon Joyce</t>
  </si>
  <si>
    <t xml:space="preserve">Joel Rivers</t>
  </si>
  <si>
    <t xml:space="preserve">Australia</t>
  </si>
  <si>
    <t xml:space="preserve">Colby Knapp</t>
  </si>
  <si>
    <t xml:space="preserve">Pakistan</t>
  </si>
  <si>
    <t xml:space="preserve">Vance Campos</t>
  </si>
  <si>
    <t xml:space="preserve">Syrian Arab Republic</t>
  </si>
  <si>
    <t xml:space="preserve">Lael Gould</t>
  </si>
  <si>
    <t xml:space="preserve">El Salvador</t>
  </si>
  <si>
    <t xml:space="preserve">Jane Hernandez</t>
  </si>
  <si>
    <t xml:space="preserve">Dara Cunningham</t>
  </si>
  <si>
    <t xml:space="preserve">Saint Helena</t>
  </si>
  <si>
    <t xml:space="preserve">Colette Sargent</t>
  </si>
  <si>
    <t xml:space="preserve">Norfolk Island</t>
  </si>
  <si>
    <t xml:space="preserve">Shea Cortez</t>
  </si>
  <si>
    <t xml:space="preserve">India</t>
  </si>
  <si>
    <t xml:space="preserve">Cyrus Whitley</t>
  </si>
  <si>
    <t xml:space="preserve">Eleanor Hopper</t>
  </si>
  <si>
    <t xml:space="preserve">Forrest Macdonald</t>
  </si>
  <si>
    <t xml:space="preserve">New Caledonia</t>
  </si>
  <si>
    <t xml:space="preserve">Desirae Perkins</t>
  </si>
  <si>
    <t xml:space="preserve">Chile</t>
  </si>
  <si>
    <t xml:space="preserve">Barrett Mckinney</t>
  </si>
  <si>
    <t xml:space="preserve">Basil Vang</t>
  </si>
  <si>
    <t xml:space="preserve">Moldova</t>
  </si>
  <si>
    <t xml:space="preserve">Noel Key</t>
  </si>
  <si>
    <t xml:space="preserve">Gambia</t>
  </si>
  <si>
    <t xml:space="preserve">Ebony Mercer</t>
  </si>
  <si>
    <t xml:space="preserve">Cape Verde</t>
  </si>
  <si>
    <t xml:space="preserve">Isaac Cooper</t>
  </si>
  <si>
    <t xml:space="preserve">Netherlands Antilles</t>
  </si>
  <si>
    <t xml:space="preserve">James Spencer</t>
  </si>
  <si>
    <t xml:space="preserve">Clark Orr</t>
  </si>
  <si>
    <t xml:space="preserve">Phillip Perkins</t>
  </si>
  <si>
    <t xml:space="preserve">Nigeria</t>
  </si>
  <si>
    <t xml:space="preserve">Uriel Benton</t>
  </si>
  <si>
    <t xml:space="preserve">South Africa</t>
  </si>
  <si>
    <t xml:space="preserve">Aretha Patton</t>
  </si>
  <si>
    <t xml:space="preserve">Thomas Barnes</t>
  </si>
  <si>
    <t xml:space="preserve">Mayotte</t>
  </si>
  <si>
    <t xml:space="preserve">Victoria Solis</t>
  </si>
  <si>
    <t xml:space="preserve">Arsenio Knowles</t>
  </si>
  <si>
    <t xml:space="preserve">Ryder Conner</t>
  </si>
  <si>
    <t xml:space="preserve">Virgin Islands, British</t>
  </si>
  <si>
    <t xml:space="preserve">Roary Dixon</t>
  </si>
  <si>
    <t xml:space="preserve">Saudi Arabia</t>
  </si>
  <si>
    <t xml:space="preserve">Silas Battle</t>
  </si>
  <si>
    <t xml:space="preserve">Leonard Cardenas</t>
  </si>
  <si>
    <t xml:space="preserve">Brittany Burris</t>
  </si>
  <si>
    <t xml:space="preserve">Petra Mckenzie</t>
  </si>
  <si>
    <t xml:space="preserve">Morocco</t>
  </si>
  <si>
    <t xml:space="preserve">Angela Wise</t>
  </si>
  <si>
    <t xml:space="preserve">a.) Determine the Quantity Sold using named ranges</t>
  </si>
  <si>
    <t xml:space="preserve">Sum of Quantity Sold using named ranges</t>
  </si>
  <si>
    <t xml:space="preserve">b.) Determine the average Unit Price using named ranges (hint, you will have to create a named range for this)</t>
  </si>
  <si>
    <t xml:space="preserve">Average Unit Price using named ranges</t>
  </si>
  <si>
    <t xml:space="preserve">=average(UnitPrice) equals $7.02</t>
  </si>
</sst>
</file>

<file path=xl/styles.xml><?xml version="1.0" encoding="utf-8"?>
<styleSheet xmlns="http://schemas.openxmlformats.org/spreadsheetml/2006/main">
  <numFmts count="15">
    <numFmt numFmtId="164" formatCode="_(* #,##0_);_(* \(#,##0\);_(* \-_);@_)"/>
    <numFmt numFmtId="165" formatCode="General"/>
    <numFmt numFmtId="166" formatCode="@"/>
    <numFmt numFmtId="167" formatCode="_(* #,##0.00_);_(* \(#,##0.00\);_(* \-??_);_(@_)"/>
    <numFmt numFmtId="168" formatCode="\$#,##0.00"/>
    <numFmt numFmtId="169" formatCode="_(\$* #,##0.00_);_(\$* \(#,##0.00\);_(\$* \-??_);_(@_)"/>
    <numFmt numFmtId="170" formatCode="0%"/>
    <numFmt numFmtId="171" formatCode="\$#,##0"/>
    <numFmt numFmtId="172" formatCode="_(\$* #,##0_);_(\$* \(#,##0\);_(\$* \-??_);_(@_)"/>
    <numFmt numFmtId="173" formatCode="#,##0_);\(#,##0\)"/>
    <numFmt numFmtId="174" formatCode="#,##0"/>
    <numFmt numFmtId="175" formatCode="M/D/YYYY"/>
    <numFmt numFmtId="176" formatCode="0"/>
    <numFmt numFmtId="177" formatCode="\$#,##0.00_);[RED]&quot;($&quot;#,##0.00\)"/>
    <numFmt numFmtId="178" formatCode="_(* #,##0_);_(* \(#,##0\);_(* \-??_);_(@_)"/>
  </numFmts>
  <fonts count="18">
    <font>
      <sz val="9"/>
      <color rgb="FF000000"/>
      <name val="Calibri"/>
      <family val="2"/>
      <charset val="1"/>
    </font>
    <font>
      <sz val="10"/>
      <name val="Arial"/>
      <family val="0"/>
    </font>
    <font>
      <sz val="10"/>
      <name val="Arial"/>
      <family val="0"/>
    </font>
    <font>
      <sz val="10"/>
      <name val="Arial"/>
      <family val="0"/>
    </font>
    <font>
      <b val="true"/>
      <sz val="14"/>
      <color rgb="FF7A1818"/>
      <name val="Calibri"/>
      <family val="2"/>
      <charset val="1"/>
    </font>
    <font>
      <sz val="10"/>
      <color rgb="FF000000"/>
      <name val="Calibri"/>
      <family val="2"/>
      <charset val="1"/>
    </font>
    <font>
      <b val="true"/>
      <sz val="10"/>
      <color rgb="FF7A1818"/>
      <name val="Calibri"/>
      <family val="2"/>
      <charset val="1"/>
    </font>
    <font>
      <b val="true"/>
      <sz val="9"/>
      <color rgb="FF602320"/>
      <name val="Calibri"/>
      <family val="2"/>
      <charset val="1"/>
    </font>
    <font>
      <b val="true"/>
      <u val="single"/>
      <sz val="14"/>
      <color rgb="FF602320"/>
      <name val="Calibri"/>
      <family val="2"/>
      <charset val="1"/>
    </font>
    <font>
      <sz val="10"/>
      <color rgb="FF602320"/>
      <name val="Calibri"/>
      <family val="2"/>
      <charset val="1"/>
    </font>
    <font>
      <sz val="10"/>
      <color rgb="FFFFFFFF"/>
      <name val="Calibri"/>
      <family val="2"/>
      <charset val="1"/>
    </font>
    <font>
      <sz val="10"/>
      <color rgb="FF602320"/>
      <name val="Arial"/>
      <family val="2"/>
      <charset val="1"/>
    </font>
    <font>
      <b val="true"/>
      <sz val="10"/>
      <color rgb="FFFFFFFF"/>
      <name val="Arial"/>
      <family val="2"/>
      <charset val="1"/>
    </font>
    <font>
      <b val="true"/>
      <sz val="10"/>
      <color rgb="FF000000"/>
      <name val="Calibri"/>
      <family val="2"/>
      <charset val="1"/>
    </font>
    <font>
      <u val="single"/>
      <sz val="9"/>
      <color rgb="FF000000"/>
      <name val="Calibri"/>
      <family val="2"/>
      <charset val="1"/>
    </font>
    <font>
      <sz val="10"/>
      <color rgb="FF000000"/>
      <name val="Arial"/>
      <family val="2"/>
      <charset val="1"/>
    </font>
    <font>
      <b val="true"/>
      <sz val="10"/>
      <color rgb="FFFFFFFF"/>
      <name val="Calibri"/>
      <family val="2"/>
      <charset val="1"/>
    </font>
    <font>
      <sz val="10"/>
      <color rgb="FFDB536A"/>
      <name val="Calibri"/>
      <family val="2"/>
      <charset val="1"/>
    </font>
  </fonts>
  <fills count="7">
    <fill>
      <patternFill patternType="none"/>
    </fill>
    <fill>
      <patternFill patternType="gray125"/>
    </fill>
    <fill>
      <patternFill patternType="solid">
        <fgColor rgb="FFF2F2F2"/>
        <bgColor rgb="FFFFFFFF"/>
      </patternFill>
    </fill>
    <fill>
      <patternFill patternType="solid">
        <fgColor rgb="FF968C6D"/>
        <bgColor rgb="FF808080"/>
      </patternFill>
    </fill>
    <fill>
      <patternFill patternType="solid">
        <fgColor rgb="FFF2ABA4"/>
        <bgColor rgb="FFECC7C6"/>
      </patternFill>
    </fill>
    <fill>
      <patternFill patternType="solid">
        <fgColor rgb="FF602320"/>
        <bgColor rgb="FF7A1818"/>
      </patternFill>
    </fill>
    <fill>
      <patternFill patternType="solid">
        <fgColor rgb="FFFFFFFF"/>
        <bgColor rgb="FFF2F2F2"/>
      </patternFill>
    </fill>
  </fills>
  <borders count="11">
    <border diagonalUp="false" diagonalDown="false">
      <left/>
      <right/>
      <top/>
      <bottom/>
      <diagonal/>
    </border>
    <border diagonalUp="false" diagonalDown="false">
      <left/>
      <right/>
      <top/>
      <bottom style="medium">
        <color rgb="FF602320"/>
      </bottom>
      <diagonal/>
    </border>
    <border diagonalUp="false" diagonalDown="false">
      <left/>
      <right/>
      <top style="medium">
        <color rgb="FF602320"/>
      </top>
      <bottom style="hair">
        <color rgb="FF602320"/>
      </bottom>
      <diagonal/>
    </border>
    <border diagonalUp="false" diagonalDown="false">
      <left/>
      <right/>
      <top style="hair">
        <color rgb="FF602320"/>
      </top>
      <bottom style="hair">
        <color rgb="FF602320"/>
      </bottom>
      <diagonal/>
    </border>
    <border diagonalUp="false" diagonalDown="false">
      <left/>
      <right/>
      <top/>
      <bottom style="thin"/>
      <diagonal/>
    </border>
    <border diagonalUp="false" diagonalDown="false">
      <left/>
      <right style="thin"/>
      <top/>
      <bottom/>
      <diagonal/>
    </border>
    <border diagonalUp="false" diagonalDown="false">
      <left/>
      <right/>
      <top/>
      <bottom style="thin">
        <color rgb="FF602320"/>
      </bottom>
      <diagonal/>
    </border>
    <border diagonalUp="false" diagonalDown="false">
      <left/>
      <right style="thin"/>
      <top style="thin">
        <color rgb="FF602320"/>
      </top>
      <bottom style="thin">
        <color rgb="FF602320"/>
      </bottom>
      <diagonal/>
    </border>
    <border diagonalUp="false" diagonalDown="false">
      <left style="thin"/>
      <right style="thin"/>
      <top style="thin"/>
      <bottom style="thin"/>
      <diagonal/>
    </border>
    <border diagonalUp="false" diagonalDown="false">
      <left/>
      <right style="thin"/>
      <top style="thin">
        <color rgb="FF602320"/>
      </top>
      <bottom/>
      <diagonal/>
    </border>
    <border diagonalUp="false" diagonalDown="false">
      <left/>
      <right/>
      <top style="thin">
        <color rgb="FF602320"/>
      </top>
      <bottom style="thin">
        <color rgb="FF60232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7"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false" applyAlignment="false" applyProtection="false">
      <alignment horizontal="general" vertical="bottom" textRotation="0" wrapText="false" indent="0" shrinkToFit="false"/>
      <protection locked="true" hidden="false"/>
    </xf>
    <xf numFmtId="165" fontId="4" fillId="0" borderId="0" xfId="0" applyFont="true" applyBorder="false" applyAlignment="false" applyProtection="false">
      <alignment horizontal="general" vertical="bottom" textRotation="0" wrapText="false" indent="0" shrinkToFit="false"/>
      <protection locked="true" hidden="false"/>
    </xf>
    <xf numFmtId="165" fontId="6" fillId="0" borderId="0" xfId="0" applyFont="true" applyBorder="false" applyAlignment="false" applyProtection="false">
      <alignment horizontal="general" vertical="bottom" textRotation="0" wrapText="false" indent="0" shrinkToFit="false"/>
      <protection locked="true" hidden="false"/>
    </xf>
    <xf numFmtId="166" fontId="7" fillId="0" borderId="1" xfId="0" applyFont="true" applyBorder="true" applyAlignment="true" applyProtection="false">
      <alignment horizontal="right" vertical="bottom" textRotation="0" wrapText="true" indent="0" shrinkToFit="false"/>
      <protection locked="true" hidden="false"/>
    </xf>
    <xf numFmtId="166" fontId="7" fillId="2" borderId="2" xfId="0" applyFont="true" applyBorder="true" applyAlignment="true" applyProtection="false">
      <alignment horizontal="center" vertical="bottom" textRotation="0" wrapText="true" indent="0" shrinkToFit="false"/>
      <protection locked="true" hidden="false"/>
    </xf>
    <xf numFmtId="167" fontId="5" fillId="0" borderId="3" xfId="0" applyFont="true" applyBorder="true" applyAlignment="true" applyProtection="false">
      <alignment horizontal="left" vertical="bottom" textRotation="0" wrapText="false" indent="0" shrinkToFit="false"/>
      <protection locked="true" hidden="false"/>
    </xf>
    <xf numFmtId="167" fontId="5" fillId="0" borderId="3" xfId="0" applyFont="true" applyBorder="true" applyAlignment="true" applyProtection="false">
      <alignment horizontal="center" vertical="bottom" textRotation="0" wrapText="false" indent="0" shrinkToFit="false"/>
      <protection locked="true" hidden="false"/>
    </xf>
    <xf numFmtId="166" fontId="7" fillId="2" borderId="3" xfId="0" applyFont="true" applyBorder="true" applyAlignment="true" applyProtection="false">
      <alignment horizontal="center" vertical="bottom" textRotation="0" wrapText="true" indent="0" shrinkToFit="false"/>
      <protection locked="true" hidden="false"/>
    </xf>
    <xf numFmtId="165" fontId="8"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9" fillId="0" borderId="4" xfId="0" applyFont="true" applyBorder="true" applyAlignment="false" applyProtection="false">
      <alignment horizontal="general" vertical="bottom" textRotation="0" wrapText="false" indent="0" shrinkToFit="false"/>
      <protection locked="true" hidden="false"/>
    </xf>
    <xf numFmtId="164" fontId="9" fillId="0" borderId="5" xfId="0" applyFont="true" applyBorder="true" applyAlignment="false" applyProtection="false">
      <alignment horizontal="general" vertical="bottom" textRotation="0" wrapText="false" indent="0" shrinkToFit="false"/>
      <protection locked="true" hidden="false"/>
    </xf>
    <xf numFmtId="164" fontId="10" fillId="3"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5" fontId="11" fillId="4" borderId="0" xfId="0" applyFont="true" applyBorder="false" applyAlignment="true" applyProtection="false">
      <alignment horizontal="right" vertical="top" textRotation="0" wrapText="false" indent="0" shrinkToFit="false"/>
      <protection locked="true" hidden="false"/>
    </xf>
    <xf numFmtId="164" fontId="12" fillId="5" borderId="6" xfId="0" applyFont="true" applyBorder="true" applyAlignment="true" applyProtection="false">
      <alignment horizontal="left" vertical="top" textRotation="0" wrapText="false" indent="0" shrinkToFit="false"/>
      <protection locked="true" hidden="false"/>
    </xf>
    <xf numFmtId="164" fontId="12" fillId="5" borderId="7" xfId="0" applyFont="true" applyBorder="true" applyAlignment="true" applyProtection="false">
      <alignment horizontal="left" vertical="top" textRotation="0" wrapText="true" indent="0" shrinkToFit="false"/>
      <protection locked="true" hidden="false"/>
    </xf>
    <xf numFmtId="168" fontId="5" fillId="0" borderId="8"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8" fontId="13" fillId="0" borderId="8" xfId="0" applyFont="true" applyBorder="true" applyAlignment="true" applyProtection="false">
      <alignment horizontal="general" vertical="center" textRotation="0" wrapText="false" indent="0" shrinkToFit="false"/>
      <protection locked="true" hidden="false"/>
    </xf>
    <xf numFmtId="169" fontId="11" fillId="4" borderId="0" xfId="0" applyFont="true" applyBorder="false" applyAlignment="true" applyProtection="false">
      <alignment horizontal="right" vertical="top" textRotation="0" wrapText="false" indent="0" shrinkToFit="false"/>
      <protection locked="true" hidden="false"/>
    </xf>
    <xf numFmtId="170" fontId="0" fillId="0" borderId="0" xfId="0" applyFont="false" applyBorder="false" applyAlignment="false" applyProtection="false">
      <alignment horizontal="general" vertical="bottom" textRotation="0" wrapText="false" indent="0" shrinkToFit="false"/>
      <protection locked="true" hidden="false"/>
    </xf>
    <xf numFmtId="170" fontId="14" fillId="0" borderId="0" xfId="0" applyFont="true" applyBorder="false" applyAlignment="false" applyProtection="false">
      <alignment horizontal="general" vertical="bottom" textRotation="0" wrapText="false" indent="0" shrinkToFit="false"/>
      <protection locked="true" hidden="false"/>
    </xf>
    <xf numFmtId="165" fontId="5" fillId="0" borderId="0" xfId="0" applyFont="true" applyBorder="true" applyAlignment="true" applyProtection="false">
      <alignment horizontal="left" vertical="center" textRotation="0" wrapText="true" indent="0" shrinkToFit="false"/>
      <protection locked="true" hidden="false"/>
    </xf>
    <xf numFmtId="164" fontId="12" fillId="5" borderId="9" xfId="0" applyFont="true" applyBorder="true" applyAlignment="true" applyProtection="false">
      <alignment horizontal="left" vertical="top" textRotation="0" wrapText="false" indent="0" shrinkToFit="false"/>
      <protection locked="true" hidden="false"/>
    </xf>
    <xf numFmtId="164" fontId="12" fillId="5" borderId="5" xfId="0" applyFont="true" applyBorder="true" applyAlignment="true" applyProtection="false">
      <alignment horizontal="left" vertical="top" textRotation="0" wrapText="false" indent="0" shrinkToFit="false"/>
      <protection locked="true" hidden="false"/>
    </xf>
    <xf numFmtId="171" fontId="5" fillId="0" borderId="8"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5" fontId="15" fillId="4" borderId="8" xfId="0" applyFont="true" applyBorder="true" applyAlignment="true" applyProtection="false">
      <alignment horizontal="right" vertical="top" textRotation="0" wrapText="false" indent="0" shrinkToFit="false"/>
      <protection locked="true" hidden="false"/>
    </xf>
    <xf numFmtId="172" fontId="5" fillId="0" borderId="3" xfId="0" applyFont="true" applyBorder="true" applyAlignment="true" applyProtection="false">
      <alignment horizontal="right" vertical="bottom" textRotation="0" wrapText="false" indent="0" shrinkToFit="false"/>
      <protection locked="true" hidden="false"/>
    </xf>
    <xf numFmtId="170" fontId="5" fillId="0" borderId="3" xfId="0" applyFont="true" applyBorder="true" applyAlignment="true" applyProtection="false">
      <alignment horizontal="right" vertical="bottom" textRotation="0" wrapText="false" indent="0" shrinkToFit="false"/>
      <protection locked="true" hidden="false"/>
    </xf>
    <xf numFmtId="172" fontId="11" fillId="4" borderId="0" xfId="0" applyFont="true" applyBorder="false" applyAlignment="true" applyProtection="false">
      <alignment horizontal="right" vertical="top" textRotation="0" wrapText="false" indent="0" shrinkToFit="false"/>
      <protection locked="true" hidden="false"/>
    </xf>
    <xf numFmtId="165" fontId="12" fillId="5" borderId="6" xfId="0" applyFont="true" applyBorder="true" applyAlignment="true" applyProtection="false">
      <alignment horizontal="center" vertical="top" textRotation="0" wrapText="false" indent="0" shrinkToFit="false"/>
      <protection locked="true" hidden="false"/>
    </xf>
    <xf numFmtId="167" fontId="5" fillId="0" borderId="3" xfId="0" applyFont="true" applyBorder="true" applyAlignment="true" applyProtection="false">
      <alignment horizontal="right" vertical="bottom" textRotation="0" wrapText="false" indent="0" shrinkToFit="false"/>
      <protection locked="true" hidden="false"/>
    </xf>
    <xf numFmtId="173" fontId="11" fillId="4" borderId="0" xfId="0" applyFont="true" applyBorder="false" applyAlignment="true" applyProtection="false">
      <alignment horizontal="right" vertical="top" textRotation="0" wrapText="false" indent="0" shrinkToFit="false"/>
      <protection locked="true" hidden="false"/>
    </xf>
    <xf numFmtId="165" fontId="16" fillId="5" borderId="10" xfId="0" applyFont="true" applyBorder="tru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left" vertical="bottom" textRotation="0" wrapText="true" indent="0" shrinkToFit="false"/>
      <protection locked="true" hidden="false"/>
    </xf>
    <xf numFmtId="165" fontId="16" fillId="5" borderId="0" xfId="0" applyFont="true" applyBorder="false" applyAlignment="true" applyProtection="false">
      <alignment horizontal="general" vertical="bottom" textRotation="0" wrapText="true" indent="0" shrinkToFit="false"/>
      <protection locked="true" hidden="false"/>
    </xf>
    <xf numFmtId="174" fontId="16" fillId="5" borderId="0" xfId="0" applyFont="true" applyBorder="false" applyAlignment="true" applyProtection="false">
      <alignment horizontal="general" vertical="bottom" textRotation="0" wrapText="true" indent="0" shrinkToFit="false"/>
      <protection locked="true" hidden="false"/>
    </xf>
    <xf numFmtId="165" fontId="9" fillId="0" borderId="10" xfId="0" applyFont="true" applyBorder="true" applyAlignment="true" applyProtection="false">
      <alignment horizontal="left" vertical="bottom" textRotation="0" wrapText="false" indent="0" shrinkToFit="false"/>
      <protection locked="true" hidden="false"/>
    </xf>
    <xf numFmtId="165" fontId="17" fillId="0" borderId="10" xfId="0" applyFont="true" applyBorder="true" applyAlignment="true" applyProtection="false">
      <alignment horizontal="left" vertical="bottom" textRotation="0" wrapText="false" indent="0" shrinkToFit="false"/>
      <protection locked="true" hidden="false"/>
    </xf>
    <xf numFmtId="175" fontId="9" fillId="0" borderId="10" xfId="0" applyFont="true" applyBorder="true" applyAlignment="true" applyProtection="false">
      <alignment horizontal="left" vertical="bottom" textRotation="0" wrapText="false" indent="0" shrinkToFit="false"/>
      <protection locked="true" hidden="false"/>
    </xf>
    <xf numFmtId="176" fontId="9" fillId="0" borderId="10" xfId="0" applyFont="true" applyBorder="true" applyAlignment="true" applyProtection="false">
      <alignment horizontal="center" vertical="bottom" textRotation="0" wrapText="false" indent="0" shrinkToFit="false"/>
      <protection locked="true" hidden="false"/>
    </xf>
    <xf numFmtId="174" fontId="9" fillId="0" borderId="10" xfId="0" applyFont="true" applyBorder="true" applyAlignment="false" applyProtection="false">
      <alignment horizontal="general" vertical="bottom" textRotation="0" wrapText="false" indent="0" shrinkToFit="false"/>
      <protection locked="true" hidden="false"/>
    </xf>
    <xf numFmtId="177" fontId="9" fillId="0" borderId="10" xfId="0" applyFont="true" applyBorder="true" applyAlignment="true" applyProtection="false">
      <alignment horizontal="right" vertical="bottom" textRotation="0" wrapText="false" indent="0" shrinkToFit="false"/>
      <protection locked="true" hidden="false"/>
    </xf>
    <xf numFmtId="172" fontId="5" fillId="0" borderId="10" xfId="0" applyFont="true" applyBorder="true" applyAlignment="true" applyProtection="false">
      <alignment horizontal="right" vertical="bottom" textRotation="0" wrapText="false" indent="0" shrinkToFit="false"/>
      <protection locked="true" hidden="false"/>
    </xf>
    <xf numFmtId="165" fontId="9" fillId="0" borderId="6" xfId="0" applyFont="true" applyBorder="true" applyAlignment="true" applyProtection="false">
      <alignment horizontal="left" vertical="bottom" textRotation="0" wrapText="false" indent="0" shrinkToFit="false"/>
      <protection locked="true" hidden="false"/>
    </xf>
    <xf numFmtId="165" fontId="17" fillId="0" borderId="6" xfId="0" applyFont="true" applyBorder="true" applyAlignment="true" applyProtection="false">
      <alignment horizontal="left" vertical="bottom" textRotation="0" wrapText="false" indent="0" shrinkToFit="false"/>
      <protection locked="true" hidden="false"/>
    </xf>
    <xf numFmtId="165" fontId="9" fillId="6" borderId="10" xfId="0" applyFont="true" applyBorder="true" applyAlignment="true" applyProtection="false">
      <alignment horizontal="left" vertical="bottom" textRotation="0" wrapText="false" indent="0" shrinkToFit="false"/>
      <protection locked="true" hidden="false"/>
    </xf>
    <xf numFmtId="165" fontId="17" fillId="6" borderId="10" xfId="0" applyFont="true" applyBorder="true" applyAlignment="true" applyProtection="false">
      <alignment horizontal="left" vertical="bottom" textRotation="0" wrapText="false" indent="0" shrinkToFit="false"/>
      <protection locked="true" hidden="false"/>
    </xf>
    <xf numFmtId="177" fontId="5" fillId="0" borderId="0" xfId="0" applyFont="true" applyBorder="false" applyAlignment="false" applyProtection="false">
      <alignment horizontal="general" vertical="bottom" textRotation="0" wrapText="false" indent="0" shrinkToFit="false"/>
      <protection locked="true" hidden="false"/>
    </xf>
    <xf numFmtId="165" fontId="12" fillId="5" borderId="6" xfId="0" applyFont="true" applyBorder="true" applyAlignment="true" applyProtection="false">
      <alignment horizontal="left" vertical="top" textRotation="0" wrapText="false" indent="0" shrinkToFit="false"/>
      <protection locked="true" hidden="false"/>
    </xf>
    <xf numFmtId="178" fontId="11" fillId="4" borderId="0" xfId="15" applyFont="true" applyBorder="true" applyAlignment="true" applyProtection="true">
      <alignment horizontal="right" vertical="top"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1">
    <dxf>
      <fill>
        <patternFill>
          <bgColor rgb="FFECC7C6"/>
        </patternFill>
      </fill>
    </dxf>
  </dxfs>
  <colors>
    <indexedColors>
      <rgbColor rgb="FF000000"/>
      <rgbColor rgb="FFFFFFFF"/>
      <rgbColor rgb="FFFF0000"/>
      <rgbColor rgb="FF00FF00"/>
      <rgbColor rgb="FF0000FF"/>
      <rgbColor rgb="FFFFFF00"/>
      <rgbColor rgb="FFFF00FF"/>
      <rgbColor rgb="FF00FFFF"/>
      <rgbColor rgb="FF7A1818"/>
      <rgbColor rgb="FF008000"/>
      <rgbColor rgb="FF000080"/>
      <rgbColor rgb="FF808000"/>
      <rgbColor rgb="FF800080"/>
      <rgbColor rgb="FF008080"/>
      <rgbColor rgb="FFC0C0C0"/>
      <rgbColor rgb="FF808080"/>
      <rgbColor rgb="FF9999FF"/>
      <rgbColor rgb="FF993366"/>
      <rgbColor rgb="FFF2F2F2"/>
      <rgbColor rgb="FFCCFFFF"/>
      <rgbColor rgb="FF660066"/>
      <rgbColor rgb="FFDB536A"/>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2ABA4"/>
      <rgbColor rgb="FFCC99FF"/>
      <rgbColor rgb="FFECC7C6"/>
      <rgbColor rgb="FF3366FF"/>
      <rgbColor rgb="FF33CCCC"/>
      <rgbColor rgb="FF99CC00"/>
      <rgbColor rgb="FFFFCC00"/>
      <rgbColor rgb="FFFF9900"/>
      <rgbColor rgb="FFFF6600"/>
      <rgbColor rgb="FF666699"/>
      <rgbColor rgb="FF968C6D"/>
      <rgbColor rgb="FF003366"/>
      <rgbColor rgb="FF339966"/>
      <rgbColor rgb="FF003300"/>
      <rgbColor rgb="FF333300"/>
      <rgbColor rgb="FF993300"/>
      <rgbColor rgb="FF993366"/>
      <rgbColor rgb="FF333399"/>
      <rgbColor rgb="FF60232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F3" activeCellId="0" sqref="F3"/>
    </sheetView>
  </sheetViews>
  <sheetFormatPr defaultRowHeight="12" zeroHeight="false" outlineLevelRow="0" outlineLevelCol="0"/>
  <cols>
    <col collapsed="false" customWidth="true" hidden="false" outlineLevel="0" max="1025" min="1" style="0" width="9.11"/>
  </cols>
  <sheetData>
    <row r="1" customFormat="false" ht="18.5" hidden="false" customHeight="false" outlineLevel="0" collapsed="false">
      <c r="A1" s="1" t="s">
        <v>0</v>
      </c>
    </row>
    <row r="2" customFormat="false" ht="18.5" hidden="false" customHeight="false" outlineLevel="0" collapsed="false">
      <c r="A2" s="1" t="s">
        <v>1</v>
      </c>
    </row>
    <row r="3" customFormat="false" ht="18.5" hidden="false" customHeight="false" outlineLevel="0" collapsed="false">
      <c r="A3" s="1" t="s">
        <v>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 zeroHeight="false" outlineLevelRow="0" outlineLevelCol="0"/>
  <cols>
    <col collapsed="false" customWidth="true" hidden="false" outlineLevel="0" max="1" min="1" style="2" width="9.11"/>
    <col collapsed="false" customWidth="true" hidden="false" outlineLevel="0" max="2" min="2" style="2" width="10.8"/>
    <col collapsed="false" customWidth="true" hidden="false" outlineLevel="0" max="3" min="3" style="2" width="17.33"/>
    <col collapsed="false" customWidth="true" hidden="false" outlineLevel="0" max="4" min="4" style="2" width="29"/>
    <col collapsed="false" customWidth="true" hidden="false" outlineLevel="0" max="5" min="5" style="2" width="40.78"/>
    <col collapsed="false" customWidth="true" hidden="false" outlineLevel="0" max="1025" min="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
        <v>3</v>
      </c>
    </row>
    <row r="7" customFormat="false" ht="13.5" hidden="false" customHeight="false" outlineLevel="0" collapsed="false">
      <c r="B7" s="5" t="s">
        <v>4</v>
      </c>
      <c r="C7" s="5" t="s">
        <v>5</v>
      </c>
      <c r="D7" s="5" t="s">
        <v>6</v>
      </c>
      <c r="E7" s="5" t="s">
        <v>7</v>
      </c>
    </row>
    <row r="8" customFormat="false" ht="13" hidden="false" customHeight="false" outlineLevel="0" collapsed="false">
      <c r="B8" s="6" t="n">
        <v>1</v>
      </c>
      <c r="C8" s="7" t="s">
        <v>8</v>
      </c>
      <c r="D8" s="8" t="s">
        <v>9</v>
      </c>
      <c r="E8" s="8" t="s">
        <v>10</v>
      </c>
    </row>
    <row r="9" customFormat="false" ht="13" hidden="false" customHeight="false" outlineLevel="0" collapsed="false">
      <c r="B9" s="9" t="n">
        <v>2</v>
      </c>
      <c r="C9" s="7" t="s">
        <v>11</v>
      </c>
      <c r="D9" s="8" t="s">
        <v>9</v>
      </c>
      <c r="E9" s="8" t="s">
        <v>10</v>
      </c>
    </row>
    <row r="10" customFormat="false" ht="13" hidden="false" customHeight="false" outlineLevel="0" collapsed="false">
      <c r="B10" s="9" t="n">
        <v>3</v>
      </c>
      <c r="C10" s="7" t="s">
        <v>12</v>
      </c>
      <c r="D10" s="8" t="s">
        <v>9</v>
      </c>
      <c r="E10" s="8" t="s">
        <v>10</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K1048576"/>
  <sheetViews>
    <sheetView showFormulas="false" showGridLines="false" showRowColHeaders="true" showZeros="true" rightToLeft="false" tabSelected="true" showOutlineSymbols="true" defaultGridColor="true" view="normal" topLeftCell="A73" colorId="64" zoomScale="80" zoomScaleNormal="80" zoomScalePageLayoutView="100" workbookViewId="0">
      <selection pane="topLeft" activeCell="E100" activeCellId="0" sqref="E100"/>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3"/>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2.8" hidden="false" customHeight="false" outlineLevel="1" collapsed="false">
      <c r="C10" s="13" t="n">
        <v>2</v>
      </c>
      <c r="D10" s="14" t="n">
        <f aca="false">D9*C10</f>
        <v>20</v>
      </c>
      <c r="F10" s="15" t="n">
        <v>2</v>
      </c>
      <c r="G10" s="16" t="n">
        <v>20</v>
      </c>
    </row>
    <row r="11" customFormat="false" ht="12.8" hidden="false" customHeight="false" outlineLevel="1" collapsed="false">
      <c r="C11" s="13" t="n">
        <v>4</v>
      </c>
      <c r="D11" s="14" t="n">
        <f aca="false">D9*C11</f>
        <v>40</v>
      </c>
      <c r="F11" s="15" t="n">
        <v>4</v>
      </c>
      <c r="G11" s="16" t="n">
        <v>40</v>
      </c>
    </row>
    <row r="12" customFormat="false" ht="12.8" hidden="false" customHeight="false" outlineLevel="1" collapsed="false">
      <c r="C12" s="13" t="n">
        <v>6</v>
      </c>
      <c r="D12" s="14" t="n">
        <f aca="false">D9*C12</f>
        <v>60</v>
      </c>
      <c r="F12" s="15" t="n">
        <v>6</v>
      </c>
      <c r="G12" s="16" t="n">
        <v>60</v>
      </c>
    </row>
    <row r="13" customFormat="false" ht="12.8"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2.8" hidden="false" customHeight="false" outlineLevel="1" collapsed="false">
      <c r="C18" s="13" t="n">
        <v>2</v>
      </c>
      <c r="D18" s="14" t="n">
        <f aca="false">C18*D17</f>
        <v>20</v>
      </c>
      <c r="G18" s="14"/>
    </row>
    <row r="19" customFormat="false" ht="12.8" hidden="false" customHeight="false" outlineLevel="1" collapsed="false">
      <c r="C19" s="13" t="n">
        <v>4</v>
      </c>
      <c r="D19" s="14" t="n">
        <f aca="false">C19*D17</f>
        <v>40</v>
      </c>
      <c r="G19" s="14"/>
    </row>
    <row r="20" customFormat="false" ht="12.8" hidden="false" customHeight="false" outlineLevel="1" collapsed="false">
      <c r="C20" s="13" t="n">
        <v>6</v>
      </c>
      <c r="D20" s="14" t="n">
        <f aca="false">C20*D17</f>
        <v>60</v>
      </c>
      <c r="G20" s="14"/>
    </row>
    <row r="21" customFormat="false" ht="12.8"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2.8" hidden="false" customHeight="false" outlineLevel="1" collapsed="false">
      <c r="C26" s="13" t="n">
        <v>2</v>
      </c>
      <c r="D26" s="14" t="n">
        <f aca="false">D25*C26</f>
        <v>20</v>
      </c>
      <c r="F26" s="13" t="n">
        <v>20</v>
      </c>
      <c r="G26" s="16" t="n">
        <f aca="false">G25*F26</f>
        <v>200</v>
      </c>
    </row>
    <row r="27" customFormat="false" ht="12.8" hidden="false" customHeight="false" outlineLevel="1" collapsed="false">
      <c r="C27" s="13" t="n">
        <v>4</v>
      </c>
      <c r="D27" s="14" t="n">
        <f aca="false">D25*C27</f>
        <v>40</v>
      </c>
      <c r="F27" s="13" t="n">
        <v>40</v>
      </c>
      <c r="G27" s="16" t="n">
        <f aca="false">G25*F27</f>
        <v>400</v>
      </c>
    </row>
    <row r="28" customFormat="false" ht="12.8" hidden="false" customHeight="false" outlineLevel="1" collapsed="false">
      <c r="C28" s="13" t="n">
        <v>6</v>
      </c>
      <c r="D28" s="14" t="n">
        <f aca="false">D25*C28</f>
        <v>60</v>
      </c>
      <c r="F28" s="13" t="n">
        <v>60</v>
      </c>
      <c r="G28" s="16" t="n">
        <f aca="false">G25*F28</f>
        <v>600</v>
      </c>
    </row>
    <row r="29" customFormat="false" ht="12.8"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2.8"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2.8" hidden="false" customHeight="false" outlineLevel="1" collapsed="false">
      <c r="C52" s="17"/>
      <c r="D52" s="17"/>
      <c r="E52" s="17" t="s">
        <v>18</v>
      </c>
      <c r="F52" s="17" t="s">
        <v>19</v>
      </c>
      <c r="G52" s="17" t="s">
        <v>20</v>
      </c>
      <c r="H52" s="17" t="s">
        <v>21</v>
      </c>
      <c r="I52" s="17" t="s">
        <v>22</v>
      </c>
    </row>
    <row r="53" customFormat="false" ht="12.75" hidden="false" customHeight="true" outlineLevel="1" collapsed="false">
      <c r="C53" s="18" t="s">
        <v>28</v>
      </c>
      <c r="D53" s="18"/>
      <c r="E53" s="19" t="n">
        <v>49.95</v>
      </c>
      <c r="F53" s="19" t="n">
        <v>9.99</v>
      </c>
      <c r="G53" s="19" t="n">
        <v>15.5</v>
      </c>
      <c r="H53" s="19" t="n">
        <v>60.99</v>
      </c>
      <c r="I53" s="19" t="n">
        <v>32.25</v>
      </c>
    </row>
    <row r="54" customFormat="false" ht="12.8" hidden="false" customHeight="true" outlineLevel="1" collapsed="false">
      <c r="C54" s="18" t="s">
        <v>29</v>
      </c>
      <c r="D54" s="18"/>
      <c r="E54" s="20" t="n">
        <v>10</v>
      </c>
      <c r="F54" s="20" t="n">
        <v>42</v>
      </c>
      <c r="G54" s="20" t="n">
        <v>32</v>
      </c>
      <c r="H54" s="20" t="n">
        <v>6</v>
      </c>
      <c r="I54" s="20" t="n">
        <v>50</v>
      </c>
    </row>
    <row r="55" customFormat="false" ht="12.8" hidden="false" customHeight="true" outlineLevel="1" collapsed="false">
      <c r="C55" s="18" t="s">
        <v>30</v>
      </c>
      <c r="D55" s="18"/>
      <c r="E55" s="21" t="n">
        <f aca="false">E53*E54</f>
        <v>499.5</v>
      </c>
      <c r="F55" s="21" t="n">
        <f aca="false">F53*F54</f>
        <v>419.58</v>
      </c>
      <c r="G55" s="21" t="n">
        <f aca="false">G53*G54</f>
        <v>496</v>
      </c>
      <c r="H55" s="21" t="n">
        <f aca="false">H53*H54</f>
        <v>365.94</v>
      </c>
      <c r="I55" s="21" t="n">
        <f aca="false">I53*I54</f>
        <v>1612.5</v>
      </c>
      <c r="J55" s="0"/>
      <c r="K55" s="0"/>
    </row>
    <row r="56" customFormat="false" ht="13" hidden="false" customHeight="false" outlineLevel="1" collapsed="false">
      <c r="C56" s="0"/>
    </row>
    <row r="57" customFormat="false" ht="13" hidden="false" customHeight="false" outlineLevel="1" collapsed="false">
      <c r="C57" s="11" t="s">
        <v>31</v>
      </c>
    </row>
    <row r="58" customFormat="false" ht="13" hidden="false" customHeight="false" outlineLevel="1" collapsed="false"/>
    <row r="59" customFormat="false" ht="12.8" hidden="false" customHeight="false" outlineLevel="1" collapsed="false">
      <c r="C59" s="17"/>
      <c r="D59" s="17"/>
      <c r="E59" s="17" t="s">
        <v>18</v>
      </c>
      <c r="F59" s="17" t="s">
        <v>19</v>
      </c>
      <c r="G59" s="17" t="s">
        <v>20</v>
      </c>
      <c r="H59" s="17" t="s">
        <v>21</v>
      </c>
      <c r="I59" s="17" t="s">
        <v>22</v>
      </c>
    </row>
    <row r="60" customFormat="false" ht="13.1" hidden="false" customHeight="true" outlineLevel="1" collapsed="false">
      <c r="C60" s="18" t="s">
        <v>32</v>
      </c>
      <c r="D60" s="18"/>
      <c r="E60" s="19" t="n">
        <v>187.25</v>
      </c>
      <c r="F60" s="19" t="n">
        <v>226.39</v>
      </c>
      <c r="G60" s="19" t="n">
        <v>224.89</v>
      </c>
      <c r="H60" s="19" t="n">
        <v>250.93</v>
      </c>
      <c r="I60" s="19" t="n">
        <v>252.65</v>
      </c>
    </row>
    <row r="61" customFormat="false" ht="13.1" hidden="false" customHeight="true" outlineLevel="1" collapsed="false">
      <c r="C61" s="18" t="s">
        <v>33</v>
      </c>
      <c r="D61" s="18"/>
      <c r="E61" s="20" t="n">
        <v>159.1625</v>
      </c>
      <c r="F61" s="20" t="n">
        <v>187.9037</v>
      </c>
      <c r="G61" s="20" t="n">
        <v>193.4054</v>
      </c>
      <c r="H61" s="20" t="n">
        <v>220.8184</v>
      </c>
      <c r="I61" s="20" t="n">
        <v>212.226</v>
      </c>
    </row>
    <row r="62" customFormat="false" ht="13.1" hidden="false" customHeight="true" outlineLevel="1" collapsed="false">
      <c r="C62" s="18" t="s">
        <v>34</v>
      </c>
      <c r="D62" s="18"/>
      <c r="E62" s="21" t="n">
        <f aca="false">E60-E61</f>
        <v>28.0875</v>
      </c>
      <c r="F62" s="21" t="n">
        <f aca="false">F60-F61</f>
        <v>38.4863</v>
      </c>
      <c r="G62" s="21" t="n">
        <f aca="false">G60-G61</f>
        <v>31.4846</v>
      </c>
      <c r="H62" s="21" t="n">
        <f aca="false">H60-H61</f>
        <v>30.1116</v>
      </c>
      <c r="I62" s="21" t="n">
        <f aca="false">I60-I61</f>
        <v>40.424</v>
      </c>
      <c r="J62" s="23"/>
      <c r="K62" s="23"/>
    </row>
    <row r="63" customFormat="false" ht="12.8" hidden="false" customHeight="false" outlineLevel="1" collapsed="false">
      <c r="C63" s="0"/>
      <c r="D63" s="24"/>
      <c r="E63" s="24"/>
      <c r="F63" s="24"/>
      <c r="G63" s="24"/>
      <c r="H63" s="24"/>
      <c r="I63" s="23"/>
      <c r="J63" s="23"/>
      <c r="K63" s="23"/>
    </row>
    <row r="64" customFormat="false" ht="12.8" hidden="false" customHeight="false" outlineLevel="1" collapsed="false">
      <c r="C64" s="0"/>
      <c r="D64" s="24"/>
      <c r="E64" s="24"/>
      <c r="F64" s="24"/>
      <c r="G64" s="24"/>
      <c r="H64" s="24"/>
      <c r="I64" s="23"/>
      <c r="J64" s="23"/>
      <c r="K64" s="23"/>
    </row>
    <row r="65" customFormat="false" ht="12.8" hidden="false" customHeight="false" outlineLevel="1" collapsed="false">
      <c r="C65" s="0"/>
      <c r="D65" s="24"/>
      <c r="E65" s="24"/>
      <c r="F65" s="24"/>
      <c r="G65" s="24"/>
      <c r="H65" s="24"/>
      <c r="I65" s="23"/>
      <c r="J65" s="23"/>
      <c r="K65" s="23"/>
    </row>
    <row r="66" customFormat="false" ht="13" hidden="false" customHeight="false" outlineLevel="1" collapsed="false">
      <c r="F66" s="0"/>
      <c r="G66" s="23"/>
      <c r="H66" s="23"/>
      <c r="I66" s="23"/>
      <c r="J66" s="23"/>
      <c r="K66" s="23"/>
    </row>
    <row r="67" customFormat="false" ht="18.5" hidden="false" customHeight="false" outlineLevel="0" collapsed="false">
      <c r="A67" s="2" t="s">
        <v>35</v>
      </c>
      <c r="B67" s="10" t="s">
        <v>36</v>
      </c>
      <c r="F67" s="0"/>
      <c r="G67" s="0"/>
      <c r="H67" s="0"/>
      <c r="I67" s="0"/>
      <c r="J67" s="0"/>
      <c r="K67" s="0"/>
    </row>
    <row r="68" customFormat="false" ht="13" hidden="false" customHeight="false" outlineLevel="1" collapsed="false">
      <c r="F68" s="0"/>
      <c r="G68" s="0"/>
      <c r="H68" s="0"/>
      <c r="I68" s="0"/>
      <c r="J68" s="0"/>
      <c r="K68" s="0"/>
    </row>
    <row r="69" customFormat="false" ht="12.75" hidden="false" customHeight="true" outlineLevel="1" collapsed="false">
      <c r="C69" s="25" t="s">
        <v>37</v>
      </c>
      <c r="D69" s="25"/>
      <c r="E69" s="25"/>
      <c r="F69" s="25"/>
      <c r="G69" s="25"/>
      <c r="H69" s="25"/>
      <c r="I69" s="25"/>
      <c r="J69" s="25"/>
      <c r="K69" s="0"/>
    </row>
    <row r="70" customFormat="false" ht="13" hidden="false" customHeight="false" outlineLevel="1" collapsed="false">
      <c r="C70" s="25"/>
      <c r="D70" s="25"/>
      <c r="E70" s="25"/>
      <c r="F70" s="25"/>
      <c r="G70" s="25"/>
      <c r="H70" s="25"/>
      <c r="I70" s="25"/>
      <c r="J70" s="25"/>
    </row>
    <row r="71" customFormat="false" ht="13" hidden="false" customHeight="false" outlineLevel="1" collapsed="false">
      <c r="C71" s="25"/>
      <c r="D71" s="25"/>
      <c r="E71" s="25"/>
      <c r="F71" s="25"/>
      <c r="G71" s="25"/>
      <c r="H71" s="25"/>
      <c r="I71" s="25"/>
      <c r="J71" s="25"/>
    </row>
    <row r="72" customFormat="false" ht="13" hidden="false" customHeight="false" outlineLevel="1" collapsed="false"/>
    <row r="73" customFormat="false" ht="13" hidden="false" customHeight="false" outlineLevel="1" collapsed="false">
      <c r="C73" s="17"/>
      <c r="D73" s="17"/>
      <c r="E73" s="17" t="s">
        <v>38</v>
      </c>
      <c r="F73" s="17" t="s">
        <v>39</v>
      </c>
      <c r="G73" s="17" t="s">
        <v>40</v>
      </c>
      <c r="H73" s="17" t="s">
        <v>41</v>
      </c>
      <c r="I73" s="17" t="s">
        <v>42</v>
      </c>
    </row>
    <row r="74" customFormat="false" ht="12.8" hidden="false" customHeight="false" outlineLevel="1" collapsed="false">
      <c r="C74" s="26" t="s">
        <v>32</v>
      </c>
      <c r="D74" s="26"/>
      <c r="E74" s="11" t="n">
        <v>184790</v>
      </c>
      <c r="F74" s="11" t="n">
        <v>103998</v>
      </c>
      <c r="G74" s="11" t="n">
        <v>96732</v>
      </c>
      <c r="H74" s="11" t="n">
        <v>234550</v>
      </c>
      <c r="I74" s="11" t="n">
        <v>78376</v>
      </c>
    </row>
    <row r="75" customFormat="false" ht="12.8" hidden="false" customHeight="false" outlineLevel="1" collapsed="false">
      <c r="C75" s="27" t="s">
        <v>43</v>
      </c>
      <c r="D75" s="27"/>
      <c r="E75" s="11" t="n">
        <v>-123809.3</v>
      </c>
      <c r="F75" s="11" t="n">
        <v>-69678.66</v>
      </c>
      <c r="G75" s="11" t="n">
        <v>-64810.44</v>
      </c>
      <c r="H75" s="11" t="n">
        <v>-157148.5</v>
      </c>
      <c r="I75" s="11" t="n">
        <v>-52511.92</v>
      </c>
    </row>
    <row r="76" customFormat="false" ht="13" hidden="false" customHeight="false" outlineLevel="1" collapsed="false">
      <c r="C76" s="27" t="s">
        <v>44</v>
      </c>
      <c r="D76" s="27"/>
      <c r="E76" s="28" t="n">
        <f aca="false">E74+E75</f>
        <v>60980.7</v>
      </c>
      <c r="F76" s="28" t="n">
        <f aca="false">F74+F75</f>
        <v>34319.34</v>
      </c>
      <c r="G76" s="28" t="n">
        <f aca="false">G74+G75</f>
        <v>31921.56</v>
      </c>
      <c r="H76" s="28" t="n">
        <f aca="false">H74+H75</f>
        <v>77401.5</v>
      </c>
      <c r="I76" s="28" t="n">
        <f aca="false">I74+I75</f>
        <v>25864.08</v>
      </c>
    </row>
    <row r="77" customFormat="false" ht="13" hidden="false" customHeight="false" outlineLevel="1" collapsed="false">
      <c r="D77" s="0"/>
      <c r="E77" s="0"/>
      <c r="F77" s="0"/>
      <c r="G77" s="0"/>
      <c r="H77" s="0"/>
      <c r="I77" s="0"/>
    </row>
    <row r="78" customFormat="false" ht="13" hidden="false" customHeight="false" outlineLevel="1" collapsed="false">
      <c r="D78" s="0"/>
      <c r="E78" s="0"/>
      <c r="F78" s="0"/>
      <c r="G78" s="0"/>
      <c r="H78" s="0"/>
      <c r="I78" s="11" t="n">
        <v>-1</v>
      </c>
    </row>
    <row r="79" customFormat="false" ht="13" hidden="false" customHeight="false" outlineLevel="1" collapsed="false">
      <c r="F79" s="0"/>
      <c r="G79" s="0"/>
      <c r="H79" s="0"/>
      <c r="I79" s="0"/>
      <c r="J79" s="0"/>
      <c r="K79" s="0"/>
    </row>
    <row r="80" customFormat="false" ht="13" hidden="false" customHeight="false" outlineLevel="1" collapsed="false"/>
    <row r="81" customFormat="false" ht="13" hidden="false" customHeight="false" outlineLevel="1" collapsed="false"/>
    <row r="82" customFormat="false" ht="13" hidden="false" customHeight="false" outlineLevel="1" collapsed="false"/>
    <row r="83" customFormat="false" ht="13" hidden="false" customHeight="false" outlineLevel="1" collapsed="false">
      <c r="F83" s="0"/>
      <c r="G83" s="0"/>
      <c r="H83" s="0"/>
      <c r="I83" s="0"/>
      <c r="J83" s="0"/>
      <c r="K83" s="0"/>
    </row>
    <row r="84" customFormat="false" ht="18.5" hidden="false" customHeight="false" outlineLevel="0" collapsed="false">
      <c r="B84" s="10" t="s">
        <v>45</v>
      </c>
      <c r="F84" s="0"/>
      <c r="G84" s="0"/>
      <c r="H84" s="0"/>
      <c r="I84" s="0"/>
      <c r="J84" s="0"/>
    </row>
    <row r="85" customFormat="false" ht="13" hidden="false" customHeight="false" outlineLevel="1" collapsed="false">
      <c r="F85" s="0"/>
      <c r="G85" s="0"/>
      <c r="H85" s="0"/>
      <c r="I85" s="0"/>
      <c r="J85" s="0"/>
      <c r="K85" s="0"/>
    </row>
    <row r="86" customFormat="false" ht="13" hidden="false" customHeight="false" outlineLevel="1" collapsed="false">
      <c r="C86" s="2" t="s">
        <v>46</v>
      </c>
    </row>
    <row r="87" customFormat="false" ht="13" hidden="false" customHeight="false" outlineLevel="1" collapsed="false"/>
    <row r="88" customFormat="false" ht="13" hidden="false" customHeight="false" outlineLevel="1" collapsed="false">
      <c r="C88" s="2" t="s">
        <v>38</v>
      </c>
      <c r="D88" s="0"/>
      <c r="E88" s="0"/>
      <c r="F88" s="0"/>
      <c r="G88" s="0"/>
      <c r="H88" s="0"/>
    </row>
    <row r="89" customFormat="false" ht="13" hidden="false" customHeight="false" outlineLevel="1" collapsed="false">
      <c r="C89" s="2" t="s">
        <v>39</v>
      </c>
      <c r="D89" s="0"/>
      <c r="E89" s="0"/>
      <c r="F89" s="0"/>
      <c r="G89" s="0"/>
      <c r="H89" s="0"/>
    </row>
    <row r="90" customFormat="false" ht="13" hidden="false" customHeight="false" outlineLevel="1" collapsed="false">
      <c r="C90" s="2" t="s">
        <v>40</v>
      </c>
      <c r="D90" s="0"/>
      <c r="E90" s="0"/>
      <c r="F90" s="0"/>
      <c r="G90" s="0"/>
      <c r="H90" s="0"/>
    </row>
    <row r="91" customFormat="false" ht="13" hidden="false" customHeight="false" outlineLevel="1" collapsed="false">
      <c r="C91" s="2" t="s">
        <v>41</v>
      </c>
      <c r="D91" s="0"/>
      <c r="E91" s="0"/>
      <c r="F91" s="0"/>
      <c r="G91" s="0"/>
      <c r="H91" s="0"/>
    </row>
    <row r="92" customFormat="false" ht="13" hidden="false" customHeight="false" outlineLevel="1" collapsed="false">
      <c r="C92" s="2" t="s">
        <v>42</v>
      </c>
      <c r="D92" s="0"/>
      <c r="E92" s="0"/>
      <c r="F92" s="0"/>
      <c r="G92" s="0"/>
      <c r="H92" s="0"/>
    </row>
    <row r="93" customFormat="false" ht="12.8" hidden="false" customHeight="false" outlineLevel="1" collapsed="false">
      <c r="C93" s="0"/>
      <c r="D93" s="2" t="s">
        <v>38</v>
      </c>
      <c r="E93" s="2" t="s">
        <v>39</v>
      </c>
      <c r="F93" s="2" t="s">
        <v>40</v>
      </c>
      <c r="G93" s="2" t="s">
        <v>41</v>
      </c>
      <c r="H93" s="2" t="s">
        <v>42</v>
      </c>
    </row>
    <row r="94" customFormat="false" ht="13" hidden="false" customHeight="false" outlineLevel="1" collapsed="false">
      <c r="C94" s="0"/>
      <c r="D94" s="28" t="n">
        <v>184790</v>
      </c>
      <c r="E94" s="28" t="n">
        <v>103998</v>
      </c>
      <c r="F94" s="28" t="n">
        <v>96732</v>
      </c>
      <c r="G94" s="28" t="n">
        <v>234550</v>
      </c>
      <c r="H94" s="28" t="n">
        <v>78376</v>
      </c>
    </row>
    <row r="96" customFormat="false" ht="18.5" hidden="false" customHeight="false" outlineLevel="0" collapsed="false"/>
    <row r="1048575" customFormat="false" ht="12.8" hidden="false" customHeight="false" outlineLevel="0" collapsed="false"/>
    <row r="1048576" customFormat="false" ht="12.8" hidden="false" customHeight="false" outlineLevel="0" collapsed="false"/>
  </sheetData>
  <mergeCells count="13">
    <mergeCell ref="C42:D42"/>
    <mergeCell ref="C43:D43"/>
    <mergeCell ref="C44:D44"/>
    <mergeCell ref="C53:D53"/>
    <mergeCell ref="C54:D54"/>
    <mergeCell ref="C55:D55"/>
    <mergeCell ref="C60:D60"/>
    <mergeCell ref="C61:D61"/>
    <mergeCell ref="C62:D62"/>
    <mergeCell ref="C69:J71"/>
    <mergeCell ref="C74:D74"/>
    <mergeCell ref="C75:D75"/>
    <mergeCell ref="C76:D76"/>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4.xml><?xml version="1.0" encoding="utf-8"?>
<worksheet xmlns="http://schemas.openxmlformats.org/spreadsheetml/2006/main" xmlns:r="http://schemas.openxmlformats.org/officeDocument/2006/relationships">
  <sheetPr filterMode="false">
    <tabColor rgb="FFDB536A"/>
    <pageSetUpPr fitToPage="false"/>
  </sheetPr>
  <dimension ref="A1:K98"/>
  <sheetViews>
    <sheetView showFormulas="false" showGridLines="false" showRowColHeaders="true" showZeros="true" rightToLeft="false" tabSelected="false" showOutlineSymbols="true" defaultGridColor="true" view="normal" topLeftCell="B70" colorId="64" zoomScale="100" zoomScaleNormal="100" zoomScalePageLayoutView="100" workbookViewId="0">
      <selection pane="topLeft" activeCell="E76" activeCellId="0" sqref="E76"/>
    </sheetView>
  </sheetViews>
  <sheetFormatPr defaultRowHeight="13" zeroHeight="false" outlineLevelRow="1" outlineLevelCol="0"/>
  <cols>
    <col collapsed="false" customWidth="true" hidden="false" outlineLevel="0" max="2" min="1" style="2" width="9.11"/>
    <col collapsed="false" customWidth="true" hidden="false" outlineLevel="0" max="3" min="3" style="2" width="14.78"/>
    <col collapsed="false" customWidth="true" hidden="false" outlineLevel="0" max="4" min="4" style="2" width="12.11"/>
    <col collapsed="false" customWidth="true" hidden="false" outlineLevel="0" max="9" min="5" style="2" width="12.78"/>
    <col collapsed="false" customWidth="true" hidden="false" outlineLevel="0" max="13" min="10" style="2" width="12.11"/>
    <col collapsed="false" customWidth="true" hidden="false" outlineLevel="0" max="1025" min="14"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1 - Paste Special (ANS)</v>
      </c>
    </row>
    <row r="7" customFormat="false" ht="18.5" hidden="false" customHeight="false" outlineLevel="0" collapsed="false">
      <c r="B7" s="10" t="s">
        <v>13</v>
      </c>
    </row>
    <row r="8" customFormat="false" ht="13" hidden="false" customHeight="false" outlineLevel="1" collapsed="false">
      <c r="C8" s="2" t="s">
        <v>14</v>
      </c>
      <c r="F8" s="0"/>
      <c r="G8" s="0"/>
    </row>
    <row r="9" customFormat="false" ht="13" hidden="false" customHeight="false" outlineLevel="1" collapsed="false">
      <c r="C9" s="11"/>
      <c r="D9" s="12" t="n">
        <v>10</v>
      </c>
    </row>
    <row r="10" customFormat="false" ht="13" hidden="false" customHeight="false" outlineLevel="1" collapsed="false">
      <c r="C10" s="13" t="n">
        <v>2</v>
      </c>
      <c r="D10" s="14" t="n">
        <f aca="false">D9*C10</f>
        <v>20</v>
      </c>
      <c r="F10" s="15" t="n">
        <v>2</v>
      </c>
      <c r="G10" s="16" t="n">
        <v>20</v>
      </c>
    </row>
    <row r="11" customFormat="false" ht="13" hidden="false" customHeight="false" outlineLevel="1" collapsed="false">
      <c r="C11" s="13" t="n">
        <v>4</v>
      </c>
      <c r="D11" s="14" t="n">
        <f aca="false">D9*C11</f>
        <v>40</v>
      </c>
      <c r="F11" s="15" t="n">
        <v>4</v>
      </c>
      <c r="G11" s="16" t="n">
        <v>40</v>
      </c>
    </row>
    <row r="12" customFormat="false" ht="13" hidden="false" customHeight="false" outlineLevel="1" collapsed="false">
      <c r="C12" s="13" t="n">
        <v>6</v>
      </c>
      <c r="D12" s="14" t="n">
        <f aca="false">D9*C12</f>
        <v>60</v>
      </c>
      <c r="F12" s="15" t="n">
        <v>6</v>
      </c>
      <c r="G12" s="16" t="n">
        <v>60</v>
      </c>
    </row>
    <row r="13" customFormat="false" ht="13" hidden="false" customHeight="false" outlineLevel="1" collapsed="false">
      <c r="C13" s="13" t="n">
        <v>8</v>
      </c>
      <c r="D13" s="14" t="n">
        <f aca="false">D9*C13</f>
        <v>80</v>
      </c>
      <c r="F13" s="15" t="n">
        <v>8</v>
      </c>
      <c r="G13" s="16" t="n">
        <v>80</v>
      </c>
    </row>
    <row r="14" customFormat="false" ht="13" hidden="false" customHeight="false" outlineLevel="1" collapsed="false">
      <c r="F14" s="11"/>
      <c r="G14" s="11"/>
    </row>
    <row r="15" customFormat="false" ht="13" hidden="false" customHeight="false" outlineLevel="1" collapsed="false"/>
    <row r="16" customFormat="false" ht="13" hidden="false" customHeight="false" outlineLevel="1" collapsed="false">
      <c r="C16" s="2" t="s">
        <v>15</v>
      </c>
    </row>
    <row r="17" customFormat="false" ht="13" hidden="false" customHeight="false" outlineLevel="1" collapsed="false">
      <c r="C17" s="11"/>
      <c r="D17" s="12" t="n">
        <v>10</v>
      </c>
    </row>
    <row r="18" customFormat="false" ht="13" hidden="false" customHeight="false" outlineLevel="1" collapsed="false">
      <c r="C18" s="13" t="n">
        <v>2</v>
      </c>
      <c r="D18" s="14" t="n">
        <f aca="false">C18*D17</f>
        <v>20</v>
      </c>
      <c r="G18" s="14"/>
    </row>
    <row r="19" customFormat="false" ht="13" hidden="false" customHeight="false" outlineLevel="1" collapsed="false">
      <c r="C19" s="13" t="n">
        <v>4</v>
      </c>
      <c r="D19" s="14" t="n">
        <f aca="false">C19*D17</f>
        <v>40</v>
      </c>
      <c r="G19" s="14"/>
    </row>
    <row r="20" customFormat="false" ht="13" hidden="false" customHeight="false" outlineLevel="1" collapsed="false">
      <c r="C20" s="13" t="n">
        <v>6</v>
      </c>
      <c r="D20" s="14" t="n">
        <f aca="false">C20*D17</f>
        <v>60</v>
      </c>
      <c r="G20" s="14"/>
    </row>
    <row r="21" customFormat="false" ht="13" hidden="false" customHeight="false" outlineLevel="1" collapsed="false">
      <c r="C21" s="13" t="n">
        <v>8</v>
      </c>
      <c r="D21" s="14" t="n">
        <f aca="false">C21*D17</f>
        <v>80</v>
      </c>
      <c r="G21" s="14"/>
    </row>
    <row r="22" customFormat="false" ht="13" hidden="false" customHeight="false" outlineLevel="1" collapsed="false">
      <c r="F22" s="11"/>
      <c r="G22" s="11"/>
    </row>
    <row r="23" customFormat="false" ht="13" hidden="false" customHeight="false" outlineLevel="1" collapsed="false">
      <c r="F23" s="11"/>
    </row>
    <row r="24" customFormat="false" ht="13" hidden="false" customHeight="false" outlineLevel="1" collapsed="false">
      <c r="C24" s="2" t="s">
        <v>16</v>
      </c>
    </row>
    <row r="25" customFormat="false" ht="13" hidden="false" customHeight="false" outlineLevel="1" collapsed="false">
      <c r="C25" s="11"/>
      <c r="D25" s="12" t="n">
        <v>10</v>
      </c>
      <c r="G25" s="2" t="n">
        <v>10</v>
      </c>
    </row>
    <row r="26" customFormat="false" ht="13" hidden="false" customHeight="false" outlineLevel="1" collapsed="false">
      <c r="C26" s="13" t="n">
        <v>2</v>
      </c>
      <c r="D26" s="14" t="n">
        <f aca="false">D25*C26</f>
        <v>20</v>
      </c>
      <c r="F26" s="13" t="n">
        <v>20</v>
      </c>
      <c r="G26" s="16" t="n">
        <f aca="false">G25*F26</f>
        <v>200</v>
      </c>
    </row>
    <row r="27" customFormat="false" ht="13" hidden="false" customHeight="false" outlineLevel="1" collapsed="false">
      <c r="C27" s="13" t="n">
        <v>4</v>
      </c>
      <c r="D27" s="14" t="n">
        <f aca="false">D25*C27</f>
        <v>40</v>
      </c>
      <c r="F27" s="13" t="n">
        <v>40</v>
      </c>
      <c r="G27" s="16" t="n">
        <f aca="false">G25*F27</f>
        <v>400</v>
      </c>
    </row>
    <row r="28" customFormat="false" ht="13" hidden="false" customHeight="false" outlineLevel="1" collapsed="false">
      <c r="C28" s="13" t="n">
        <v>6</v>
      </c>
      <c r="D28" s="14" t="n">
        <f aca="false">D25*C28</f>
        <v>60</v>
      </c>
      <c r="F28" s="13" t="n">
        <v>60</v>
      </c>
      <c r="G28" s="16" t="n">
        <f aca="false">G25*F28</f>
        <v>600</v>
      </c>
    </row>
    <row r="29" customFormat="false" ht="13" hidden="false" customHeight="false" outlineLevel="1" collapsed="false">
      <c r="C29" s="13" t="n">
        <v>8</v>
      </c>
      <c r="D29" s="14" t="n">
        <f aca="false">D25*C29</f>
        <v>80</v>
      </c>
      <c r="F29" s="13" t="n">
        <v>80</v>
      </c>
      <c r="G29" s="16" t="n">
        <f aca="false">G25*F29</f>
        <v>800</v>
      </c>
    </row>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3" hidden="false" customHeight="false" outlineLevel="1" collapsed="false"/>
    <row r="35" customFormat="false" ht="13" hidden="false" customHeight="false" outlineLevel="1" collapsed="false"/>
    <row r="36" customFormat="false" ht="13" hidden="false" customHeight="false" outlineLevel="1" collapsed="false"/>
    <row r="37" customFormat="false" ht="13" hidden="false" customHeight="false" outlineLevel="1" collapsed="false"/>
    <row r="38" customFormat="false" ht="13" hidden="false" customHeight="false" outlineLevel="1" collapsed="false"/>
    <row r="39" customFormat="false" ht="18.5" hidden="false" customHeight="false" outlineLevel="0" collapsed="false">
      <c r="B39" s="10" t="s">
        <v>17</v>
      </c>
    </row>
    <row r="40" customFormat="false" ht="13" hidden="false" customHeight="false" outlineLevel="1" collapsed="false"/>
    <row r="41" customFormat="false" ht="13" hidden="false" customHeight="false" outlineLevel="1" collapsed="false">
      <c r="C41" s="17"/>
      <c r="D41" s="17"/>
      <c r="E41" s="17" t="s">
        <v>18</v>
      </c>
      <c r="F41" s="17" t="s">
        <v>19</v>
      </c>
      <c r="G41" s="17" t="s">
        <v>20</v>
      </c>
      <c r="H41" s="17" t="s">
        <v>21</v>
      </c>
      <c r="I41" s="17" t="s">
        <v>22</v>
      </c>
    </row>
    <row r="42" customFormat="false" ht="12.75" hidden="false" customHeight="true" outlineLevel="1" collapsed="false">
      <c r="C42" s="18" t="s">
        <v>23</v>
      </c>
      <c r="D42" s="18"/>
      <c r="E42" s="19" t="n">
        <v>49.95</v>
      </c>
      <c r="F42" s="19" t="n">
        <v>9.99</v>
      </c>
      <c r="G42" s="19" t="n">
        <v>15.5</v>
      </c>
      <c r="H42" s="19" t="n">
        <v>60.99</v>
      </c>
      <c r="I42" s="19" t="n">
        <v>32.25</v>
      </c>
    </row>
    <row r="43" customFormat="false" ht="13" hidden="false" customHeight="true" outlineLevel="1" collapsed="false">
      <c r="C43" s="18" t="s">
        <v>24</v>
      </c>
      <c r="D43" s="18"/>
      <c r="E43" s="20" t="n">
        <v>10</v>
      </c>
      <c r="F43" s="20" t="n">
        <v>42</v>
      </c>
      <c r="G43" s="20" t="n">
        <v>32</v>
      </c>
      <c r="H43" s="20" t="n">
        <v>6</v>
      </c>
      <c r="I43" s="20" t="n">
        <v>50</v>
      </c>
    </row>
    <row r="44" customFormat="false" ht="13" hidden="false" customHeight="true" outlineLevel="1" collapsed="false">
      <c r="C44" s="18" t="s">
        <v>25</v>
      </c>
      <c r="D44" s="18"/>
      <c r="E44" s="21" t="n">
        <f aca="false">E42*E43</f>
        <v>499.5</v>
      </c>
      <c r="F44" s="21" t="n">
        <f aca="false">F42*F43</f>
        <v>419.58</v>
      </c>
      <c r="G44" s="21" t="n">
        <f aca="false">G42*G43</f>
        <v>496</v>
      </c>
      <c r="H44" s="21" t="n">
        <f aca="false">H42*H43</f>
        <v>365.94</v>
      </c>
      <c r="I44" s="21" t="n">
        <f aca="false">I42*I43</f>
        <v>1612.5</v>
      </c>
    </row>
    <row r="45" customFormat="false" ht="13" hidden="false" customHeight="false" outlineLevel="1" collapsed="false"/>
    <row r="46" customFormat="false" ht="13" hidden="false" customHeight="false" outlineLevel="1" collapsed="false">
      <c r="C46" s="11" t="s">
        <v>26</v>
      </c>
      <c r="F46" s="0"/>
    </row>
    <row r="47" customFormat="false" ht="13" hidden="false" customHeight="false" outlineLevel="1" collapsed="false">
      <c r="C47" s="0"/>
    </row>
    <row r="48" customFormat="false" ht="13" hidden="false" customHeight="false" outlineLevel="1" collapsed="false">
      <c r="C48" s="17" t="s">
        <v>25</v>
      </c>
      <c r="D48" s="17"/>
      <c r="E48" s="22" t="n">
        <v>499.5</v>
      </c>
      <c r="F48" s="22" t="n">
        <v>419.58</v>
      </c>
      <c r="G48" s="22" t="n">
        <v>496</v>
      </c>
      <c r="H48" s="22" t="n">
        <v>365.94</v>
      </c>
      <c r="I48" s="22" t="n">
        <v>1612.5</v>
      </c>
    </row>
    <row r="49" customFormat="false" ht="13" hidden="false" customHeight="false" outlineLevel="1" collapsed="false">
      <c r="C49" s="0"/>
    </row>
    <row r="50" customFormat="false" ht="13" hidden="false" customHeight="false" outlineLevel="1" collapsed="false">
      <c r="C50" s="0"/>
    </row>
    <row r="51" customFormat="false" ht="13" hidden="false" customHeight="false" outlineLevel="1" collapsed="false">
      <c r="C51" s="11" t="s">
        <v>27</v>
      </c>
    </row>
    <row r="52" customFormat="false" ht="13" hidden="false" customHeight="false" outlineLevel="1" collapsed="false">
      <c r="C52" s="11"/>
    </row>
    <row r="53" customFormat="false" ht="12.75" hidden="false" customHeight="true" outlineLevel="1" collapsed="false">
      <c r="C53" s="17"/>
      <c r="D53" s="17"/>
      <c r="E53" s="17"/>
      <c r="F53" s="17"/>
      <c r="G53" s="17"/>
      <c r="H53" s="17"/>
      <c r="I53" s="17"/>
    </row>
    <row r="54" customFormat="false" ht="13" hidden="false" customHeight="false" outlineLevel="1" collapsed="false">
      <c r="C54" s="18"/>
      <c r="D54" s="18"/>
      <c r="E54" s="19"/>
      <c r="F54" s="19"/>
      <c r="G54" s="19"/>
      <c r="H54" s="19"/>
      <c r="I54" s="19"/>
    </row>
    <row r="55" customFormat="false" ht="13" hidden="false" customHeight="false" outlineLevel="1" collapsed="false">
      <c r="C55" s="18"/>
      <c r="D55" s="18"/>
      <c r="E55" s="20"/>
      <c r="F55" s="20"/>
      <c r="G55" s="20"/>
      <c r="H55" s="20"/>
      <c r="I55" s="20"/>
    </row>
    <row r="56" customFormat="false" ht="13" hidden="false" customHeight="false" outlineLevel="1" collapsed="false">
      <c r="C56" s="18"/>
      <c r="D56" s="18"/>
      <c r="E56" s="21"/>
      <c r="F56" s="21"/>
      <c r="G56" s="21"/>
      <c r="H56" s="21"/>
      <c r="I56" s="21"/>
    </row>
    <row r="57" customFormat="false" ht="13" hidden="false" customHeight="false" outlineLevel="1" collapsed="false">
      <c r="C57" s="0"/>
      <c r="F57" s="0"/>
      <c r="G57" s="0"/>
      <c r="H57" s="0"/>
      <c r="I57" s="0"/>
      <c r="J57" s="0"/>
      <c r="K57" s="0"/>
    </row>
    <row r="58" customFormat="false" ht="13" hidden="false" customHeight="false" outlineLevel="1" collapsed="false">
      <c r="C58" s="0"/>
    </row>
    <row r="59" customFormat="false" ht="13" hidden="false" customHeight="false" outlineLevel="1" collapsed="false">
      <c r="C59" s="11" t="s">
        <v>31</v>
      </c>
    </row>
    <row r="60" customFormat="false" ht="13" hidden="false" customHeight="false" outlineLevel="1" collapsed="false"/>
    <row r="61" customFormat="false" ht="13" hidden="false" customHeight="false" outlineLevel="1" collapsed="false">
      <c r="C61" s="17"/>
      <c r="D61" s="17"/>
      <c r="E61" s="17" t="s">
        <v>18</v>
      </c>
      <c r="F61" s="17" t="s">
        <v>19</v>
      </c>
      <c r="G61" s="17" t="s">
        <v>20</v>
      </c>
      <c r="H61" s="17" t="s">
        <v>21</v>
      </c>
      <c r="I61" s="17" t="s">
        <v>22</v>
      </c>
    </row>
    <row r="62" customFormat="false" ht="13" hidden="false" customHeight="true" outlineLevel="1" collapsed="false">
      <c r="C62" s="18" t="s">
        <v>32</v>
      </c>
      <c r="D62" s="18"/>
      <c r="E62" s="19" t="n">
        <v>187.25</v>
      </c>
      <c r="F62" s="19" t="n">
        <v>226.39</v>
      </c>
      <c r="G62" s="19" t="n">
        <v>224.89</v>
      </c>
      <c r="H62" s="19" t="n">
        <v>250.93</v>
      </c>
      <c r="I62" s="19" t="n">
        <v>252.65</v>
      </c>
    </row>
    <row r="63" customFormat="false" ht="13" hidden="false" customHeight="true" outlineLevel="1" collapsed="false">
      <c r="C63" s="18" t="s">
        <v>33</v>
      </c>
      <c r="D63" s="18"/>
      <c r="E63" s="20" t="n">
        <v>159.1625</v>
      </c>
      <c r="F63" s="20" t="n">
        <v>187.9037</v>
      </c>
      <c r="G63" s="20" t="n">
        <v>193.4054</v>
      </c>
      <c r="H63" s="20" t="n">
        <v>220.8184</v>
      </c>
      <c r="I63" s="20" t="n">
        <v>212.226</v>
      </c>
    </row>
    <row r="64" customFormat="false" ht="13" hidden="false" customHeight="true" outlineLevel="1" collapsed="false">
      <c r="C64" s="18" t="s">
        <v>34</v>
      </c>
      <c r="D64" s="18"/>
      <c r="E64" s="21" t="n">
        <f aca="false">E62-E63</f>
        <v>28.0875</v>
      </c>
      <c r="F64" s="21" t="n">
        <f aca="false">F62-F63</f>
        <v>38.4863</v>
      </c>
      <c r="G64" s="21" t="n">
        <f aca="false">G62-G63</f>
        <v>31.4846</v>
      </c>
      <c r="H64" s="21" t="n">
        <f aca="false">H62-H63</f>
        <v>30.1116</v>
      </c>
      <c r="I64" s="21" t="n">
        <f aca="false">I62-I63</f>
        <v>40.424</v>
      </c>
      <c r="J64" s="23"/>
      <c r="K64" s="23"/>
    </row>
    <row r="65" customFormat="false" ht="13" hidden="false" customHeight="false" outlineLevel="1" collapsed="false">
      <c r="C65" s="0"/>
      <c r="D65" s="24"/>
      <c r="E65" s="24"/>
      <c r="F65" s="24"/>
      <c r="G65" s="24"/>
      <c r="H65" s="24"/>
      <c r="I65" s="23"/>
      <c r="J65" s="23"/>
      <c r="K65" s="23"/>
    </row>
    <row r="66" customFormat="false" ht="13" hidden="false" customHeight="false" outlineLevel="1" collapsed="false">
      <c r="C66" s="0"/>
      <c r="D66" s="24"/>
      <c r="E66" s="24"/>
      <c r="F66" s="24"/>
      <c r="G66" s="24"/>
      <c r="H66" s="24"/>
      <c r="I66" s="23"/>
      <c r="J66" s="23"/>
      <c r="K66" s="23"/>
    </row>
    <row r="67" customFormat="false" ht="13" hidden="false" customHeight="false" outlineLevel="1" collapsed="false">
      <c r="C67" s="0"/>
      <c r="D67" s="24"/>
      <c r="E67" s="24"/>
      <c r="F67" s="24"/>
      <c r="G67" s="24"/>
      <c r="H67" s="24"/>
      <c r="I67" s="23"/>
      <c r="J67" s="23"/>
      <c r="K67" s="23"/>
    </row>
    <row r="68" customFormat="false" ht="13" hidden="false" customHeight="false" outlineLevel="1" collapsed="false">
      <c r="F68" s="0"/>
      <c r="G68" s="23"/>
      <c r="H68" s="23"/>
      <c r="I68" s="23"/>
      <c r="J68" s="23"/>
      <c r="K68" s="23"/>
    </row>
    <row r="69" customFormat="false" ht="18.5" hidden="false" customHeight="false" outlineLevel="0" collapsed="false">
      <c r="B69" s="10" t="s">
        <v>36</v>
      </c>
      <c r="F69" s="0"/>
      <c r="G69" s="0"/>
      <c r="H69" s="0"/>
      <c r="I69" s="0"/>
      <c r="J69" s="0"/>
      <c r="K69" s="0"/>
    </row>
    <row r="70" customFormat="false" ht="13" hidden="false" customHeight="false" outlineLevel="1" collapsed="false">
      <c r="F70" s="0"/>
      <c r="G70" s="0"/>
      <c r="H70" s="0"/>
      <c r="I70" s="0"/>
      <c r="J70" s="0"/>
      <c r="K70" s="0"/>
    </row>
    <row r="71" customFormat="false" ht="12.75" hidden="false" customHeight="true" outlineLevel="1" collapsed="false">
      <c r="C71" s="25" t="s">
        <v>37</v>
      </c>
      <c r="D71" s="25"/>
      <c r="E71" s="25"/>
      <c r="F71" s="25"/>
      <c r="G71" s="25"/>
      <c r="H71" s="25"/>
      <c r="I71" s="25"/>
      <c r="J71" s="25"/>
      <c r="K71" s="0"/>
    </row>
    <row r="72" customFormat="false" ht="13" hidden="false" customHeight="false" outlineLevel="1" collapsed="false">
      <c r="C72" s="25"/>
      <c r="D72" s="25"/>
      <c r="E72" s="25"/>
      <c r="F72" s="25"/>
      <c r="G72" s="25"/>
      <c r="H72" s="25"/>
      <c r="I72" s="25"/>
      <c r="J72" s="25"/>
    </row>
    <row r="73" customFormat="false" ht="13" hidden="false" customHeight="false" outlineLevel="1" collapsed="false">
      <c r="C73" s="25"/>
      <c r="D73" s="25"/>
      <c r="E73" s="25"/>
      <c r="F73" s="25"/>
      <c r="G73" s="25"/>
      <c r="H73" s="25"/>
      <c r="I73" s="25"/>
      <c r="J73" s="25"/>
    </row>
    <row r="74" customFormat="false" ht="13" hidden="false" customHeight="false" outlineLevel="1" collapsed="false"/>
    <row r="75" customFormat="false" ht="13" hidden="false" customHeight="false" outlineLevel="1" collapsed="false">
      <c r="C75" s="17"/>
      <c r="D75" s="17"/>
      <c r="E75" s="17" t="s">
        <v>38</v>
      </c>
      <c r="F75" s="17" t="s">
        <v>39</v>
      </c>
      <c r="G75" s="17" t="s">
        <v>40</v>
      </c>
      <c r="H75" s="17" t="s">
        <v>41</v>
      </c>
      <c r="I75" s="17" t="s">
        <v>42</v>
      </c>
    </row>
    <row r="76" customFormat="false" ht="13" hidden="false" customHeight="false" outlineLevel="1" collapsed="false">
      <c r="C76" s="26" t="s">
        <v>32</v>
      </c>
      <c r="D76" s="26"/>
      <c r="E76" s="11" t="n">
        <v>184790</v>
      </c>
      <c r="F76" s="11" t="n">
        <v>103998</v>
      </c>
      <c r="G76" s="11" t="n">
        <v>96732</v>
      </c>
      <c r="H76" s="11" t="n">
        <v>234550</v>
      </c>
      <c r="I76" s="11" t="n">
        <v>78376</v>
      </c>
    </row>
    <row r="77" customFormat="false" ht="13" hidden="false" customHeight="false" outlineLevel="1" collapsed="false">
      <c r="C77" s="27" t="s">
        <v>43</v>
      </c>
      <c r="D77" s="27"/>
      <c r="E77" s="29" t="n">
        <v>-123809.3</v>
      </c>
      <c r="F77" s="29" t="n">
        <v>-69678.66</v>
      </c>
      <c r="G77" s="29" t="n">
        <v>-64810.44</v>
      </c>
      <c r="H77" s="29" t="n">
        <v>-157148.5</v>
      </c>
      <c r="I77" s="29" t="n">
        <v>-52511.92</v>
      </c>
    </row>
    <row r="78" customFormat="false" ht="13" hidden="false" customHeight="false" outlineLevel="1" collapsed="false">
      <c r="C78" s="27" t="s">
        <v>44</v>
      </c>
      <c r="D78" s="27"/>
      <c r="E78" s="28" t="n">
        <f aca="false">E76+E77</f>
        <v>60980.7</v>
      </c>
      <c r="F78" s="28" t="n">
        <f aca="false">F76+F77</f>
        <v>34319.34</v>
      </c>
      <c r="G78" s="28" t="n">
        <f aca="false">G76+G77</f>
        <v>31921.56</v>
      </c>
      <c r="H78" s="28" t="n">
        <f aca="false">H76+H77</f>
        <v>77401.5</v>
      </c>
      <c r="I78" s="28" t="n">
        <f aca="false">I76+I77</f>
        <v>25864.08</v>
      </c>
    </row>
    <row r="79" customFormat="false" ht="13" hidden="false" customHeight="false" outlineLevel="1" collapsed="false">
      <c r="D79" s="0"/>
      <c r="E79" s="0"/>
      <c r="F79" s="0"/>
      <c r="G79" s="0"/>
      <c r="H79" s="0"/>
      <c r="I79" s="0"/>
    </row>
    <row r="80" customFormat="false" ht="13" hidden="false" customHeight="false" outlineLevel="1" collapsed="false">
      <c r="D80" s="0"/>
      <c r="E80" s="0"/>
      <c r="F80" s="0"/>
      <c r="G80" s="0"/>
      <c r="H80" s="0"/>
      <c r="I80" s="11" t="n">
        <v>-1</v>
      </c>
    </row>
    <row r="81" customFormat="false" ht="13" hidden="false" customHeight="false" outlineLevel="1" collapsed="false">
      <c r="F81" s="0"/>
      <c r="G81" s="0"/>
      <c r="H81" s="0"/>
      <c r="I81" s="0"/>
      <c r="J81" s="0"/>
      <c r="K81" s="0"/>
    </row>
    <row r="82" customFormat="false" ht="13" hidden="false" customHeight="false" outlineLevel="1" collapsed="false"/>
    <row r="83" customFormat="false" ht="13" hidden="false" customHeight="false" outlineLevel="1" collapsed="false"/>
    <row r="84" customFormat="false" ht="13" hidden="false" customHeight="false" outlineLevel="1" collapsed="false"/>
    <row r="85" customFormat="false" ht="13" hidden="false" customHeight="false" outlineLevel="1" collapsed="false">
      <c r="F85" s="0"/>
      <c r="G85" s="0"/>
      <c r="H85" s="0"/>
      <c r="I85" s="0"/>
      <c r="J85" s="0"/>
      <c r="K85" s="0"/>
    </row>
    <row r="86" customFormat="false" ht="18.5" hidden="false" customHeight="false" outlineLevel="0" collapsed="false">
      <c r="B86" s="10" t="s">
        <v>45</v>
      </c>
      <c r="F86" s="0"/>
      <c r="G86" s="0"/>
      <c r="H86" s="0"/>
      <c r="I86" s="0"/>
      <c r="J86" s="0"/>
    </row>
    <row r="87" customFormat="false" ht="13" hidden="false" customHeight="false" outlineLevel="1" collapsed="false">
      <c r="F87" s="0"/>
      <c r="G87" s="0"/>
      <c r="H87" s="0"/>
      <c r="I87" s="0"/>
      <c r="J87" s="0"/>
      <c r="K87" s="0"/>
    </row>
    <row r="88" customFormat="false" ht="13" hidden="false" customHeight="false" outlineLevel="1" collapsed="false">
      <c r="C88" s="2" t="s">
        <v>46</v>
      </c>
    </row>
    <row r="89" customFormat="false" ht="13" hidden="false" customHeight="false" outlineLevel="1" collapsed="false"/>
    <row r="90" customFormat="false" ht="13" hidden="false" customHeight="false" outlineLevel="1" collapsed="false">
      <c r="C90" s="2" t="s">
        <v>38</v>
      </c>
      <c r="D90" s="0"/>
      <c r="E90" s="0"/>
      <c r="F90" s="0"/>
      <c r="G90" s="0"/>
      <c r="H90" s="0"/>
    </row>
    <row r="91" customFormat="false" ht="13" hidden="false" customHeight="false" outlineLevel="1" collapsed="false">
      <c r="C91" s="2" t="s">
        <v>39</v>
      </c>
      <c r="D91" s="0"/>
      <c r="E91" s="0"/>
      <c r="F91" s="0"/>
      <c r="G91" s="0"/>
      <c r="H91" s="0"/>
    </row>
    <row r="92" customFormat="false" ht="13" hidden="false" customHeight="false" outlineLevel="1" collapsed="false">
      <c r="C92" s="2" t="s">
        <v>40</v>
      </c>
      <c r="D92" s="0"/>
      <c r="E92" s="0"/>
      <c r="F92" s="0"/>
      <c r="G92" s="0"/>
      <c r="H92" s="0"/>
    </row>
    <row r="93" customFormat="false" ht="13" hidden="false" customHeight="false" outlineLevel="1" collapsed="false">
      <c r="C93" s="2" t="s">
        <v>41</v>
      </c>
      <c r="D93" s="0"/>
      <c r="E93" s="0"/>
      <c r="F93" s="0"/>
      <c r="G93" s="0"/>
      <c r="H93" s="0"/>
    </row>
    <row r="94" customFormat="false" ht="13" hidden="false" customHeight="false" outlineLevel="1" collapsed="false">
      <c r="C94" s="2" t="s">
        <v>42</v>
      </c>
      <c r="D94" s="0"/>
      <c r="E94" s="0"/>
      <c r="F94" s="0"/>
      <c r="G94" s="0"/>
      <c r="H94" s="0"/>
    </row>
    <row r="95" customFormat="false" ht="13" hidden="false" customHeight="false" outlineLevel="1" collapsed="false">
      <c r="C95" s="0"/>
      <c r="D95" s="30" t="s">
        <v>38</v>
      </c>
      <c r="E95" s="30" t="s">
        <v>39</v>
      </c>
      <c r="F95" s="30" t="s">
        <v>40</v>
      </c>
      <c r="G95" s="30" t="s">
        <v>41</v>
      </c>
      <c r="H95" s="30" t="s">
        <v>42</v>
      </c>
    </row>
    <row r="96" customFormat="false" ht="13" hidden="false" customHeight="false" outlineLevel="1" collapsed="false">
      <c r="C96" s="0"/>
      <c r="D96" s="28" t="n">
        <v>184790</v>
      </c>
      <c r="E96" s="28" t="n">
        <v>103998</v>
      </c>
      <c r="F96" s="28" t="n">
        <v>96732</v>
      </c>
      <c r="G96" s="28" t="n">
        <v>234550</v>
      </c>
      <c r="H96" s="28" t="n">
        <v>78376</v>
      </c>
    </row>
    <row r="98" customFormat="false" ht="18.5" hidden="false" customHeight="false" outlineLevel="0" collapsed="false"/>
  </sheetData>
  <mergeCells count="13">
    <mergeCell ref="C42:D42"/>
    <mergeCell ref="C43:D43"/>
    <mergeCell ref="C44:D44"/>
    <mergeCell ref="C54:D54"/>
    <mergeCell ref="C55:D55"/>
    <mergeCell ref="C56:D56"/>
    <mergeCell ref="C62:D62"/>
    <mergeCell ref="C63:D63"/>
    <mergeCell ref="C64:D64"/>
    <mergeCell ref="C71:J73"/>
    <mergeCell ref="C76:D76"/>
    <mergeCell ref="C77:D77"/>
    <mergeCell ref="C78:D78"/>
  </mergeCells>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O6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v>
      </c>
    </row>
    <row r="7" customFormat="false" ht="18.5" hidden="false" customHeight="false" outlineLevel="0" collapsed="false">
      <c r="B7" s="10" t="s">
        <v>47</v>
      </c>
    </row>
    <row r="8" customFormat="false" ht="13.5" hidden="true" customHeight="true" outlineLevel="1" collapsed="false">
      <c r="B8" s="10"/>
    </row>
    <row r="9" customFormat="false" ht="13.5" hidden="true" customHeight="true" outlineLevel="1" collapsed="false">
      <c r="B9" s="10"/>
      <c r="D9" s="2" t="s">
        <v>48</v>
      </c>
    </row>
    <row r="10" customFormat="false" ht="13.5" hidden="true" customHeight="true" outlineLevel="1" collapsed="false">
      <c r="B10" s="10"/>
    </row>
    <row r="11" customFormat="false" ht="13.5" hidden="true" customHeight="false" outlineLevel="1" collapsed="false">
      <c r="F11" s="17"/>
      <c r="G11" s="17" t="s">
        <v>49</v>
      </c>
      <c r="H11" s="17" t="s">
        <v>50</v>
      </c>
      <c r="I11" s="0"/>
      <c r="J11" s="5"/>
      <c r="K11" s="5"/>
      <c r="L11" s="5"/>
    </row>
    <row r="12" customFormat="false" ht="12.75" hidden="true" customHeight="true" outlineLevel="1" collapsed="false">
      <c r="F12" s="17" t="s">
        <v>38</v>
      </c>
      <c r="G12" s="31" t="n">
        <v>100</v>
      </c>
      <c r="H12" s="31" t="n">
        <v>350</v>
      </c>
      <c r="I12" s="0"/>
      <c r="J12" s="17" t="s">
        <v>51</v>
      </c>
      <c r="K12" s="17"/>
      <c r="L12" s="32" t="n">
        <v>0.05</v>
      </c>
    </row>
    <row r="13" customFormat="false" ht="13" hidden="true" customHeight="false" outlineLevel="1" collapsed="false">
      <c r="F13" s="17" t="s">
        <v>39</v>
      </c>
      <c r="G13" s="33"/>
      <c r="H13" s="33"/>
      <c r="I13" s="0"/>
      <c r="J13" s="11"/>
      <c r="K13" s="11"/>
    </row>
    <row r="14" customFormat="false" ht="13" hidden="true" customHeight="false" outlineLevel="1" collapsed="false">
      <c r="F14" s="17" t="s">
        <v>40</v>
      </c>
      <c r="G14" s="33"/>
      <c r="H14" s="33"/>
      <c r="I14" s="0"/>
      <c r="J14" s="11"/>
      <c r="K14" s="11"/>
    </row>
    <row r="15" customFormat="false" ht="13" hidden="true" customHeight="false" outlineLevel="1" collapsed="false">
      <c r="B15" s="0"/>
      <c r="C15" s="11"/>
      <c r="D15" s="11"/>
      <c r="E15" s="11"/>
      <c r="F15" s="17" t="s">
        <v>41</v>
      </c>
      <c r="G15" s="33"/>
      <c r="H15" s="33"/>
      <c r="I15" s="11"/>
      <c r="J15" s="11"/>
      <c r="K15" s="11"/>
    </row>
    <row r="16" customFormat="false" ht="13" hidden="true" customHeight="false" outlineLevel="1" collapsed="false">
      <c r="B16" s="0"/>
      <c r="C16" s="11"/>
      <c r="D16" s="11"/>
      <c r="E16" s="11"/>
      <c r="F16" s="17" t="s">
        <v>42</v>
      </c>
      <c r="G16" s="33"/>
      <c r="H16" s="33"/>
      <c r="I16" s="11"/>
      <c r="J16" s="11"/>
      <c r="K16" s="11"/>
    </row>
    <row r="17" customFormat="false" ht="13" hidden="true" customHeight="false" outlineLevel="1" collapsed="false">
      <c r="B17" s="0"/>
      <c r="C17" s="11"/>
      <c r="D17" s="11"/>
      <c r="E17" s="11"/>
      <c r="F17" s="17" t="s">
        <v>52</v>
      </c>
      <c r="G17" s="33"/>
      <c r="H17" s="33"/>
      <c r="I17" s="11"/>
      <c r="J17" s="11"/>
      <c r="K17" s="11"/>
    </row>
    <row r="18" customFormat="false" ht="13" hidden="true" customHeight="false" outlineLevel="1" collapsed="false"/>
    <row r="19" customFormat="false" ht="13" hidden="true" customHeight="false" outlineLevel="1" collapsed="false"/>
    <row r="20" customFormat="false" ht="13" hidden="true" customHeight="false" outlineLevel="1" collapsed="false"/>
    <row r="21" customFormat="false" ht="18.5" hidden="false" customHeight="false" outlineLevel="0" collapsed="false">
      <c r="B21" s="10" t="s">
        <v>53</v>
      </c>
    </row>
    <row r="22" customFormat="false" ht="13.5" hidden="true" customHeight="true" outlineLevel="1" collapsed="false">
      <c r="B22" s="10"/>
    </row>
    <row r="23" customFormat="false" ht="13.5" hidden="true" customHeight="true" outlineLevel="1" collapsed="false">
      <c r="B23" s="10"/>
      <c r="D23" s="2" t="s">
        <v>54</v>
      </c>
    </row>
    <row r="24" customFormat="false" ht="13.5" hidden="true" customHeight="true" outlineLevel="1" collapsed="false">
      <c r="B24" s="10"/>
    </row>
    <row r="25" customFormat="false" ht="13" hidden="true" customHeight="false" outlineLevel="1" collapsed="false">
      <c r="F25" s="17"/>
      <c r="G25" s="34" t="n">
        <v>2016</v>
      </c>
      <c r="H25" s="34" t="n">
        <v>2017</v>
      </c>
      <c r="I25" s="34" t="n">
        <v>2018</v>
      </c>
      <c r="J25" s="34" t="n">
        <v>2019</v>
      </c>
      <c r="K25" s="34" t="n">
        <v>2020</v>
      </c>
    </row>
    <row r="26" customFormat="false" ht="13" hidden="true" customHeight="false" outlineLevel="1" collapsed="false">
      <c r="F26" s="17" t="s">
        <v>43</v>
      </c>
      <c r="G26" s="35" t="n">
        <v>5000</v>
      </c>
      <c r="H26" s="22"/>
      <c r="I26" s="22"/>
      <c r="J26" s="22"/>
      <c r="K26" s="22"/>
    </row>
    <row r="27" customFormat="false" ht="13.5" hidden="true" customHeight="false" outlineLevel="1" collapsed="false">
      <c r="J27" s="5"/>
    </row>
    <row r="28" customFormat="false" ht="12.75" hidden="true" customHeight="true" outlineLevel="1" collapsed="false">
      <c r="F28" s="17" t="s">
        <v>55</v>
      </c>
      <c r="G28" s="17"/>
      <c r="H28" s="17"/>
      <c r="I28" s="17"/>
      <c r="J28" s="32" t="n">
        <v>0.1</v>
      </c>
    </row>
    <row r="29" customFormat="false" ht="13" hidden="true" customHeight="false" outlineLevel="1" collapsed="false"/>
    <row r="30" customFormat="false" ht="13" hidden="true" customHeight="false" outlineLevel="1" collapsed="false"/>
    <row r="31" customFormat="false" ht="13" hidden="true" customHeight="false" outlineLevel="1" collapsed="false"/>
    <row r="32" customFormat="false" ht="13" hidden="true" customHeight="false" outlineLevel="1" collapsed="false"/>
    <row r="33" customFormat="false" ht="13" hidden="true" customHeight="false" outlineLevel="1" collapsed="false"/>
    <row r="34" customFormat="false" ht="18.5" hidden="false" customHeight="false" outlineLevel="0" collapsed="false">
      <c r="B34" s="10" t="s">
        <v>56</v>
      </c>
    </row>
    <row r="35" customFormat="false" ht="13" hidden="true" customHeight="false" outlineLevel="1" collapsed="false"/>
    <row r="36" customFormat="false" ht="13" hidden="true" customHeight="false" outlineLevel="1" collapsed="false">
      <c r="D36" s="2" t="s">
        <v>57</v>
      </c>
    </row>
    <row r="37" customFormat="false" ht="13" hidden="true" customHeight="false" outlineLevel="1" collapsed="false"/>
    <row r="38" customFormat="false" ht="13" hidden="true" customHeight="false" outlineLevel="1" collapsed="false">
      <c r="F38" s="11"/>
      <c r="G38" s="17" t="n">
        <v>1</v>
      </c>
      <c r="H38" s="17" t="n">
        <v>2</v>
      </c>
      <c r="I38" s="17" t="n">
        <v>3</v>
      </c>
      <c r="J38" s="17" t="n">
        <v>4</v>
      </c>
      <c r="K38" s="17" t="n">
        <v>5</v>
      </c>
      <c r="L38" s="17" t="n">
        <v>6</v>
      </c>
      <c r="M38" s="17" t="n">
        <v>7</v>
      </c>
      <c r="N38" s="17" t="n">
        <v>8</v>
      </c>
      <c r="O38" s="17" t="n">
        <v>9</v>
      </c>
    </row>
    <row r="39" customFormat="false" ht="13" hidden="true" customHeight="false" outlineLevel="1" collapsed="false">
      <c r="F39" s="17" t="n">
        <v>1</v>
      </c>
      <c r="G39" s="36"/>
      <c r="H39" s="36"/>
      <c r="I39" s="36"/>
      <c r="J39" s="36"/>
      <c r="K39" s="36"/>
      <c r="L39" s="36"/>
      <c r="M39" s="36"/>
      <c r="N39" s="36"/>
      <c r="O39" s="36"/>
    </row>
    <row r="40" customFormat="false" ht="13" hidden="true" customHeight="false" outlineLevel="1" collapsed="false">
      <c r="F40" s="17" t="n">
        <v>2</v>
      </c>
      <c r="G40" s="36"/>
      <c r="H40" s="36"/>
      <c r="I40" s="36"/>
      <c r="J40" s="36"/>
      <c r="K40" s="36"/>
      <c r="L40" s="36"/>
      <c r="M40" s="36"/>
      <c r="N40" s="36"/>
      <c r="O40" s="36"/>
    </row>
    <row r="41" customFormat="false" ht="13" hidden="true" customHeight="false" outlineLevel="1" collapsed="false">
      <c r="F41" s="17" t="n">
        <v>3</v>
      </c>
      <c r="G41" s="36"/>
      <c r="H41" s="36"/>
      <c r="I41" s="36"/>
      <c r="J41" s="36"/>
      <c r="K41" s="36"/>
      <c r="L41" s="36"/>
      <c r="M41" s="36"/>
      <c r="N41" s="36"/>
      <c r="O41" s="36"/>
    </row>
    <row r="42" customFormat="false" ht="13" hidden="true" customHeight="false" outlineLevel="1" collapsed="false">
      <c r="F42" s="17" t="n">
        <v>4</v>
      </c>
      <c r="G42" s="36"/>
      <c r="H42" s="36"/>
      <c r="I42" s="36"/>
      <c r="J42" s="36"/>
      <c r="K42" s="36"/>
      <c r="L42" s="36"/>
      <c r="M42" s="36"/>
      <c r="N42" s="36"/>
      <c r="O42" s="36"/>
    </row>
    <row r="43" customFormat="false" ht="13" hidden="true" customHeight="false" outlineLevel="1" collapsed="false">
      <c r="F43" s="17" t="n">
        <v>5</v>
      </c>
      <c r="G43" s="36"/>
      <c r="H43" s="36"/>
      <c r="I43" s="36"/>
      <c r="J43" s="36"/>
      <c r="K43" s="36"/>
      <c r="L43" s="36"/>
      <c r="M43" s="36"/>
      <c r="N43" s="36"/>
      <c r="O43" s="36"/>
    </row>
    <row r="44" customFormat="false" ht="13" hidden="true" customHeight="false" outlineLevel="1" collapsed="false">
      <c r="F44" s="17" t="n">
        <v>6</v>
      </c>
      <c r="G44" s="36"/>
      <c r="H44" s="36"/>
      <c r="I44" s="36"/>
      <c r="J44" s="36"/>
      <c r="K44" s="36"/>
      <c r="L44" s="36"/>
      <c r="M44" s="36"/>
      <c r="N44" s="36"/>
      <c r="O44" s="36"/>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6.xml><?xml version="1.0" encoding="utf-8"?>
<worksheet xmlns="http://schemas.openxmlformats.org/spreadsheetml/2006/main" xmlns:r="http://schemas.openxmlformats.org/officeDocument/2006/relationships">
  <sheetPr filterMode="false">
    <tabColor rgb="FFDB536A"/>
    <pageSetUpPr fitToPage="false"/>
  </sheetPr>
  <dimension ref="A1:O61"/>
  <sheetViews>
    <sheetView showFormulas="false" showGridLines="false" showRowColHeaders="true" showZeros="true" rightToLeft="false" tabSelected="false" showOutlineSymbols="true" defaultGridColor="true" view="normal" topLeftCell="A23" colorId="64" zoomScale="100" zoomScaleNormal="100" zoomScalePageLayoutView="100" workbookViewId="0">
      <selection pane="topLeft" activeCell="G39" activeCellId="0" sqref="G39"/>
    </sheetView>
  </sheetViews>
  <sheetFormatPr defaultRowHeight="13" zeroHeight="false" outlineLevelRow="1" outlineLevelCol="0"/>
  <cols>
    <col collapsed="false" customWidth="true" hidden="false" outlineLevel="0" max="3" min="1" style="2" width="9.11"/>
    <col collapsed="false" customWidth="true" hidden="false" outlineLevel="0" max="4" min="4" style="2" width="13.33"/>
    <col collapsed="false" customWidth="true" hidden="false" outlineLevel="0" max="5" min="5" style="2" width="9.11"/>
    <col collapsed="false" customWidth="true" hidden="false" outlineLevel="0" max="6" min="6" style="2" width="13.11"/>
    <col collapsed="false" customWidth="true" hidden="false" outlineLevel="0" max="15" min="7" style="2" width="14"/>
    <col collapsed="false" customWidth="true" hidden="false" outlineLevel="0" max="1025" min="16" style="2" width="9.11"/>
  </cols>
  <sheetData>
    <row r="1" customFormat="false" ht="18.5" hidden="false" customHeight="false" outlineLevel="0" collapsed="false">
      <c r="A1" s="3" t="str">
        <f aca="false">Introduction!A1</f>
        <v>Problem Solving with Excel</v>
      </c>
    </row>
    <row r="2" customFormat="false" ht="13" hidden="false" customHeight="false" outlineLevel="0" collapsed="false">
      <c r="A2" s="4" t="str">
        <f aca="false">Introduction!A2</f>
        <v>Week 1</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2 - Cell Locking (ANS)</v>
      </c>
    </row>
    <row r="7" customFormat="false" ht="18.5" hidden="false" customHeight="false" outlineLevel="0" collapsed="false">
      <c r="B7" s="10" t="s">
        <v>47</v>
      </c>
    </row>
    <row r="8" customFormat="false" ht="13.5" hidden="false" customHeight="true" outlineLevel="1" collapsed="false">
      <c r="B8" s="10"/>
    </row>
    <row r="9" customFormat="false" ht="13.5" hidden="false" customHeight="true" outlineLevel="1" collapsed="false">
      <c r="B9" s="10"/>
      <c r="D9" s="2" t="s">
        <v>48</v>
      </c>
    </row>
    <row r="10" customFormat="false" ht="13.5" hidden="false" customHeight="true" outlineLevel="1" collapsed="false">
      <c r="B10" s="10"/>
    </row>
    <row r="11" customFormat="false" ht="13.5" hidden="false" customHeight="false" outlineLevel="1" collapsed="false">
      <c r="F11" s="17"/>
      <c r="G11" s="17" t="s">
        <v>49</v>
      </c>
      <c r="H11" s="17" t="s">
        <v>50</v>
      </c>
      <c r="I11" s="0"/>
      <c r="J11" s="5"/>
      <c r="K11" s="5"/>
      <c r="L11" s="5"/>
    </row>
    <row r="12" customFormat="false" ht="12.75" hidden="false" customHeight="true" outlineLevel="1" collapsed="false">
      <c r="F12" s="17" t="s">
        <v>38</v>
      </c>
      <c r="G12" s="31" t="n">
        <v>100</v>
      </c>
      <c r="H12" s="31" t="n">
        <v>350</v>
      </c>
      <c r="I12" s="0"/>
      <c r="J12" s="17" t="s">
        <v>58</v>
      </c>
      <c r="K12" s="17"/>
      <c r="L12" s="32" t="n">
        <v>0.05</v>
      </c>
    </row>
    <row r="13" customFormat="false" ht="13" hidden="false" customHeight="false" outlineLevel="1" collapsed="false">
      <c r="F13" s="17" t="s">
        <v>39</v>
      </c>
      <c r="G13" s="33" t="n">
        <f aca="false">G12*(1+$L$12)</f>
        <v>105</v>
      </c>
      <c r="H13" s="33" t="n">
        <f aca="false">H12*(1+$L$12)</f>
        <v>367.5</v>
      </c>
      <c r="I13" s="0"/>
      <c r="J13" s="11"/>
      <c r="K13" s="11"/>
    </row>
    <row r="14" customFormat="false" ht="13" hidden="false" customHeight="false" outlineLevel="1" collapsed="false">
      <c r="F14" s="17" t="s">
        <v>40</v>
      </c>
      <c r="G14" s="33" t="n">
        <f aca="false">G13*(1+$L$12)</f>
        <v>110.25</v>
      </c>
      <c r="H14" s="33" t="n">
        <f aca="false">H13*(1+$L$12)</f>
        <v>385.875</v>
      </c>
      <c r="I14" s="0"/>
      <c r="J14" s="11"/>
      <c r="K14" s="11"/>
    </row>
    <row r="15" customFormat="false" ht="13" hidden="false" customHeight="false" outlineLevel="1" collapsed="false">
      <c r="B15" s="0"/>
      <c r="C15" s="11"/>
      <c r="D15" s="11"/>
      <c r="E15" s="11"/>
      <c r="F15" s="17" t="s">
        <v>41</v>
      </c>
      <c r="G15" s="33" t="n">
        <f aca="false">G14*(1+$L$12)</f>
        <v>115.7625</v>
      </c>
      <c r="H15" s="33" t="n">
        <f aca="false">H14*(1+$L$12)</f>
        <v>405.16875</v>
      </c>
      <c r="I15" s="11"/>
      <c r="J15" s="11"/>
      <c r="K15" s="11"/>
    </row>
    <row r="16" customFormat="false" ht="13" hidden="false" customHeight="false" outlineLevel="1" collapsed="false">
      <c r="B16" s="0"/>
      <c r="C16" s="11"/>
      <c r="D16" s="11"/>
      <c r="E16" s="11"/>
      <c r="F16" s="17" t="s">
        <v>42</v>
      </c>
      <c r="G16" s="33" t="n">
        <f aca="false">G15*(1+$L$12)</f>
        <v>121.550625</v>
      </c>
      <c r="H16" s="33" t="n">
        <f aca="false">H15*(1+$L$12)</f>
        <v>425.4271875</v>
      </c>
      <c r="I16" s="11"/>
      <c r="J16" s="11"/>
      <c r="K16" s="11"/>
    </row>
    <row r="17" customFormat="false" ht="13" hidden="false" customHeight="false" outlineLevel="1" collapsed="false">
      <c r="B17" s="0"/>
      <c r="C17" s="11"/>
      <c r="D17" s="11"/>
      <c r="E17" s="11"/>
      <c r="F17" s="17" t="s">
        <v>52</v>
      </c>
      <c r="G17" s="33" t="n">
        <f aca="false">G16*(1+$L$12)</f>
        <v>127.62815625</v>
      </c>
      <c r="H17" s="33" t="n">
        <f aca="false">H16*(1+$L$12)</f>
        <v>446.698546875</v>
      </c>
      <c r="I17" s="11"/>
      <c r="J17" s="11"/>
      <c r="K17" s="11"/>
    </row>
    <row r="18" customFormat="false" ht="13" hidden="false" customHeight="false" outlineLevel="1" collapsed="false"/>
    <row r="19" customFormat="false" ht="13" hidden="false" customHeight="false" outlineLevel="1" collapsed="false"/>
    <row r="20" customFormat="false" ht="13" hidden="false" customHeight="false" outlineLevel="1" collapsed="false"/>
    <row r="21" customFormat="false" ht="18.5" hidden="false" customHeight="false" outlineLevel="0" collapsed="false">
      <c r="B21" s="10" t="s">
        <v>53</v>
      </c>
    </row>
    <row r="22" customFormat="false" ht="13.5" hidden="false" customHeight="true" outlineLevel="1" collapsed="false">
      <c r="B22" s="10"/>
    </row>
    <row r="23" customFormat="false" ht="13.5" hidden="false" customHeight="true" outlineLevel="1" collapsed="false">
      <c r="B23" s="10"/>
      <c r="D23" s="2" t="s">
        <v>54</v>
      </c>
    </row>
    <row r="24" customFormat="false" ht="13.5" hidden="false" customHeight="true" outlineLevel="1" collapsed="false">
      <c r="B24" s="10"/>
    </row>
    <row r="25" customFormat="false" ht="13" hidden="false" customHeight="false" outlineLevel="1" collapsed="false">
      <c r="F25" s="17"/>
      <c r="G25" s="34" t="n">
        <v>2016</v>
      </c>
      <c r="H25" s="34" t="n">
        <v>2017</v>
      </c>
      <c r="I25" s="34" t="n">
        <v>2018</v>
      </c>
      <c r="J25" s="34" t="n">
        <v>2019</v>
      </c>
      <c r="K25" s="34" t="n">
        <v>2020</v>
      </c>
    </row>
    <row r="26" customFormat="false" ht="13" hidden="false" customHeight="false" outlineLevel="1" collapsed="false">
      <c r="F26" s="17" t="s">
        <v>43</v>
      </c>
      <c r="G26" s="35" t="n">
        <v>5000</v>
      </c>
      <c r="H26" s="22" t="n">
        <f aca="false">G26*(1-$J$28)</f>
        <v>4500</v>
      </c>
      <c r="I26" s="22" t="n">
        <f aca="false">H26*(1-$J$28)</f>
        <v>4050</v>
      </c>
      <c r="J26" s="22" t="n">
        <f aca="false">I26*(1-$J$28)</f>
        <v>3645</v>
      </c>
      <c r="K26" s="22" t="n">
        <f aca="false">J26*(1-$J$28)</f>
        <v>3280.5</v>
      </c>
    </row>
    <row r="27" customFormat="false" ht="13.5" hidden="false" customHeight="false" outlineLevel="1" collapsed="false">
      <c r="J27" s="5"/>
    </row>
    <row r="28" customFormat="false" ht="12.75" hidden="false" customHeight="true" outlineLevel="1" collapsed="false">
      <c r="F28" s="17" t="s">
        <v>55</v>
      </c>
      <c r="G28" s="17"/>
      <c r="H28" s="17"/>
      <c r="I28" s="17"/>
      <c r="J28" s="32" t="n">
        <v>0.1</v>
      </c>
    </row>
    <row r="29" customFormat="false" ht="13" hidden="false" customHeight="false" outlineLevel="1" collapsed="false"/>
    <row r="30" customFormat="false" ht="13" hidden="false" customHeight="false" outlineLevel="1" collapsed="false"/>
    <row r="31" customFormat="false" ht="13" hidden="false" customHeight="false" outlineLevel="1" collapsed="false"/>
    <row r="32" customFormat="false" ht="13" hidden="false" customHeight="false" outlineLevel="1" collapsed="false"/>
    <row r="33" customFormat="false" ht="13" hidden="false" customHeight="false" outlineLevel="1" collapsed="false"/>
    <row r="34" customFormat="false" ht="18.5" hidden="false" customHeight="false" outlineLevel="0" collapsed="false">
      <c r="B34" s="10" t="s">
        <v>56</v>
      </c>
    </row>
    <row r="35" customFormat="false" ht="13" hidden="false" customHeight="false" outlineLevel="1" collapsed="false"/>
    <row r="36" customFormat="false" ht="13" hidden="false" customHeight="false" outlineLevel="1" collapsed="false">
      <c r="D36" s="2" t="s">
        <v>57</v>
      </c>
    </row>
    <row r="37" customFormat="false" ht="13" hidden="false" customHeight="false" outlineLevel="1" collapsed="false"/>
    <row r="38" customFormat="false" ht="13" hidden="false" customHeight="false" outlineLevel="1" collapsed="false">
      <c r="F38" s="11"/>
      <c r="G38" s="17" t="n">
        <v>1</v>
      </c>
      <c r="H38" s="17" t="n">
        <v>2</v>
      </c>
      <c r="I38" s="17" t="n">
        <v>3</v>
      </c>
      <c r="J38" s="17" t="n">
        <v>4</v>
      </c>
      <c r="K38" s="17" t="n">
        <v>5</v>
      </c>
      <c r="L38" s="17" t="n">
        <v>6</v>
      </c>
      <c r="M38" s="17" t="n">
        <v>7</v>
      </c>
      <c r="N38" s="17" t="n">
        <v>8</v>
      </c>
      <c r="O38" s="17" t="n">
        <v>9</v>
      </c>
    </row>
    <row r="39" customFormat="false" ht="13" hidden="false" customHeight="false" outlineLevel="1" collapsed="false">
      <c r="F39" s="17" t="n">
        <v>1</v>
      </c>
      <c r="G39" s="36" t="n">
        <f aca="false">$F39*G$38</f>
        <v>1</v>
      </c>
      <c r="H39" s="36" t="n">
        <f aca="false">$F39*H$38</f>
        <v>2</v>
      </c>
      <c r="I39" s="36" t="n">
        <f aca="false">$F39*I$38</f>
        <v>3</v>
      </c>
      <c r="J39" s="36" t="n">
        <f aca="false">$F39*J$38</f>
        <v>4</v>
      </c>
      <c r="K39" s="36" t="n">
        <f aca="false">$F39*K$38</f>
        <v>5</v>
      </c>
      <c r="L39" s="36" t="n">
        <f aca="false">$F39*L$38</f>
        <v>6</v>
      </c>
      <c r="M39" s="36" t="n">
        <f aca="false">$F39*M$38</f>
        <v>7</v>
      </c>
      <c r="N39" s="36" t="n">
        <f aca="false">$F39*N$38</f>
        <v>8</v>
      </c>
      <c r="O39" s="36" t="n">
        <f aca="false">$F39*O$38</f>
        <v>9</v>
      </c>
    </row>
    <row r="40" customFormat="false" ht="13" hidden="false" customHeight="false" outlineLevel="1" collapsed="false">
      <c r="F40" s="17" t="n">
        <v>2</v>
      </c>
      <c r="G40" s="36" t="n">
        <f aca="false">$F40*G$38</f>
        <v>2</v>
      </c>
      <c r="H40" s="36" t="n">
        <f aca="false">$F40*H$38</f>
        <v>4</v>
      </c>
      <c r="I40" s="36" t="n">
        <f aca="false">$F40*I$38</f>
        <v>6</v>
      </c>
      <c r="J40" s="36" t="n">
        <f aca="false">$F40*J$38</f>
        <v>8</v>
      </c>
      <c r="K40" s="36" t="n">
        <f aca="false">$F40*K$38</f>
        <v>10</v>
      </c>
      <c r="L40" s="36" t="n">
        <f aca="false">$F40*L$38</f>
        <v>12</v>
      </c>
      <c r="M40" s="36" t="n">
        <f aca="false">$F40*M$38</f>
        <v>14</v>
      </c>
      <c r="N40" s="36" t="n">
        <f aca="false">$F40*N$38</f>
        <v>16</v>
      </c>
      <c r="O40" s="36" t="n">
        <f aca="false">$F40*O$38</f>
        <v>18</v>
      </c>
    </row>
    <row r="41" customFormat="false" ht="13" hidden="false" customHeight="false" outlineLevel="1" collapsed="false">
      <c r="F41" s="17" t="n">
        <v>3</v>
      </c>
      <c r="G41" s="36" t="n">
        <f aca="false">$F41*G$38</f>
        <v>3</v>
      </c>
      <c r="H41" s="36" t="n">
        <f aca="false">$F41*H$38</f>
        <v>6</v>
      </c>
      <c r="I41" s="36" t="n">
        <f aca="false">$F41*I$38</f>
        <v>9</v>
      </c>
      <c r="J41" s="36" t="n">
        <f aca="false">$F41*J$38</f>
        <v>12</v>
      </c>
      <c r="K41" s="36" t="n">
        <f aca="false">$F41*K$38</f>
        <v>15</v>
      </c>
      <c r="L41" s="36" t="n">
        <f aca="false">$F41*L$38</f>
        <v>18</v>
      </c>
      <c r="M41" s="36" t="n">
        <f aca="false">$F41*M$38</f>
        <v>21</v>
      </c>
      <c r="N41" s="36" t="n">
        <f aca="false">$F41*N$38</f>
        <v>24</v>
      </c>
      <c r="O41" s="36" t="n">
        <f aca="false">$F41*O$38</f>
        <v>27</v>
      </c>
    </row>
    <row r="42" customFormat="false" ht="13" hidden="false" customHeight="false" outlineLevel="1" collapsed="false">
      <c r="F42" s="17" t="n">
        <v>4</v>
      </c>
      <c r="G42" s="36" t="n">
        <f aca="false">$F42*G$38</f>
        <v>4</v>
      </c>
      <c r="H42" s="36" t="n">
        <f aca="false">$F42*H$38</f>
        <v>8</v>
      </c>
      <c r="I42" s="36" t="n">
        <f aca="false">$F42*I$38</f>
        <v>12</v>
      </c>
      <c r="J42" s="36" t="n">
        <f aca="false">$F42*J$38</f>
        <v>16</v>
      </c>
      <c r="K42" s="36" t="n">
        <f aca="false">$F42*K$38</f>
        <v>20</v>
      </c>
      <c r="L42" s="36" t="n">
        <f aca="false">$F42*L$38</f>
        <v>24</v>
      </c>
      <c r="M42" s="36" t="n">
        <f aca="false">$F42*M$38</f>
        <v>28</v>
      </c>
      <c r="N42" s="36" t="n">
        <f aca="false">$F42*N$38</f>
        <v>32</v>
      </c>
      <c r="O42" s="36" t="n">
        <f aca="false">$F42*O$38</f>
        <v>36</v>
      </c>
    </row>
    <row r="43" customFormat="false" ht="13" hidden="false" customHeight="false" outlineLevel="1" collapsed="false">
      <c r="F43" s="17" t="n">
        <v>5</v>
      </c>
      <c r="G43" s="36" t="n">
        <f aca="false">$F43*G$38</f>
        <v>5</v>
      </c>
      <c r="H43" s="36" t="n">
        <f aca="false">$F43*H$38</f>
        <v>10</v>
      </c>
      <c r="I43" s="36" t="n">
        <f aca="false">$F43*I$38</f>
        <v>15</v>
      </c>
      <c r="J43" s="36" t="n">
        <f aca="false">$F43*J$38</f>
        <v>20</v>
      </c>
      <c r="K43" s="36" t="n">
        <f aca="false">$F43*K$38</f>
        <v>25</v>
      </c>
      <c r="L43" s="36" t="n">
        <f aca="false">$F43*L$38</f>
        <v>30</v>
      </c>
      <c r="M43" s="36" t="n">
        <f aca="false">$F43*M$38</f>
        <v>35</v>
      </c>
      <c r="N43" s="36" t="n">
        <f aca="false">$F43*N$38</f>
        <v>40</v>
      </c>
      <c r="O43" s="36" t="n">
        <f aca="false">$F43*O$38</f>
        <v>45</v>
      </c>
    </row>
    <row r="44" customFormat="false" ht="13" hidden="false" customHeight="false" outlineLevel="1" collapsed="false">
      <c r="F44" s="17" t="n">
        <v>6</v>
      </c>
      <c r="G44" s="36" t="n">
        <f aca="false">$F44*G$38</f>
        <v>6</v>
      </c>
      <c r="H44" s="36" t="n">
        <f aca="false">$F44*H$38</f>
        <v>12</v>
      </c>
      <c r="I44" s="36" t="n">
        <f aca="false">$F44*I$38</f>
        <v>18</v>
      </c>
      <c r="J44" s="36" t="n">
        <f aca="false">$F44*J$38</f>
        <v>24</v>
      </c>
      <c r="K44" s="36" t="n">
        <f aca="false">$F44*K$38</f>
        <v>30</v>
      </c>
      <c r="L44" s="36" t="n">
        <f aca="false">$F44*L$38</f>
        <v>36</v>
      </c>
      <c r="M44" s="36" t="n">
        <f aca="false">$F44*M$38</f>
        <v>42</v>
      </c>
      <c r="N44" s="36" t="n">
        <f aca="false">$F44*N$38</f>
        <v>48</v>
      </c>
      <c r="O44" s="36" t="n">
        <f aca="false">$F44*O$38</f>
        <v>54</v>
      </c>
    </row>
    <row r="61" customFormat="false" ht="18.5" hidden="false" customHeight="false" outlineLevel="0" collapsed="false"/>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L1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4" activeCellId="0" sqref="D4"/>
    </sheetView>
  </sheetViews>
  <sheetFormatPr defaultRowHeight="13" zeroHeight="false" outlineLevelRow="1" outlineLevelCol="0"/>
  <cols>
    <col collapsed="false" customWidth="true" hidden="false" outlineLevel="0" max="1" min="1" style="2" width="9.11"/>
    <col collapsed="false" customWidth="true" hidden="false" outlineLevel="0" max="2" min="2" style="2" width="52"/>
    <col collapsed="false" customWidth="true" hidden="false" outlineLevel="0" max="3" min="3" style="2" width="25"/>
    <col collapsed="false" customWidth="true" hidden="false" outlineLevel="0" max="4" min="4" style="2" width="38.11"/>
    <col collapsed="false" customWidth="true" hidden="false" outlineLevel="0" max="5" min="5" style="2" width="11"/>
    <col collapsed="false" customWidth="true" hidden="false" outlineLevel="0" max="6" min="6" style="2" width="34"/>
    <col collapsed="false" customWidth="true" hidden="false" outlineLevel="0" max="7" min="7" style="2" width="10.8"/>
    <col collapsed="false" customWidth="true" hidden="false" outlineLevel="0" max="8" min="8" style="2" width="12.78"/>
    <col collapsed="false" customWidth="true" hidden="false" outlineLevel="0" max="9" min="9" style="2" width="8.79"/>
    <col collapsed="false" customWidth="true" hidden="false" outlineLevel="0" max="10" min="10" style="2" width="16.11"/>
    <col collapsed="false" customWidth="true" hidden="false" outlineLevel="0" max="11" min="11" style="2" width="9"/>
    <col collapsed="false" customWidth="true" hidden="false" outlineLevel="0" max="12" min="12" style="2" width="18"/>
    <col collapsed="false" customWidth="true" hidden="false" outlineLevel="0" max="1025" min="13" style="2" width="9.11"/>
  </cols>
  <sheetData>
    <row r="1" customFormat="false" ht="18.5" hidden="false" customHeight="false" outlineLevel="0" collapsed="false">
      <c r="A1" s="3" t="s">
        <v>59</v>
      </c>
    </row>
    <row r="2" customFormat="false" ht="13" hidden="false" customHeight="false" outlineLevel="0" collapsed="false">
      <c r="A2" s="4" t="s">
        <v>60</v>
      </c>
    </row>
    <row r="3" customFormat="false" ht="13" hidden="false" customHeight="false" outlineLevel="0" collapsed="false">
      <c r="A3" s="4" t="str">
        <f aca="false">Introduction!A3</f>
        <v>Basic Functionality</v>
      </c>
    </row>
    <row r="4" customFormat="false" ht="13" hidden="false" customHeight="false" outlineLevel="0" collapsed="false">
      <c r="A4" s="4" t="str">
        <f aca="true">MID(CELL("Filename",I7),SEARCH("]",CELL("Filename",I7),1)+1,100)</f>
        <v>Section 3 - Named Ranges</v>
      </c>
    </row>
    <row r="7" customFormat="false" ht="18.5" hidden="false" customHeight="false" outlineLevel="0" collapsed="false">
      <c r="B7" s="10" t="s">
        <v>13</v>
      </c>
    </row>
    <row r="8" customFormat="false" ht="13" hidden="true" customHeight="false" outlineLevel="1" collapsed="false"/>
    <row r="9" customFormat="false" ht="26" hidden="true" customHeight="false" outlineLevel="1" collapsed="false">
      <c r="B9" s="37" t="s">
        <v>61</v>
      </c>
      <c r="C9" s="37" t="s">
        <v>62</v>
      </c>
      <c r="D9" s="37" t="s">
        <v>63</v>
      </c>
      <c r="E9" s="37" t="s">
        <v>64</v>
      </c>
      <c r="F9" s="37" t="s">
        <v>65</v>
      </c>
      <c r="G9" s="38" t="s">
        <v>66</v>
      </c>
      <c r="H9" s="38" t="s">
        <v>67</v>
      </c>
      <c r="I9" s="39" t="s">
        <v>68</v>
      </c>
      <c r="J9" s="40" t="s">
        <v>69</v>
      </c>
      <c r="K9" s="39" t="s">
        <v>70</v>
      </c>
      <c r="L9" s="39" t="s">
        <v>32</v>
      </c>
    </row>
    <row r="10" customFormat="false" ht="13" hidden="true" customHeight="false" outlineLevel="1" collapsed="false">
      <c r="B10" s="41" t="n">
        <v>23345</v>
      </c>
      <c r="C10" s="41" t="s">
        <v>71</v>
      </c>
      <c r="D10" s="41" t="s">
        <v>72</v>
      </c>
      <c r="E10" s="41" t="s">
        <v>73</v>
      </c>
      <c r="F10" s="42" t="s">
        <v>74</v>
      </c>
      <c r="G10" s="41" t="s">
        <v>75</v>
      </c>
      <c r="H10" s="43" t="n">
        <v>41150</v>
      </c>
      <c r="I10" s="44" t="n">
        <f aca="false">VALUE(MONTH(H10))</f>
        <v>8</v>
      </c>
      <c r="J10" s="45" t="n">
        <v>208</v>
      </c>
      <c r="K10" s="46" t="n">
        <v>14.5</v>
      </c>
      <c r="L10" s="47" t="n">
        <f aca="false">K10*J10</f>
        <v>3016</v>
      </c>
    </row>
    <row r="11" customFormat="false" ht="13" hidden="true" customHeight="false" outlineLevel="1" collapsed="false">
      <c r="B11" s="41" t="n">
        <v>23278</v>
      </c>
      <c r="C11" s="41" t="s">
        <v>76</v>
      </c>
      <c r="D11" s="41" t="s">
        <v>77</v>
      </c>
      <c r="E11" s="41" t="s">
        <v>73</v>
      </c>
      <c r="F11" s="42" t="s">
        <v>74</v>
      </c>
      <c r="G11" s="41" t="s">
        <v>78</v>
      </c>
      <c r="H11" s="43" t="n">
        <v>41145</v>
      </c>
      <c r="I11" s="44" t="n">
        <f aca="false">VALUE(MONTH(H11))</f>
        <v>8</v>
      </c>
      <c r="J11" s="45" t="n">
        <v>197</v>
      </c>
      <c r="K11" s="46" t="n">
        <v>14.5</v>
      </c>
      <c r="L11" s="47" t="n">
        <f aca="false">K11*J11</f>
        <v>2856.5</v>
      </c>
    </row>
    <row r="12" customFormat="false" ht="13" hidden="true" customHeight="false" outlineLevel="1" collapsed="false">
      <c r="B12" s="41" t="n">
        <v>23303</v>
      </c>
      <c r="C12" s="41" t="s">
        <v>79</v>
      </c>
      <c r="D12" s="41" t="s">
        <v>80</v>
      </c>
      <c r="E12" s="41" t="s">
        <v>73</v>
      </c>
      <c r="F12" s="42" t="s">
        <v>74</v>
      </c>
      <c r="G12" s="41" t="s">
        <v>81</v>
      </c>
      <c r="H12" s="43" t="n">
        <v>41138</v>
      </c>
      <c r="I12" s="44" t="n">
        <f aca="false">VALUE(MONTH(H12))</f>
        <v>8</v>
      </c>
      <c r="J12" s="45" t="n">
        <v>176</v>
      </c>
      <c r="K12" s="46" t="n">
        <v>14.5</v>
      </c>
      <c r="L12" s="47" t="n">
        <f aca="false">K12*J12</f>
        <v>2552</v>
      </c>
    </row>
    <row r="13" customFormat="false" ht="13" hidden="true" customHeight="false" outlineLevel="1" collapsed="false">
      <c r="B13" s="48" t="n">
        <v>23353</v>
      </c>
      <c r="C13" s="48" t="s">
        <v>82</v>
      </c>
      <c r="D13" s="48" t="s">
        <v>83</v>
      </c>
      <c r="E13" s="48" t="s">
        <v>73</v>
      </c>
      <c r="F13" s="49" t="s">
        <v>74</v>
      </c>
      <c r="G13" s="41" t="s">
        <v>78</v>
      </c>
      <c r="H13" s="43" t="n">
        <v>41070</v>
      </c>
      <c r="I13" s="44" t="n">
        <f aca="false">VALUE(MONTH(H13))</f>
        <v>6</v>
      </c>
      <c r="J13" s="45" t="n">
        <v>168</v>
      </c>
      <c r="K13" s="46" t="n">
        <v>14.5</v>
      </c>
      <c r="L13" s="47" t="n">
        <f aca="false">K13*J13</f>
        <v>2436</v>
      </c>
    </row>
    <row r="14" customFormat="false" ht="13" hidden="true" customHeight="false" outlineLevel="1" collapsed="false">
      <c r="B14" s="41" t="n">
        <v>23289</v>
      </c>
      <c r="C14" s="41" t="s">
        <v>84</v>
      </c>
      <c r="D14" s="41" t="s">
        <v>85</v>
      </c>
      <c r="E14" s="41" t="s">
        <v>73</v>
      </c>
      <c r="F14" s="42" t="s">
        <v>74</v>
      </c>
      <c r="G14" s="41" t="s">
        <v>81</v>
      </c>
      <c r="H14" s="43" t="n">
        <v>41123</v>
      </c>
      <c r="I14" s="44" t="n">
        <f aca="false">VALUE(MONTH(H14))</f>
        <v>8</v>
      </c>
      <c r="J14" s="45" t="n">
        <v>166</v>
      </c>
      <c r="K14" s="46" t="n">
        <v>14.5</v>
      </c>
      <c r="L14" s="47" t="n">
        <f aca="false">K14*J14</f>
        <v>2407</v>
      </c>
    </row>
    <row r="15" customFormat="false" ht="13" hidden="true" customHeight="false" outlineLevel="1" collapsed="false">
      <c r="B15" s="41" t="n">
        <v>23378</v>
      </c>
      <c r="C15" s="41" t="s">
        <v>86</v>
      </c>
      <c r="D15" s="41" t="s">
        <v>87</v>
      </c>
      <c r="E15" s="41" t="s">
        <v>73</v>
      </c>
      <c r="F15" s="42" t="s">
        <v>74</v>
      </c>
      <c r="G15" s="41" t="s">
        <v>75</v>
      </c>
      <c r="H15" s="43" t="n">
        <v>41078</v>
      </c>
      <c r="I15" s="44" t="n">
        <f aca="false">VALUE(MONTH(H15))</f>
        <v>6</v>
      </c>
      <c r="J15" s="45" t="n">
        <v>157</v>
      </c>
      <c r="K15" s="46" t="n">
        <v>14.5</v>
      </c>
      <c r="L15" s="47" t="n">
        <f aca="false">K15*J15</f>
        <v>2276.5</v>
      </c>
    </row>
    <row r="16" customFormat="false" ht="13" hidden="true" customHeight="false" outlineLevel="1" collapsed="false">
      <c r="B16" s="41" t="n">
        <v>23283</v>
      </c>
      <c r="C16" s="41" t="s">
        <v>88</v>
      </c>
      <c r="D16" s="41" t="s">
        <v>89</v>
      </c>
      <c r="E16" s="41" t="s">
        <v>73</v>
      </c>
      <c r="F16" s="42" t="s">
        <v>74</v>
      </c>
      <c r="G16" s="41" t="s">
        <v>75</v>
      </c>
      <c r="H16" s="43" t="n">
        <v>41084</v>
      </c>
      <c r="I16" s="44" t="n">
        <f aca="false">VALUE(MONTH(H16))</f>
        <v>6</v>
      </c>
      <c r="J16" s="45" t="n">
        <v>142</v>
      </c>
      <c r="K16" s="46" t="n">
        <v>14.5</v>
      </c>
      <c r="L16" s="47" t="n">
        <f aca="false">K16*J16</f>
        <v>2059</v>
      </c>
    </row>
    <row r="17" customFormat="false" ht="13" hidden="true" customHeight="false" outlineLevel="1" collapsed="false">
      <c r="B17" s="50" t="n">
        <v>23324</v>
      </c>
      <c r="C17" s="50" t="s">
        <v>90</v>
      </c>
      <c r="D17" s="50" t="s">
        <v>91</v>
      </c>
      <c r="E17" s="50" t="s">
        <v>92</v>
      </c>
      <c r="F17" s="51" t="s">
        <v>93</v>
      </c>
      <c r="G17" s="41" t="s">
        <v>81</v>
      </c>
      <c r="H17" s="43" t="n">
        <v>41134</v>
      </c>
      <c r="I17" s="44" t="n">
        <f aca="false">VALUE(MONTH(H17))</f>
        <v>8</v>
      </c>
      <c r="J17" s="45" t="n">
        <v>193</v>
      </c>
      <c r="K17" s="46" t="n">
        <v>9.99</v>
      </c>
      <c r="L17" s="47" t="n">
        <f aca="false">K17*J17</f>
        <v>1928.07</v>
      </c>
    </row>
    <row r="18" customFormat="false" ht="13" hidden="true" customHeight="false" outlineLevel="1" collapsed="false">
      <c r="B18" s="41" t="n">
        <v>23264</v>
      </c>
      <c r="C18" s="41" t="s">
        <v>94</v>
      </c>
      <c r="D18" s="41" t="s">
        <v>95</v>
      </c>
      <c r="E18" s="41" t="s">
        <v>96</v>
      </c>
      <c r="F18" s="42" t="s">
        <v>97</v>
      </c>
      <c r="G18" s="41" t="s">
        <v>75</v>
      </c>
      <c r="H18" s="43" t="n">
        <v>41139</v>
      </c>
      <c r="I18" s="44" t="n">
        <f aca="false">VALUE(MONTH(H18))</f>
        <v>8</v>
      </c>
      <c r="J18" s="45" t="n">
        <v>205</v>
      </c>
      <c r="K18" s="46" t="n">
        <v>9</v>
      </c>
      <c r="L18" s="47" t="n">
        <f aca="false">K18*J18</f>
        <v>1845</v>
      </c>
    </row>
    <row r="19" customFormat="false" ht="13" hidden="true" customHeight="false" outlineLevel="1" collapsed="false">
      <c r="B19" s="41" t="n">
        <v>23291</v>
      </c>
      <c r="C19" s="41" t="s">
        <v>98</v>
      </c>
      <c r="D19" s="41" t="s">
        <v>99</v>
      </c>
      <c r="E19" s="41" t="s">
        <v>96</v>
      </c>
      <c r="F19" s="42" t="s">
        <v>97</v>
      </c>
      <c r="G19" s="41" t="s">
        <v>81</v>
      </c>
      <c r="H19" s="43" t="n">
        <v>41139</v>
      </c>
      <c r="I19" s="44" t="n">
        <f aca="false">VALUE(MONTH(H19))</f>
        <v>8</v>
      </c>
      <c r="J19" s="45" t="n">
        <v>199</v>
      </c>
      <c r="K19" s="46" t="n">
        <v>9</v>
      </c>
      <c r="L19" s="47" t="n">
        <f aca="false">K19*J19</f>
        <v>1791</v>
      </c>
    </row>
    <row r="20" customFormat="false" ht="13" hidden="true" customHeight="false" outlineLevel="1" collapsed="false">
      <c r="B20" s="41" t="n">
        <v>23305</v>
      </c>
      <c r="C20" s="41" t="s">
        <v>100</v>
      </c>
      <c r="D20" s="41" t="s">
        <v>101</v>
      </c>
      <c r="E20" s="41" t="s">
        <v>96</v>
      </c>
      <c r="F20" s="42" t="s">
        <v>97</v>
      </c>
      <c r="G20" s="41" t="s">
        <v>75</v>
      </c>
      <c r="H20" s="43" t="n">
        <v>41147</v>
      </c>
      <c r="I20" s="44" t="n">
        <f aca="false">VALUE(MONTH(H20))</f>
        <v>8</v>
      </c>
      <c r="J20" s="45" t="n">
        <v>188</v>
      </c>
      <c r="K20" s="46" t="n">
        <v>9</v>
      </c>
      <c r="L20" s="47" t="n">
        <f aca="false">K20*J20</f>
        <v>1692</v>
      </c>
    </row>
    <row r="21" customFormat="false" ht="13" hidden="true" customHeight="false" outlineLevel="1" collapsed="false">
      <c r="B21" s="41" t="n">
        <v>23350</v>
      </c>
      <c r="C21" s="41" t="s">
        <v>102</v>
      </c>
      <c r="D21" s="41" t="s">
        <v>103</v>
      </c>
      <c r="E21" s="41" t="s">
        <v>96</v>
      </c>
      <c r="F21" s="42" t="s">
        <v>97</v>
      </c>
      <c r="G21" s="41" t="s">
        <v>75</v>
      </c>
      <c r="H21" s="43" t="n">
        <v>41085</v>
      </c>
      <c r="I21" s="44" t="n">
        <f aca="false">VALUE(MONTH(H21))</f>
        <v>6</v>
      </c>
      <c r="J21" s="45" t="n">
        <v>188</v>
      </c>
      <c r="K21" s="46" t="n">
        <v>9</v>
      </c>
      <c r="L21" s="47" t="n">
        <f aca="false">K21*J21</f>
        <v>1692</v>
      </c>
    </row>
    <row r="22" customFormat="false" ht="13" hidden="true" customHeight="false" outlineLevel="1" collapsed="false">
      <c r="B22" s="41" t="n">
        <v>23300</v>
      </c>
      <c r="C22" s="41" t="s">
        <v>104</v>
      </c>
      <c r="D22" s="41" t="s">
        <v>105</v>
      </c>
      <c r="E22" s="41" t="s">
        <v>92</v>
      </c>
      <c r="F22" s="42" t="s">
        <v>93</v>
      </c>
      <c r="G22" s="41" t="s">
        <v>75</v>
      </c>
      <c r="H22" s="43" t="n">
        <v>40915</v>
      </c>
      <c r="I22" s="44" t="n">
        <f aca="false">VALUE(MONTH(H22))</f>
        <v>1</v>
      </c>
      <c r="J22" s="45" t="n">
        <v>167</v>
      </c>
      <c r="K22" s="46" t="n">
        <v>9.99</v>
      </c>
      <c r="L22" s="47" t="n">
        <f aca="false">K22*J22</f>
        <v>1668.33</v>
      </c>
    </row>
    <row r="23" customFormat="false" ht="13" hidden="true" customHeight="false" outlineLevel="1" collapsed="false">
      <c r="B23" s="41" t="n">
        <v>23348</v>
      </c>
      <c r="C23" s="41" t="s">
        <v>106</v>
      </c>
      <c r="D23" s="41" t="s">
        <v>107</v>
      </c>
      <c r="E23" s="41" t="s">
        <v>92</v>
      </c>
      <c r="F23" s="42" t="s">
        <v>93</v>
      </c>
      <c r="G23" s="41" t="s">
        <v>81</v>
      </c>
      <c r="H23" s="43" t="n">
        <v>41146</v>
      </c>
      <c r="I23" s="44" t="n">
        <f aca="false">VALUE(MONTH(H23))</f>
        <v>8</v>
      </c>
      <c r="J23" s="45" t="n">
        <v>163</v>
      </c>
      <c r="K23" s="46" t="n">
        <v>9.99</v>
      </c>
      <c r="L23" s="47" t="n">
        <f aca="false">K23*J23</f>
        <v>1628.37</v>
      </c>
    </row>
    <row r="24" customFormat="false" ht="13" hidden="true" customHeight="false" outlineLevel="1" collapsed="false">
      <c r="B24" s="41" t="n">
        <v>23290</v>
      </c>
      <c r="C24" s="41" t="s">
        <v>108</v>
      </c>
      <c r="D24" s="41" t="s">
        <v>109</v>
      </c>
      <c r="E24" s="41" t="s">
        <v>96</v>
      </c>
      <c r="F24" s="42" t="s">
        <v>97</v>
      </c>
      <c r="G24" s="41" t="s">
        <v>75</v>
      </c>
      <c r="H24" s="43" t="n">
        <v>41132</v>
      </c>
      <c r="I24" s="44" t="n">
        <f aca="false">VALUE(MONTH(H24))</f>
        <v>8</v>
      </c>
      <c r="J24" s="45" t="n">
        <v>170</v>
      </c>
      <c r="K24" s="46" t="n">
        <v>9</v>
      </c>
      <c r="L24" s="47" t="n">
        <f aca="false">K24*J24</f>
        <v>1530</v>
      </c>
    </row>
    <row r="25" customFormat="false" ht="13" hidden="true" customHeight="false" outlineLevel="1" collapsed="false">
      <c r="B25" s="41" t="n">
        <v>23328</v>
      </c>
      <c r="C25" s="41" t="s">
        <v>110</v>
      </c>
      <c r="D25" s="41" t="s">
        <v>111</v>
      </c>
      <c r="E25" s="41" t="s">
        <v>73</v>
      </c>
      <c r="F25" s="42" t="s">
        <v>74</v>
      </c>
      <c r="G25" s="41" t="s">
        <v>81</v>
      </c>
      <c r="H25" s="43" t="n">
        <v>40923</v>
      </c>
      <c r="I25" s="44" t="n">
        <f aca="false">VALUE(MONTH(H25))</f>
        <v>1</v>
      </c>
      <c r="J25" s="45" t="n">
        <v>102</v>
      </c>
      <c r="K25" s="46" t="n">
        <v>14.5</v>
      </c>
      <c r="L25" s="47" t="n">
        <f aca="false">K25*J25</f>
        <v>1479</v>
      </c>
    </row>
    <row r="26" customFormat="false" ht="13" hidden="true" customHeight="false" outlineLevel="1" collapsed="false">
      <c r="B26" s="41" t="n">
        <v>23294</v>
      </c>
      <c r="C26" s="41" t="s">
        <v>112</v>
      </c>
      <c r="D26" s="41" t="s">
        <v>113</v>
      </c>
      <c r="E26" s="41" t="s">
        <v>96</v>
      </c>
      <c r="F26" s="42" t="s">
        <v>97</v>
      </c>
      <c r="G26" s="41" t="s">
        <v>81</v>
      </c>
      <c r="H26" s="43" t="n">
        <v>41082</v>
      </c>
      <c r="I26" s="44" t="n">
        <f aca="false">VALUE(MONTH(H26))</f>
        <v>6</v>
      </c>
      <c r="J26" s="45" t="n">
        <v>160</v>
      </c>
      <c r="K26" s="46" t="n">
        <v>9</v>
      </c>
      <c r="L26" s="47" t="n">
        <f aca="false">K26*J26</f>
        <v>1440</v>
      </c>
    </row>
    <row r="27" customFormat="false" ht="13" hidden="true" customHeight="false" outlineLevel="1" collapsed="false">
      <c r="B27" s="41" t="n">
        <v>23371</v>
      </c>
      <c r="C27" s="41" t="s">
        <v>114</v>
      </c>
      <c r="D27" s="41" t="s">
        <v>115</v>
      </c>
      <c r="E27" s="41" t="s">
        <v>116</v>
      </c>
      <c r="F27" s="42" t="s">
        <v>117</v>
      </c>
      <c r="G27" s="41" t="s">
        <v>75</v>
      </c>
      <c r="H27" s="43" t="n">
        <v>41136</v>
      </c>
      <c r="I27" s="44" t="n">
        <f aca="false">VALUE(MONTH(H27))</f>
        <v>8</v>
      </c>
      <c r="J27" s="45" t="n">
        <v>204</v>
      </c>
      <c r="K27" s="46" t="n">
        <v>6.99</v>
      </c>
      <c r="L27" s="47" t="n">
        <f aca="false">K27*J27</f>
        <v>1425.96</v>
      </c>
    </row>
    <row r="28" customFormat="false" ht="13" hidden="true" customHeight="false" outlineLevel="1" collapsed="false">
      <c r="B28" s="41" t="n">
        <v>23288</v>
      </c>
      <c r="C28" s="41" t="s">
        <v>118</v>
      </c>
      <c r="D28" s="41" t="s">
        <v>119</v>
      </c>
      <c r="E28" s="41" t="s">
        <v>92</v>
      </c>
      <c r="F28" s="42" t="s">
        <v>93</v>
      </c>
      <c r="G28" s="41" t="s">
        <v>78</v>
      </c>
      <c r="H28" s="43" t="n">
        <v>41074</v>
      </c>
      <c r="I28" s="44" t="n">
        <f aca="false">VALUE(MONTH(H28))</f>
        <v>6</v>
      </c>
      <c r="J28" s="45" t="n">
        <v>141</v>
      </c>
      <c r="K28" s="46" t="n">
        <v>9.99</v>
      </c>
      <c r="L28" s="47" t="n">
        <f aca="false">K28*J28</f>
        <v>1408.59</v>
      </c>
    </row>
    <row r="29" customFormat="false" ht="13" hidden="true" customHeight="false" outlineLevel="1" collapsed="false">
      <c r="B29" s="41" t="n">
        <v>23347</v>
      </c>
      <c r="C29" s="41" t="s">
        <v>120</v>
      </c>
      <c r="D29" s="41" t="s">
        <v>121</v>
      </c>
      <c r="E29" s="41" t="s">
        <v>96</v>
      </c>
      <c r="F29" s="42" t="s">
        <v>97</v>
      </c>
      <c r="G29" s="41" t="s">
        <v>75</v>
      </c>
      <c r="H29" s="43" t="n">
        <v>41088</v>
      </c>
      <c r="I29" s="44" t="n">
        <f aca="false">VALUE(MONTH(H29))</f>
        <v>6</v>
      </c>
      <c r="J29" s="45" t="n">
        <v>147</v>
      </c>
      <c r="K29" s="46" t="n">
        <v>9</v>
      </c>
      <c r="L29" s="47" t="n">
        <f aca="false">K29*J29</f>
        <v>1323</v>
      </c>
    </row>
    <row r="30" customFormat="false" ht="13" hidden="true" customHeight="false" outlineLevel="1" collapsed="false">
      <c r="B30" s="41" t="n">
        <v>23361</v>
      </c>
      <c r="C30" s="41" t="s">
        <v>122</v>
      </c>
      <c r="D30" s="41" t="s">
        <v>123</v>
      </c>
      <c r="E30" s="41" t="s">
        <v>116</v>
      </c>
      <c r="F30" s="42" t="s">
        <v>117</v>
      </c>
      <c r="G30" s="41" t="s">
        <v>75</v>
      </c>
      <c r="H30" s="43" t="n">
        <v>40915</v>
      </c>
      <c r="I30" s="44" t="n">
        <f aca="false">VALUE(MONTH(H30))</f>
        <v>1</v>
      </c>
      <c r="J30" s="45" t="n">
        <v>184</v>
      </c>
      <c r="K30" s="46" t="n">
        <v>6.99</v>
      </c>
      <c r="L30" s="47" t="n">
        <f aca="false">K30*J30</f>
        <v>1286.16</v>
      </c>
    </row>
    <row r="31" customFormat="false" ht="13" hidden="true" customHeight="false" outlineLevel="1" collapsed="false">
      <c r="B31" s="41" t="n">
        <v>23275</v>
      </c>
      <c r="C31" s="41" t="s">
        <v>124</v>
      </c>
      <c r="D31" s="41" t="s">
        <v>125</v>
      </c>
      <c r="E31" s="41" t="s">
        <v>96</v>
      </c>
      <c r="F31" s="42" t="s">
        <v>97</v>
      </c>
      <c r="G31" s="41" t="s">
        <v>81</v>
      </c>
      <c r="H31" s="43" t="n">
        <v>40912</v>
      </c>
      <c r="I31" s="44" t="n">
        <f aca="false">VALUE(MONTH(H31))</f>
        <v>1</v>
      </c>
      <c r="J31" s="45" t="n">
        <v>141</v>
      </c>
      <c r="K31" s="46" t="n">
        <v>9</v>
      </c>
      <c r="L31" s="47" t="n">
        <f aca="false">K31*J31</f>
        <v>1269</v>
      </c>
    </row>
    <row r="32" customFormat="false" ht="13" hidden="true" customHeight="false" outlineLevel="1" collapsed="false">
      <c r="B32" s="41" t="n">
        <v>23297</v>
      </c>
      <c r="C32" s="41" t="s">
        <v>126</v>
      </c>
      <c r="D32" s="41" t="s">
        <v>127</v>
      </c>
      <c r="E32" s="41" t="s">
        <v>96</v>
      </c>
      <c r="F32" s="42" t="s">
        <v>97</v>
      </c>
      <c r="G32" s="41" t="s">
        <v>75</v>
      </c>
      <c r="H32" s="43" t="n">
        <v>41133</v>
      </c>
      <c r="I32" s="44" t="n">
        <f aca="false">VALUE(MONTH(H32))</f>
        <v>8</v>
      </c>
      <c r="J32" s="45" t="n">
        <v>135</v>
      </c>
      <c r="K32" s="46" t="n">
        <v>9</v>
      </c>
      <c r="L32" s="47" t="n">
        <f aca="false">K32*J32</f>
        <v>1215</v>
      </c>
    </row>
    <row r="33" customFormat="false" ht="13" hidden="true" customHeight="false" outlineLevel="1" collapsed="false">
      <c r="B33" s="41" t="n">
        <v>23327</v>
      </c>
      <c r="C33" s="41" t="s">
        <v>128</v>
      </c>
      <c r="D33" s="41" t="s">
        <v>129</v>
      </c>
      <c r="E33" s="41" t="s">
        <v>130</v>
      </c>
      <c r="F33" s="42" t="s">
        <v>131</v>
      </c>
      <c r="G33" s="41" t="s">
        <v>81</v>
      </c>
      <c r="H33" s="43" t="n">
        <v>40939</v>
      </c>
      <c r="I33" s="44" t="n">
        <f aca="false">VALUE(MONTH(H33))</f>
        <v>1</v>
      </c>
      <c r="J33" s="45" t="n">
        <v>176</v>
      </c>
      <c r="K33" s="46" t="n">
        <v>6.5</v>
      </c>
      <c r="L33" s="47" t="n">
        <f aca="false">K33*J33</f>
        <v>1144</v>
      </c>
    </row>
    <row r="34" customFormat="false" ht="13" hidden="true" customHeight="false" outlineLevel="1" collapsed="false">
      <c r="B34" s="41" t="n">
        <v>23325</v>
      </c>
      <c r="C34" s="41" t="s">
        <v>132</v>
      </c>
      <c r="D34" s="41" t="s">
        <v>133</v>
      </c>
      <c r="E34" s="41" t="s">
        <v>134</v>
      </c>
      <c r="F34" s="42" t="s">
        <v>135</v>
      </c>
      <c r="G34" s="41" t="s">
        <v>81</v>
      </c>
      <c r="H34" s="43" t="n">
        <v>41082</v>
      </c>
      <c r="I34" s="44" t="n">
        <f aca="false">VALUE(MONTH(H34))</f>
        <v>6</v>
      </c>
      <c r="J34" s="45" t="n">
        <v>184</v>
      </c>
      <c r="K34" s="46" t="n">
        <v>6</v>
      </c>
      <c r="L34" s="47" t="n">
        <f aca="false">K34*J34</f>
        <v>1104</v>
      </c>
    </row>
    <row r="35" customFormat="false" ht="13" hidden="true" customHeight="false" outlineLevel="1" collapsed="false">
      <c r="B35" s="41" t="n">
        <v>23292</v>
      </c>
      <c r="C35" s="41" t="s">
        <v>136</v>
      </c>
      <c r="D35" s="41" t="s">
        <v>137</v>
      </c>
      <c r="E35" s="41" t="s">
        <v>73</v>
      </c>
      <c r="F35" s="42" t="s">
        <v>74</v>
      </c>
      <c r="G35" s="41" t="s">
        <v>75</v>
      </c>
      <c r="H35" s="43" t="n">
        <v>40911</v>
      </c>
      <c r="I35" s="44" t="n">
        <f aca="false">VALUE(MONTH(H35))</f>
        <v>1</v>
      </c>
      <c r="J35" s="45" t="n">
        <v>73</v>
      </c>
      <c r="K35" s="46" t="n">
        <v>14.5</v>
      </c>
      <c r="L35" s="47" t="n">
        <f aca="false">K35*J35</f>
        <v>1058.5</v>
      </c>
    </row>
    <row r="36" customFormat="false" ht="13" hidden="true" customHeight="false" outlineLevel="1" collapsed="false">
      <c r="B36" s="41" t="n">
        <v>23335</v>
      </c>
      <c r="C36" s="41" t="s">
        <v>138</v>
      </c>
      <c r="D36" s="41" t="s">
        <v>139</v>
      </c>
      <c r="E36" s="41" t="s">
        <v>96</v>
      </c>
      <c r="F36" s="42" t="s">
        <v>97</v>
      </c>
      <c r="G36" s="41" t="s">
        <v>75</v>
      </c>
      <c r="H36" s="43" t="n">
        <v>41134</v>
      </c>
      <c r="I36" s="44" t="n">
        <f aca="false">VALUE(MONTH(H36))</f>
        <v>8</v>
      </c>
      <c r="J36" s="45" t="n">
        <v>116</v>
      </c>
      <c r="K36" s="46" t="n">
        <v>9</v>
      </c>
      <c r="L36" s="47" t="n">
        <f aca="false">K36*J36</f>
        <v>1044</v>
      </c>
    </row>
    <row r="37" customFormat="false" ht="13" hidden="true" customHeight="false" outlineLevel="1" collapsed="false">
      <c r="B37" s="41" t="n">
        <v>23314</v>
      </c>
      <c r="C37" s="41" t="s">
        <v>140</v>
      </c>
      <c r="D37" s="41" t="s">
        <v>141</v>
      </c>
      <c r="E37" s="41" t="s">
        <v>92</v>
      </c>
      <c r="F37" s="42" t="s">
        <v>93</v>
      </c>
      <c r="G37" s="41" t="s">
        <v>81</v>
      </c>
      <c r="H37" s="43" t="n">
        <v>41131</v>
      </c>
      <c r="I37" s="44" t="n">
        <f aca="false">VALUE(MONTH(H37))</f>
        <v>8</v>
      </c>
      <c r="J37" s="45" t="n">
        <v>95</v>
      </c>
      <c r="K37" s="46" t="n">
        <v>9.99</v>
      </c>
      <c r="L37" s="47" t="n">
        <f aca="false">K37*J37</f>
        <v>949.05</v>
      </c>
    </row>
    <row r="38" customFormat="false" ht="13" hidden="true" customHeight="false" outlineLevel="1" collapsed="false">
      <c r="B38" s="41" t="n">
        <v>23329</v>
      </c>
      <c r="C38" s="41" t="s">
        <v>142</v>
      </c>
      <c r="D38" s="41" t="s">
        <v>143</v>
      </c>
      <c r="E38" s="41" t="s">
        <v>144</v>
      </c>
      <c r="F38" s="42" t="s">
        <v>145</v>
      </c>
      <c r="G38" s="41" t="s">
        <v>81</v>
      </c>
      <c r="H38" s="43" t="n">
        <v>40931</v>
      </c>
      <c r="I38" s="44" t="n">
        <f aca="false">VALUE(MONTH(H38))</f>
        <v>1</v>
      </c>
      <c r="J38" s="45" t="n">
        <v>203</v>
      </c>
      <c r="K38" s="46" t="n">
        <v>4.5</v>
      </c>
      <c r="L38" s="47" t="n">
        <f aca="false">K38*J38</f>
        <v>913.5</v>
      </c>
    </row>
    <row r="39" customFormat="false" ht="13" hidden="true" customHeight="false" outlineLevel="1" collapsed="false">
      <c r="B39" s="41" t="n">
        <v>23332</v>
      </c>
      <c r="C39" s="41" t="s">
        <v>146</v>
      </c>
      <c r="D39" s="41" t="s">
        <v>147</v>
      </c>
      <c r="E39" s="41" t="s">
        <v>144</v>
      </c>
      <c r="F39" s="42" t="s">
        <v>145</v>
      </c>
      <c r="G39" s="41" t="s">
        <v>78</v>
      </c>
      <c r="H39" s="43" t="n">
        <v>40950</v>
      </c>
      <c r="I39" s="44" t="n">
        <f aca="false">VALUE(MONTH(H39))</f>
        <v>2</v>
      </c>
      <c r="J39" s="45" t="n">
        <v>203</v>
      </c>
      <c r="K39" s="46" t="n">
        <v>4.5</v>
      </c>
      <c r="L39" s="47" t="n">
        <f aca="false">K39*J39</f>
        <v>913.5</v>
      </c>
    </row>
    <row r="40" customFormat="false" ht="13" hidden="true" customHeight="false" outlineLevel="1" collapsed="false">
      <c r="B40" s="41" t="n">
        <v>23317</v>
      </c>
      <c r="C40" s="41" t="s">
        <v>148</v>
      </c>
      <c r="D40" s="41" t="s">
        <v>149</v>
      </c>
      <c r="E40" s="41" t="s">
        <v>144</v>
      </c>
      <c r="F40" s="42" t="s">
        <v>145</v>
      </c>
      <c r="G40" s="41" t="s">
        <v>78</v>
      </c>
      <c r="H40" s="43" t="n">
        <v>40956</v>
      </c>
      <c r="I40" s="44" t="n">
        <f aca="false">VALUE(MONTH(H40))</f>
        <v>2</v>
      </c>
      <c r="J40" s="45" t="n">
        <v>196</v>
      </c>
      <c r="K40" s="46" t="n">
        <v>4.5</v>
      </c>
      <c r="L40" s="47" t="n">
        <f aca="false">K40*J40</f>
        <v>882</v>
      </c>
    </row>
    <row r="41" customFormat="false" ht="13" hidden="true" customHeight="false" outlineLevel="1" collapsed="false">
      <c r="B41" s="41" t="n">
        <v>23271</v>
      </c>
      <c r="C41" s="41" t="s">
        <v>150</v>
      </c>
      <c r="D41" s="41" t="s">
        <v>151</v>
      </c>
      <c r="E41" s="41" t="s">
        <v>116</v>
      </c>
      <c r="F41" s="42" t="s">
        <v>117</v>
      </c>
      <c r="G41" s="41" t="s">
        <v>81</v>
      </c>
      <c r="H41" s="43" t="n">
        <v>40966</v>
      </c>
      <c r="I41" s="44" t="n">
        <f aca="false">VALUE(MONTH(H41))</f>
        <v>2</v>
      </c>
      <c r="J41" s="45" t="n">
        <v>125</v>
      </c>
      <c r="K41" s="46" t="n">
        <v>6.99</v>
      </c>
      <c r="L41" s="47" t="n">
        <f aca="false">K41*J41</f>
        <v>873.75</v>
      </c>
    </row>
    <row r="42" customFormat="false" ht="13" hidden="true" customHeight="false" outlineLevel="1" collapsed="false">
      <c r="B42" s="41" t="n">
        <v>23287</v>
      </c>
      <c r="C42" s="41" t="s">
        <v>152</v>
      </c>
      <c r="D42" s="41" t="s">
        <v>153</v>
      </c>
      <c r="E42" s="41" t="s">
        <v>144</v>
      </c>
      <c r="F42" s="42" t="s">
        <v>145</v>
      </c>
      <c r="G42" s="41" t="s">
        <v>81</v>
      </c>
      <c r="H42" s="43" t="n">
        <v>41077</v>
      </c>
      <c r="I42" s="44" t="n">
        <f aca="false">VALUE(MONTH(H42))</f>
        <v>6</v>
      </c>
      <c r="J42" s="45" t="n">
        <v>189</v>
      </c>
      <c r="K42" s="46" t="n">
        <v>4.5</v>
      </c>
      <c r="L42" s="47" t="n">
        <f aca="false">K42*J42</f>
        <v>850.5</v>
      </c>
    </row>
    <row r="43" customFormat="false" ht="13" hidden="true" customHeight="false" outlineLevel="1" collapsed="false">
      <c r="B43" s="41" t="n">
        <v>23349</v>
      </c>
      <c r="C43" s="41" t="s">
        <v>154</v>
      </c>
      <c r="D43" s="41" t="s">
        <v>155</v>
      </c>
      <c r="E43" s="41" t="s">
        <v>130</v>
      </c>
      <c r="F43" s="42" t="s">
        <v>131</v>
      </c>
      <c r="G43" s="41" t="s">
        <v>81</v>
      </c>
      <c r="H43" s="43" t="n">
        <v>41112</v>
      </c>
      <c r="I43" s="44" t="n">
        <f aca="false">VALUE(MONTH(H43))</f>
        <v>7</v>
      </c>
      <c r="J43" s="45" t="n">
        <v>126</v>
      </c>
      <c r="K43" s="46" t="n">
        <v>6.5</v>
      </c>
      <c r="L43" s="47" t="n">
        <f aca="false">K43*J43</f>
        <v>819</v>
      </c>
    </row>
    <row r="44" customFormat="false" ht="13" hidden="true" customHeight="false" outlineLevel="1" collapsed="false">
      <c r="B44" s="41" t="n">
        <v>23309</v>
      </c>
      <c r="C44" s="41" t="s">
        <v>156</v>
      </c>
      <c r="D44" s="41" t="s">
        <v>157</v>
      </c>
      <c r="E44" s="41" t="s">
        <v>158</v>
      </c>
      <c r="F44" s="42" t="s">
        <v>159</v>
      </c>
      <c r="G44" s="41" t="s">
        <v>75</v>
      </c>
      <c r="H44" s="43" t="n">
        <v>41083</v>
      </c>
      <c r="I44" s="44" t="n">
        <f aca="false">VALUE(MONTH(H44))</f>
        <v>6</v>
      </c>
      <c r="J44" s="45" t="n">
        <v>201</v>
      </c>
      <c r="K44" s="46" t="n">
        <v>3.99</v>
      </c>
      <c r="L44" s="47" t="n">
        <f aca="false">K44*J44</f>
        <v>801.99</v>
      </c>
    </row>
    <row r="45" customFormat="false" ht="13" hidden="true" customHeight="false" outlineLevel="1" collapsed="false">
      <c r="B45" s="41" t="n">
        <v>23338</v>
      </c>
      <c r="C45" s="41" t="s">
        <v>160</v>
      </c>
      <c r="D45" s="41" t="s">
        <v>161</v>
      </c>
      <c r="E45" s="41" t="s">
        <v>144</v>
      </c>
      <c r="F45" s="42" t="s">
        <v>145</v>
      </c>
      <c r="G45" s="41" t="s">
        <v>81</v>
      </c>
      <c r="H45" s="43" t="n">
        <v>41133</v>
      </c>
      <c r="I45" s="44" t="n">
        <f aca="false">VALUE(MONTH(H45))</f>
        <v>8</v>
      </c>
      <c r="J45" s="45" t="n">
        <v>178</v>
      </c>
      <c r="K45" s="46" t="n">
        <v>4.5</v>
      </c>
      <c r="L45" s="47" t="n">
        <f aca="false">K45*J45</f>
        <v>801</v>
      </c>
    </row>
    <row r="46" customFormat="false" ht="13" hidden="true" customHeight="false" outlineLevel="1" collapsed="false">
      <c r="B46" s="41" t="n">
        <v>23301</v>
      </c>
      <c r="C46" s="41" t="s">
        <v>162</v>
      </c>
      <c r="D46" s="41" t="s">
        <v>163</v>
      </c>
      <c r="E46" s="41" t="s">
        <v>116</v>
      </c>
      <c r="F46" s="42" t="s">
        <v>117</v>
      </c>
      <c r="G46" s="41" t="s">
        <v>81</v>
      </c>
      <c r="H46" s="43" t="n">
        <v>41109</v>
      </c>
      <c r="I46" s="44" t="n">
        <f aca="false">VALUE(MONTH(H46))</f>
        <v>7</v>
      </c>
      <c r="J46" s="45" t="n">
        <v>108</v>
      </c>
      <c r="K46" s="46" t="n">
        <v>6.99</v>
      </c>
      <c r="L46" s="47" t="n">
        <f aca="false">K46*J46</f>
        <v>754.92</v>
      </c>
    </row>
    <row r="47" customFormat="false" ht="13" hidden="true" customHeight="false" outlineLevel="1" collapsed="false">
      <c r="B47" s="41" t="n">
        <v>23320</v>
      </c>
      <c r="C47" s="41" t="s">
        <v>164</v>
      </c>
      <c r="D47" s="41" t="s">
        <v>165</v>
      </c>
      <c r="E47" s="41" t="s">
        <v>134</v>
      </c>
      <c r="F47" s="42" t="s">
        <v>135</v>
      </c>
      <c r="G47" s="41" t="s">
        <v>78</v>
      </c>
      <c r="H47" s="43" t="n">
        <v>41075</v>
      </c>
      <c r="I47" s="44" t="n">
        <f aca="false">VALUE(MONTH(H47))</f>
        <v>6</v>
      </c>
      <c r="J47" s="45" t="n">
        <v>125</v>
      </c>
      <c r="K47" s="46" t="n">
        <v>6</v>
      </c>
      <c r="L47" s="47" t="n">
        <f aca="false">K47*J47</f>
        <v>750</v>
      </c>
    </row>
    <row r="48" customFormat="false" ht="13" hidden="true" customHeight="false" outlineLevel="1" collapsed="false">
      <c r="B48" s="41" t="n">
        <v>23365</v>
      </c>
      <c r="C48" s="41" t="s">
        <v>166</v>
      </c>
      <c r="D48" s="41" t="s">
        <v>167</v>
      </c>
      <c r="E48" s="41" t="s">
        <v>168</v>
      </c>
      <c r="F48" s="42" t="s">
        <v>169</v>
      </c>
      <c r="G48" s="41" t="s">
        <v>81</v>
      </c>
      <c r="H48" s="43" t="n">
        <v>41099</v>
      </c>
      <c r="I48" s="44" t="n">
        <f aca="false">VALUE(MONTH(H48))</f>
        <v>7</v>
      </c>
      <c r="J48" s="45" t="n">
        <v>165</v>
      </c>
      <c r="K48" s="46" t="n">
        <v>4.5</v>
      </c>
      <c r="L48" s="47" t="n">
        <f aca="false">K48*J48</f>
        <v>742.5</v>
      </c>
    </row>
    <row r="49" customFormat="false" ht="13" hidden="true" customHeight="false" outlineLevel="1" collapsed="false">
      <c r="B49" s="41" t="n">
        <v>23302</v>
      </c>
      <c r="C49" s="41" t="s">
        <v>170</v>
      </c>
      <c r="D49" s="41" t="s">
        <v>141</v>
      </c>
      <c r="E49" s="41" t="s">
        <v>171</v>
      </c>
      <c r="F49" s="42" t="s">
        <v>172</v>
      </c>
      <c r="G49" s="41" t="s">
        <v>75</v>
      </c>
      <c r="H49" s="43" t="n">
        <v>41117</v>
      </c>
      <c r="I49" s="44" t="n">
        <f aca="false">VALUE(MONTH(H49))</f>
        <v>7</v>
      </c>
      <c r="J49" s="45" t="n">
        <v>105</v>
      </c>
      <c r="K49" s="46" t="n">
        <v>6.5</v>
      </c>
      <c r="L49" s="47" t="n">
        <f aca="false">K49*J49</f>
        <v>682.5</v>
      </c>
    </row>
    <row r="50" customFormat="false" ht="13" hidden="true" customHeight="false" outlineLevel="1" collapsed="false">
      <c r="B50" s="41" t="n">
        <v>23266</v>
      </c>
      <c r="C50" s="41" t="s">
        <v>173</v>
      </c>
      <c r="D50" s="41" t="s">
        <v>174</v>
      </c>
      <c r="E50" s="41" t="s">
        <v>158</v>
      </c>
      <c r="F50" s="42" t="s">
        <v>159</v>
      </c>
      <c r="G50" s="41" t="s">
        <v>75</v>
      </c>
      <c r="H50" s="43" t="n">
        <v>41132</v>
      </c>
      <c r="I50" s="44" t="n">
        <f aca="false">VALUE(MONTH(H50))</f>
        <v>8</v>
      </c>
      <c r="J50" s="45" t="n">
        <v>170</v>
      </c>
      <c r="K50" s="46" t="n">
        <v>3.99</v>
      </c>
      <c r="L50" s="47" t="n">
        <f aca="false">K50*J50</f>
        <v>678.3</v>
      </c>
    </row>
    <row r="51" customFormat="false" ht="13" hidden="true" customHeight="false" outlineLevel="1" collapsed="false">
      <c r="B51" s="41" t="n">
        <v>23307</v>
      </c>
      <c r="C51" s="41" t="s">
        <v>175</v>
      </c>
      <c r="D51" s="41" t="s">
        <v>176</v>
      </c>
      <c r="E51" s="41" t="s">
        <v>134</v>
      </c>
      <c r="F51" s="42" t="s">
        <v>135</v>
      </c>
      <c r="G51" s="41" t="s">
        <v>81</v>
      </c>
      <c r="H51" s="43" t="n">
        <v>41094</v>
      </c>
      <c r="I51" s="44" t="n">
        <f aca="false">VALUE(MONTH(H51))</f>
        <v>7</v>
      </c>
      <c r="J51" s="45" t="n">
        <v>113</v>
      </c>
      <c r="K51" s="46" t="n">
        <v>6</v>
      </c>
      <c r="L51" s="47" t="n">
        <f aca="false">K51*J51</f>
        <v>678</v>
      </c>
    </row>
    <row r="52" customFormat="false" ht="13" hidden="true" customHeight="false" outlineLevel="1" collapsed="false">
      <c r="B52" s="41" t="n">
        <v>23368</v>
      </c>
      <c r="C52" s="41" t="s">
        <v>177</v>
      </c>
      <c r="D52" s="41" t="s">
        <v>178</v>
      </c>
      <c r="E52" s="41" t="s">
        <v>168</v>
      </c>
      <c r="F52" s="42" t="s">
        <v>169</v>
      </c>
      <c r="G52" s="41" t="s">
        <v>81</v>
      </c>
      <c r="H52" s="43" t="n">
        <v>41146</v>
      </c>
      <c r="I52" s="44" t="n">
        <f aca="false">VALUE(MONTH(H52))</f>
        <v>8</v>
      </c>
      <c r="J52" s="45" t="n">
        <v>150</v>
      </c>
      <c r="K52" s="46" t="n">
        <v>4.5</v>
      </c>
      <c r="L52" s="47" t="n">
        <f aca="false">K52*J52</f>
        <v>675</v>
      </c>
    </row>
    <row r="53" customFormat="false" ht="13" hidden="true" customHeight="false" outlineLevel="1" collapsed="false">
      <c r="B53" s="41" t="n">
        <v>23286</v>
      </c>
      <c r="C53" s="41" t="s">
        <v>179</v>
      </c>
      <c r="D53" s="41" t="s">
        <v>180</v>
      </c>
      <c r="E53" s="41" t="s">
        <v>96</v>
      </c>
      <c r="F53" s="42" t="s">
        <v>97</v>
      </c>
      <c r="G53" s="41" t="s">
        <v>75</v>
      </c>
      <c r="H53" s="43" t="n">
        <v>41129</v>
      </c>
      <c r="I53" s="44" t="n">
        <f aca="false">VALUE(MONTH(H53))</f>
        <v>8</v>
      </c>
      <c r="J53" s="45" t="n">
        <v>69</v>
      </c>
      <c r="K53" s="46" t="n">
        <v>9</v>
      </c>
      <c r="L53" s="47" t="n">
        <f aca="false">K53*J53</f>
        <v>621</v>
      </c>
    </row>
    <row r="54" customFormat="false" ht="13" hidden="true" customHeight="false" outlineLevel="1" collapsed="false">
      <c r="B54" s="41" t="n">
        <v>23373</v>
      </c>
      <c r="C54" s="41" t="s">
        <v>181</v>
      </c>
      <c r="D54" s="41" t="s">
        <v>182</v>
      </c>
      <c r="E54" s="41" t="s">
        <v>130</v>
      </c>
      <c r="F54" s="42" t="s">
        <v>131</v>
      </c>
      <c r="G54" s="41" t="s">
        <v>75</v>
      </c>
      <c r="H54" s="43" t="n">
        <v>41114</v>
      </c>
      <c r="I54" s="44" t="n">
        <f aca="false">VALUE(MONTH(H54))</f>
        <v>7</v>
      </c>
      <c r="J54" s="45" t="n">
        <v>95</v>
      </c>
      <c r="K54" s="46" t="n">
        <v>6.5</v>
      </c>
      <c r="L54" s="47" t="n">
        <f aca="false">K54*J54</f>
        <v>617.5</v>
      </c>
    </row>
    <row r="55" customFormat="false" ht="13" hidden="true" customHeight="false" outlineLevel="1" collapsed="false">
      <c r="B55" s="41" t="n">
        <v>23380</v>
      </c>
      <c r="C55" s="41" t="s">
        <v>183</v>
      </c>
      <c r="D55" s="41" t="s">
        <v>184</v>
      </c>
      <c r="E55" s="41" t="s">
        <v>171</v>
      </c>
      <c r="F55" s="42" t="s">
        <v>172</v>
      </c>
      <c r="G55" s="41" t="s">
        <v>81</v>
      </c>
      <c r="H55" s="43" t="n">
        <v>41112</v>
      </c>
      <c r="I55" s="44" t="n">
        <f aca="false">VALUE(MONTH(H55))</f>
        <v>7</v>
      </c>
      <c r="J55" s="45" t="n">
        <v>95</v>
      </c>
      <c r="K55" s="46" t="n">
        <v>6.5</v>
      </c>
      <c r="L55" s="47" t="n">
        <f aca="false">K55*J55</f>
        <v>617.5</v>
      </c>
    </row>
    <row r="56" customFormat="false" ht="13" hidden="true" customHeight="false" outlineLevel="1" collapsed="false">
      <c r="B56" s="41" t="n">
        <v>23284</v>
      </c>
      <c r="C56" s="41" t="s">
        <v>185</v>
      </c>
      <c r="D56" s="41" t="s">
        <v>186</v>
      </c>
      <c r="E56" s="41" t="s">
        <v>144</v>
      </c>
      <c r="F56" s="42" t="s">
        <v>145</v>
      </c>
      <c r="G56" s="41" t="s">
        <v>81</v>
      </c>
      <c r="H56" s="43" t="n">
        <v>41077</v>
      </c>
      <c r="I56" s="44" t="n">
        <f aca="false">VALUE(MONTH(H56))</f>
        <v>6</v>
      </c>
      <c r="J56" s="45" t="n">
        <v>135</v>
      </c>
      <c r="K56" s="46" t="n">
        <v>4.5</v>
      </c>
      <c r="L56" s="47" t="n">
        <f aca="false">K56*J56</f>
        <v>607.5</v>
      </c>
    </row>
    <row r="57" customFormat="false" ht="13" hidden="true" customHeight="false" outlineLevel="1" collapsed="false">
      <c r="B57" s="41" t="n">
        <v>23306</v>
      </c>
      <c r="C57" s="41" t="s">
        <v>187</v>
      </c>
      <c r="D57" s="41" t="s">
        <v>188</v>
      </c>
      <c r="E57" s="41" t="s">
        <v>130</v>
      </c>
      <c r="F57" s="42" t="s">
        <v>131</v>
      </c>
      <c r="G57" s="41" t="s">
        <v>75</v>
      </c>
      <c r="H57" s="43" t="n">
        <v>41068</v>
      </c>
      <c r="I57" s="44" t="n">
        <f aca="false">VALUE(MONTH(H57))</f>
        <v>6</v>
      </c>
      <c r="J57" s="45" t="n">
        <v>93</v>
      </c>
      <c r="K57" s="46" t="n">
        <v>6.5</v>
      </c>
      <c r="L57" s="47" t="n">
        <f aca="false">K57*J57</f>
        <v>604.5</v>
      </c>
    </row>
    <row r="58" customFormat="false" ht="13" hidden="true" customHeight="false" outlineLevel="1" collapsed="false">
      <c r="B58" s="41" t="n">
        <v>23281</v>
      </c>
      <c r="C58" s="41" t="s">
        <v>189</v>
      </c>
      <c r="D58" s="41" t="s">
        <v>190</v>
      </c>
      <c r="E58" s="41" t="s">
        <v>168</v>
      </c>
      <c r="F58" s="42" t="s">
        <v>169</v>
      </c>
      <c r="G58" s="41" t="s">
        <v>81</v>
      </c>
      <c r="H58" s="43" t="n">
        <v>41103</v>
      </c>
      <c r="I58" s="44" t="n">
        <f aca="false">VALUE(MONTH(H58))</f>
        <v>7</v>
      </c>
      <c r="J58" s="45" t="n">
        <v>134</v>
      </c>
      <c r="K58" s="46" t="n">
        <v>4.5</v>
      </c>
      <c r="L58" s="47" t="n">
        <f aca="false">K58*J58</f>
        <v>603</v>
      </c>
    </row>
    <row r="59" customFormat="false" ht="13" hidden="true" customHeight="false" outlineLevel="1" collapsed="false">
      <c r="B59" s="41" t="n">
        <v>23351</v>
      </c>
      <c r="C59" s="41" t="s">
        <v>191</v>
      </c>
      <c r="D59" s="41" t="s">
        <v>192</v>
      </c>
      <c r="E59" s="41" t="s">
        <v>158</v>
      </c>
      <c r="F59" s="42" t="s">
        <v>159</v>
      </c>
      <c r="G59" s="41" t="s">
        <v>75</v>
      </c>
      <c r="H59" s="43" t="n">
        <v>41124</v>
      </c>
      <c r="I59" s="44" t="n">
        <f aca="false">VALUE(MONTH(H59))</f>
        <v>8</v>
      </c>
      <c r="J59" s="45" t="n">
        <v>151</v>
      </c>
      <c r="K59" s="46" t="n">
        <v>3.99</v>
      </c>
      <c r="L59" s="47" t="n">
        <f aca="false">K59*J59</f>
        <v>602.49</v>
      </c>
    </row>
    <row r="60" customFormat="false" ht="13" hidden="true" customHeight="false" outlineLevel="1" collapsed="false">
      <c r="B60" s="41" t="n">
        <v>23282</v>
      </c>
      <c r="C60" s="41" t="s">
        <v>193</v>
      </c>
      <c r="D60" s="41" t="s">
        <v>194</v>
      </c>
      <c r="E60" s="41" t="s">
        <v>134</v>
      </c>
      <c r="F60" s="42" t="s">
        <v>135</v>
      </c>
      <c r="G60" s="41" t="s">
        <v>81</v>
      </c>
      <c r="H60" s="43" t="n">
        <v>41142</v>
      </c>
      <c r="I60" s="44" t="n">
        <f aca="false">VALUE(MONTH(H60))</f>
        <v>8</v>
      </c>
      <c r="J60" s="45" t="n">
        <v>100</v>
      </c>
      <c r="K60" s="46" t="n">
        <v>6</v>
      </c>
      <c r="L60" s="47" t="n">
        <f aca="false">K60*J60</f>
        <v>600</v>
      </c>
    </row>
    <row r="61" customFormat="false" ht="13" hidden="true" customHeight="false" outlineLevel="1" collapsed="false">
      <c r="B61" s="41" t="n">
        <v>23376</v>
      </c>
      <c r="C61" s="41" t="s">
        <v>195</v>
      </c>
      <c r="D61" s="41" t="s">
        <v>196</v>
      </c>
      <c r="E61" s="41" t="s">
        <v>116</v>
      </c>
      <c r="F61" s="42" t="s">
        <v>117</v>
      </c>
      <c r="G61" s="41" t="s">
        <v>78</v>
      </c>
      <c r="H61" s="43" t="n">
        <v>41113</v>
      </c>
      <c r="I61" s="44" t="n">
        <f aca="false">VALUE(MONTH(H61))</f>
        <v>7</v>
      </c>
      <c r="J61" s="45" t="n">
        <v>85</v>
      </c>
      <c r="K61" s="46" t="n">
        <v>6.99</v>
      </c>
      <c r="L61" s="47" t="n">
        <f aca="false">K61*J61</f>
        <v>594.15</v>
      </c>
    </row>
    <row r="62" customFormat="false" ht="13" hidden="true" customHeight="false" outlineLevel="1" collapsed="false">
      <c r="B62" s="41" t="n">
        <v>23354</v>
      </c>
      <c r="C62" s="41" t="s">
        <v>197</v>
      </c>
      <c r="D62" s="41" t="s">
        <v>198</v>
      </c>
      <c r="E62" s="41" t="s">
        <v>116</v>
      </c>
      <c r="F62" s="42" t="s">
        <v>117</v>
      </c>
      <c r="G62" s="41" t="s">
        <v>75</v>
      </c>
      <c r="H62" s="43" t="n">
        <v>41124</v>
      </c>
      <c r="I62" s="44" t="n">
        <f aca="false">VALUE(MONTH(H62))</f>
        <v>8</v>
      </c>
      <c r="J62" s="45" t="n">
        <v>84</v>
      </c>
      <c r="K62" s="46" t="n">
        <v>6.99</v>
      </c>
      <c r="L62" s="47" t="n">
        <f aca="false">K62*J62</f>
        <v>587.16</v>
      </c>
    </row>
    <row r="63" customFormat="false" ht="13" hidden="true" customHeight="false" outlineLevel="1" collapsed="false">
      <c r="B63" s="41" t="n">
        <v>23337</v>
      </c>
      <c r="C63" s="41" t="s">
        <v>199</v>
      </c>
      <c r="D63" s="41" t="s">
        <v>200</v>
      </c>
      <c r="E63" s="41" t="s">
        <v>116</v>
      </c>
      <c r="F63" s="42" t="s">
        <v>117</v>
      </c>
      <c r="G63" s="41" t="s">
        <v>81</v>
      </c>
      <c r="H63" s="43" t="n">
        <v>41097</v>
      </c>
      <c r="I63" s="44" t="n">
        <f aca="false">VALUE(MONTH(H63))</f>
        <v>7</v>
      </c>
      <c r="J63" s="45" t="n">
        <v>82</v>
      </c>
      <c r="K63" s="46" t="n">
        <v>6.99</v>
      </c>
      <c r="L63" s="47" t="n">
        <f aca="false">K63*J63</f>
        <v>573.18</v>
      </c>
    </row>
    <row r="64" customFormat="false" ht="13" hidden="true" customHeight="false" outlineLevel="1" collapsed="false">
      <c r="B64" s="41" t="n">
        <v>23326</v>
      </c>
      <c r="C64" s="41" t="s">
        <v>201</v>
      </c>
      <c r="D64" s="41" t="s">
        <v>202</v>
      </c>
      <c r="E64" s="41" t="s">
        <v>168</v>
      </c>
      <c r="F64" s="42" t="s">
        <v>169</v>
      </c>
      <c r="G64" s="41" t="s">
        <v>81</v>
      </c>
      <c r="H64" s="43" t="n">
        <v>41142</v>
      </c>
      <c r="I64" s="44" t="n">
        <f aca="false">VALUE(MONTH(H64))</f>
        <v>8</v>
      </c>
      <c r="J64" s="45" t="n">
        <v>126</v>
      </c>
      <c r="K64" s="46" t="n">
        <v>4.5</v>
      </c>
      <c r="L64" s="47" t="n">
        <f aca="false">K64*J64</f>
        <v>567</v>
      </c>
    </row>
    <row r="65" customFormat="false" ht="13" hidden="true" customHeight="false" outlineLevel="1" collapsed="false">
      <c r="B65" s="41" t="n">
        <v>23316</v>
      </c>
      <c r="C65" s="41" t="s">
        <v>203</v>
      </c>
      <c r="D65" s="41" t="s">
        <v>204</v>
      </c>
      <c r="E65" s="41" t="s">
        <v>158</v>
      </c>
      <c r="F65" s="42" t="s">
        <v>159</v>
      </c>
      <c r="G65" s="41" t="s">
        <v>81</v>
      </c>
      <c r="H65" s="43" t="n">
        <v>41061</v>
      </c>
      <c r="I65" s="44" t="n">
        <f aca="false">VALUE(MONTH(H65))</f>
        <v>6</v>
      </c>
      <c r="J65" s="45" t="n">
        <v>137</v>
      </c>
      <c r="K65" s="46" t="n">
        <v>3.99</v>
      </c>
      <c r="L65" s="47" t="n">
        <f aca="false">K65*J65</f>
        <v>546.63</v>
      </c>
    </row>
    <row r="66" customFormat="false" ht="13" hidden="true" customHeight="false" outlineLevel="1" collapsed="false">
      <c r="B66" s="41" t="n">
        <v>23362</v>
      </c>
      <c r="C66" s="41" t="s">
        <v>205</v>
      </c>
      <c r="D66" s="41" t="s">
        <v>206</v>
      </c>
      <c r="E66" s="41" t="s">
        <v>207</v>
      </c>
      <c r="F66" s="42" t="s">
        <v>208</v>
      </c>
      <c r="G66" s="41" t="s">
        <v>75</v>
      </c>
      <c r="H66" s="43" t="n">
        <v>41139</v>
      </c>
      <c r="I66" s="44" t="n">
        <f aca="false">VALUE(MONTH(H66))</f>
        <v>8</v>
      </c>
      <c r="J66" s="45" t="n">
        <v>179</v>
      </c>
      <c r="K66" s="46" t="n">
        <v>3</v>
      </c>
      <c r="L66" s="47" t="n">
        <f aca="false">K66*J66</f>
        <v>537</v>
      </c>
    </row>
    <row r="67" customFormat="false" ht="13" hidden="true" customHeight="false" outlineLevel="1" collapsed="false">
      <c r="B67" s="41" t="n">
        <v>23296</v>
      </c>
      <c r="C67" s="41" t="s">
        <v>209</v>
      </c>
      <c r="D67" s="41" t="s">
        <v>210</v>
      </c>
      <c r="E67" s="41" t="s">
        <v>73</v>
      </c>
      <c r="F67" s="42" t="s">
        <v>74</v>
      </c>
      <c r="G67" s="41" t="s">
        <v>81</v>
      </c>
      <c r="H67" s="43" t="n">
        <v>41068</v>
      </c>
      <c r="I67" s="44" t="n">
        <f aca="false">VALUE(MONTH(H67))</f>
        <v>6</v>
      </c>
      <c r="J67" s="45" t="n">
        <v>37</v>
      </c>
      <c r="K67" s="46" t="n">
        <v>14.5</v>
      </c>
      <c r="L67" s="47" t="n">
        <f aca="false">K67*J67</f>
        <v>536.5</v>
      </c>
    </row>
    <row r="68" customFormat="false" ht="13" hidden="true" customHeight="false" outlineLevel="1" collapsed="false">
      <c r="B68" s="41" t="n">
        <v>23352</v>
      </c>
      <c r="C68" s="41" t="s">
        <v>211</v>
      </c>
      <c r="D68" s="41" t="s">
        <v>212</v>
      </c>
      <c r="E68" s="41" t="s">
        <v>134</v>
      </c>
      <c r="F68" s="42" t="s">
        <v>135</v>
      </c>
      <c r="G68" s="41" t="s">
        <v>75</v>
      </c>
      <c r="H68" s="43" t="n">
        <v>41097</v>
      </c>
      <c r="I68" s="44" t="n">
        <f aca="false">VALUE(MONTH(H68))</f>
        <v>7</v>
      </c>
      <c r="J68" s="45" t="n">
        <v>89</v>
      </c>
      <c r="K68" s="46" t="n">
        <v>6</v>
      </c>
      <c r="L68" s="47" t="n">
        <f aca="false">K68*J68</f>
        <v>534</v>
      </c>
    </row>
    <row r="69" customFormat="false" ht="13" hidden="true" customHeight="false" outlineLevel="1" collapsed="false">
      <c r="B69" s="41" t="n">
        <v>23304</v>
      </c>
      <c r="C69" s="41" t="s">
        <v>213</v>
      </c>
      <c r="D69" s="41" t="s">
        <v>214</v>
      </c>
      <c r="E69" s="41" t="s">
        <v>158</v>
      </c>
      <c r="F69" s="42" t="s">
        <v>159</v>
      </c>
      <c r="G69" s="41" t="s">
        <v>81</v>
      </c>
      <c r="H69" s="43" t="n">
        <v>41061</v>
      </c>
      <c r="I69" s="44" t="n">
        <f aca="false">VALUE(MONTH(H69))</f>
        <v>6</v>
      </c>
      <c r="J69" s="45" t="n">
        <v>131</v>
      </c>
      <c r="K69" s="46" t="n">
        <v>3.99</v>
      </c>
      <c r="L69" s="47" t="n">
        <f aca="false">K69*J69</f>
        <v>522.69</v>
      </c>
    </row>
    <row r="70" customFormat="false" ht="13" hidden="true" customHeight="false" outlineLevel="1" collapsed="false">
      <c r="B70" s="41" t="n">
        <v>23369</v>
      </c>
      <c r="C70" s="41" t="s">
        <v>215</v>
      </c>
      <c r="D70" s="41" t="s">
        <v>216</v>
      </c>
      <c r="E70" s="41" t="s">
        <v>171</v>
      </c>
      <c r="F70" s="42" t="s">
        <v>172</v>
      </c>
      <c r="G70" s="41" t="s">
        <v>81</v>
      </c>
      <c r="H70" s="43" t="n">
        <v>41092</v>
      </c>
      <c r="I70" s="44" t="n">
        <f aca="false">VALUE(MONTH(H70))</f>
        <v>7</v>
      </c>
      <c r="J70" s="45" t="n">
        <v>77</v>
      </c>
      <c r="K70" s="46" t="n">
        <v>6.5</v>
      </c>
      <c r="L70" s="47" t="n">
        <f aca="false">K70*J70</f>
        <v>500.5</v>
      </c>
    </row>
    <row r="71" customFormat="false" ht="13" hidden="true" customHeight="false" outlineLevel="1" collapsed="false">
      <c r="B71" s="41" t="n">
        <v>23268</v>
      </c>
      <c r="C71" s="41" t="s">
        <v>217</v>
      </c>
      <c r="D71" s="41" t="s">
        <v>218</v>
      </c>
      <c r="E71" s="41" t="s">
        <v>134</v>
      </c>
      <c r="F71" s="42" t="s">
        <v>135</v>
      </c>
      <c r="G71" s="41" t="s">
        <v>75</v>
      </c>
      <c r="H71" s="43" t="n">
        <v>41102</v>
      </c>
      <c r="I71" s="44" t="n">
        <f aca="false">VALUE(MONTH(H71))</f>
        <v>7</v>
      </c>
      <c r="J71" s="45" t="n">
        <v>82</v>
      </c>
      <c r="K71" s="46" t="n">
        <v>6</v>
      </c>
      <c r="L71" s="47" t="n">
        <f aca="false">K71*J71</f>
        <v>492</v>
      </c>
    </row>
    <row r="72" customFormat="false" ht="13" hidden="true" customHeight="false" outlineLevel="1" collapsed="false">
      <c r="B72" s="41" t="n">
        <v>23315</v>
      </c>
      <c r="C72" s="41" t="s">
        <v>219</v>
      </c>
      <c r="D72" s="41" t="s">
        <v>91</v>
      </c>
      <c r="E72" s="41" t="s">
        <v>144</v>
      </c>
      <c r="F72" s="42" t="s">
        <v>145</v>
      </c>
      <c r="G72" s="41" t="s">
        <v>81</v>
      </c>
      <c r="H72" s="43" t="n">
        <v>41102</v>
      </c>
      <c r="I72" s="44" t="n">
        <f aca="false">VALUE(MONTH(H72))</f>
        <v>7</v>
      </c>
      <c r="J72" s="45" t="n">
        <v>109</v>
      </c>
      <c r="K72" s="46" t="n">
        <v>4.5</v>
      </c>
      <c r="L72" s="47" t="n">
        <f aca="false">K72*J72</f>
        <v>490.5</v>
      </c>
    </row>
    <row r="73" customFormat="false" ht="13" hidden="true" customHeight="false" outlineLevel="1" collapsed="false">
      <c r="B73" s="41" t="n">
        <v>23342</v>
      </c>
      <c r="C73" s="41" t="s">
        <v>220</v>
      </c>
      <c r="D73" s="41" t="s">
        <v>221</v>
      </c>
      <c r="E73" s="41" t="s">
        <v>158</v>
      </c>
      <c r="F73" s="42" t="s">
        <v>159</v>
      </c>
      <c r="G73" s="41" t="s">
        <v>75</v>
      </c>
      <c r="H73" s="43" t="n">
        <v>41088</v>
      </c>
      <c r="I73" s="44" t="n">
        <f aca="false">VALUE(MONTH(H73))</f>
        <v>6</v>
      </c>
      <c r="J73" s="45" t="n">
        <v>122</v>
      </c>
      <c r="K73" s="46" t="n">
        <v>3.99</v>
      </c>
      <c r="L73" s="47" t="n">
        <f aca="false">K73*J73</f>
        <v>486.78</v>
      </c>
    </row>
    <row r="74" customFormat="false" ht="13" hidden="true" customHeight="false" outlineLevel="1" collapsed="false">
      <c r="B74" s="41" t="n">
        <v>23333</v>
      </c>
      <c r="C74" s="41" t="s">
        <v>222</v>
      </c>
      <c r="D74" s="41" t="s">
        <v>149</v>
      </c>
      <c r="E74" s="41" t="s">
        <v>144</v>
      </c>
      <c r="F74" s="42" t="s">
        <v>145</v>
      </c>
      <c r="G74" s="41" t="s">
        <v>75</v>
      </c>
      <c r="H74" s="43" t="n">
        <v>41126</v>
      </c>
      <c r="I74" s="44" t="n">
        <f aca="false">VALUE(MONTH(H74))</f>
        <v>8</v>
      </c>
      <c r="J74" s="45" t="n">
        <v>106</v>
      </c>
      <c r="K74" s="46" t="n">
        <v>4.5</v>
      </c>
      <c r="L74" s="47" t="n">
        <f aca="false">K74*J74</f>
        <v>477</v>
      </c>
    </row>
    <row r="75" customFormat="false" ht="13" hidden="true" customHeight="false" outlineLevel="1" collapsed="false">
      <c r="B75" s="41" t="n">
        <v>23263</v>
      </c>
      <c r="C75" s="41" t="s">
        <v>223</v>
      </c>
      <c r="D75" s="41" t="s">
        <v>141</v>
      </c>
      <c r="E75" s="41" t="s">
        <v>130</v>
      </c>
      <c r="F75" s="42" t="s">
        <v>131</v>
      </c>
      <c r="G75" s="41" t="s">
        <v>75</v>
      </c>
      <c r="H75" s="43" t="n">
        <v>41096</v>
      </c>
      <c r="I75" s="44" t="n">
        <f aca="false">VALUE(MONTH(H75))</f>
        <v>7</v>
      </c>
      <c r="J75" s="45" t="n">
        <v>73</v>
      </c>
      <c r="K75" s="46" t="n">
        <v>6.5</v>
      </c>
      <c r="L75" s="47" t="n">
        <f aca="false">K75*J75</f>
        <v>474.5</v>
      </c>
    </row>
    <row r="76" customFormat="false" ht="13" hidden="true" customHeight="false" outlineLevel="1" collapsed="false">
      <c r="B76" s="41" t="n">
        <v>23270</v>
      </c>
      <c r="C76" s="41" t="s">
        <v>224</v>
      </c>
      <c r="D76" s="41" t="s">
        <v>225</v>
      </c>
      <c r="E76" s="41" t="s">
        <v>116</v>
      </c>
      <c r="F76" s="42" t="s">
        <v>117</v>
      </c>
      <c r="G76" s="41" t="s">
        <v>81</v>
      </c>
      <c r="H76" s="43" t="n">
        <v>41067</v>
      </c>
      <c r="I76" s="44" t="n">
        <f aca="false">VALUE(MONTH(H76))</f>
        <v>6</v>
      </c>
      <c r="J76" s="45" t="n">
        <v>67</v>
      </c>
      <c r="K76" s="46" t="n">
        <v>6.99</v>
      </c>
      <c r="L76" s="47" t="n">
        <f aca="false">K76*J76</f>
        <v>468.33</v>
      </c>
    </row>
    <row r="77" customFormat="false" ht="13" hidden="true" customHeight="false" outlineLevel="1" collapsed="false">
      <c r="B77" s="41" t="n">
        <v>23272</v>
      </c>
      <c r="C77" s="41" t="s">
        <v>226</v>
      </c>
      <c r="D77" s="41" t="s">
        <v>227</v>
      </c>
      <c r="E77" s="41" t="s">
        <v>130</v>
      </c>
      <c r="F77" s="42" t="s">
        <v>131</v>
      </c>
      <c r="G77" s="41" t="s">
        <v>78</v>
      </c>
      <c r="H77" s="43" t="n">
        <v>41121</v>
      </c>
      <c r="I77" s="44" t="n">
        <f aca="false">VALUE(MONTH(H77))</f>
        <v>7</v>
      </c>
      <c r="J77" s="45" t="n">
        <v>71</v>
      </c>
      <c r="K77" s="46" t="n">
        <v>6.5</v>
      </c>
      <c r="L77" s="47" t="n">
        <f aca="false">K77*J77</f>
        <v>461.5</v>
      </c>
    </row>
    <row r="78" customFormat="false" ht="13" hidden="true" customHeight="false" outlineLevel="1" collapsed="false">
      <c r="B78" s="41" t="n">
        <v>23274</v>
      </c>
      <c r="C78" s="41" t="s">
        <v>228</v>
      </c>
      <c r="D78" s="41" t="s">
        <v>229</v>
      </c>
      <c r="E78" s="41" t="s">
        <v>207</v>
      </c>
      <c r="F78" s="42" t="s">
        <v>208</v>
      </c>
      <c r="G78" s="41" t="s">
        <v>81</v>
      </c>
      <c r="H78" s="43" t="n">
        <v>41143</v>
      </c>
      <c r="I78" s="44" t="n">
        <f aca="false">VALUE(MONTH(H78))</f>
        <v>8</v>
      </c>
      <c r="J78" s="45" t="n">
        <v>153</v>
      </c>
      <c r="K78" s="46" t="n">
        <v>3</v>
      </c>
      <c r="L78" s="47" t="n">
        <f aca="false">K78*J78</f>
        <v>459</v>
      </c>
    </row>
    <row r="79" customFormat="false" ht="13" hidden="true" customHeight="false" outlineLevel="1" collapsed="false">
      <c r="B79" s="41" t="n">
        <v>23364</v>
      </c>
      <c r="C79" s="41" t="s">
        <v>230</v>
      </c>
      <c r="D79" s="41" t="s">
        <v>231</v>
      </c>
      <c r="E79" s="41" t="s">
        <v>96</v>
      </c>
      <c r="F79" s="42" t="s">
        <v>97</v>
      </c>
      <c r="G79" s="41" t="s">
        <v>75</v>
      </c>
      <c r="H79" s="43" t="n">
        <v>41093</v>
      </c>
      <c r="I79" s="44" t="n">
        <f aca="false">VALUE(MONTH(H79))</f>
        <v>7</v>
      </c>
      <c r="J79" s="45" t="n">
        <v>47</v>
      </c>
      <c r="K79" s="46" t="n">
        <v>9</v>
      </c>
      <c r="L79" s="47" t="n">
        <f aca="false">K79*J79</f>
        <v>423</v>
      </c>
    </row>
    <row r="80" customFormat="false" ht="13" hidden="true" customHeight="false" outlineLevel="1" collapsed="false">
      <c r="B80" s="41" t="n">
        <v>23276</v>
      </c>
      <c r="C80" s="41" t="s">
        <v>232</v>
      </c>
      <c r="D80" s="41" t="s">
        <v>233</v>
      </c>
      <c r="E80" s="41" t="s">
        <v>171</v>
      </c>
      <c r="F80" s="42" t="s">
        <v>172</v>
      </c>
      <c r="G80" s="41" t="s">
        <v>75</v>
      </c>
      <c r="H80" s="43" t="n">
        <v>41122</v>
      </c>
      <c r="I80" s="44" t="n">
        <f aca="false">VALUE(MONTH(H80))</f>
        <v>8</v>
      </c>
      <c r="J80" s="45" t="n">
        <v>65</v>
      </c>
      <c r="K80" s="46" t="n">
        <v>6.5</v>
      </c>
      <c r="L80" s="47" t="n">
        <f aca="false">K80*J80</f>
        <v>422.5</v>
      </c>
    </row>
    <row r="81" customFormat="false" ht="13" hidden="true" customHeight="false" outlineLevel="1" collapsed="false">
      <c r="B81" s="41" t="n">
        <v>23343</v>
      </c>
      <c r="C81" s="41" t="s">
        <v>234</v>
      </c>
      <c r="D81" s="41" t="s">
        <v>182</v>
      </c>
      <c r="E81" s="41" t="s">
        <v>92</v>
      </c>
      <c r="F81" s="42" t="s">
        <v>93</v>
      </c>
      <c r="G81" s="41" t="s">
        <v>75</v>
      </c>
      <c r="H81" s="43" t="n">
        <v>41144</v>
      </c>
      <c r="I81" s="44" t="n">
        <f aca="false">VALUE(MONTH(H81))</f>
        <v>8</v>
      </c>
      <c r="J81" s="45" t="n">
        <v>42</v>
      </c>
      <c r="K81" s="46" t="n">
        <v>9.99</v>
      </c>
      <c r="L81" s="47" t="n">
        <f aca="false">K81*J81</f>
        <v>419.58</v>
      </c>
    </row>
    <row r="82" customFormat="false" ht="13" hidden="true" customHeight="false" outlineLevel="1" collapsed="false">
      <c r="B82" s="41" t="n">
        <v>23344</v>
      </c>
      <c r="C82" s="41" t="s">
        <v>235</v>
      </c>
      <c r="D82" s="41" t="s">
        <v>236</v>
      </c>
      <c r="E82" s="41" t="s">
        <v>130</v>
      </c>
      <c r="F82" s="42" t="s">
        <v>131</v>
      </c>
      <c r="G82" s="41" t="s">
        <v>75</v>
      </c>
      <c r="H82" s="43" t="n">
        <v>41265</v>
      </c>
      <c r="I82" s="44" t="n">
        <f aca="false">VALUE(MONTH(H82))</f>
        <v>12</v>
      </c>
      <c r="J82" s="45" t="n">
        <v>64</v>
      </c>
      <c r="K82" s="46" t="n">
        <v>6.5</v>
      </c>
      <c r="L82" s="47" t="n">
        <f aca="false">K82*J82</f>
        <v>416</v>
      </c>
    </row>
    <row r="83" customFormat="false" ht="13" hidden="true" customHeight="false" outlineLevel="1" collapsed="false">
      <c r="B83" s="41" t="n">
        <v>23299</v>
      </c>
      <c r="C83" s="41" t="s">
        <v>237</v>
      </c>
      <c r="D83" s="41" t="s">
        <v>196</v>
      </c>
      <c r="E83" s="41" t="s">
        <v>158</v>
      </c>
      <c r="F83" s="42" t="s">
        <v>159</v>
      </c>
      <c r="G83" s="41" t="s">
        <v>81</v>
      </c>
      <c r="H83" s="43" t="n">
        <v>41087</v>
      </c>
      <c r="I83" s="44" t="n">
        <f aca="false">VALUE(MONTH(H83))</f>
        <v>6</v>
      </c>
      <c r="J83" s="45" t="n">
        <v>104</v>
      </c>
      <c r="K83" s="46" t="n">
        <v>3.99</v>
      </c>
      <c r="L83" s="47" t="n">
        <f aca="false">K83*J83</f>
        <v>414.96</v>
      </c>
    </row>
    <row r="84" customFormat="false" ht="13" hidden="true" customHeight="false" outlineLevel="1" collapsed="false">
      <c r="B84" s="41" t="n">
        <v>23310</v>
      </c>
      <c r="C84" s="41" t="s">
        <v>238</v>
      </c>
      <c r="D84" s="41" t="s">
        <v>83</v>
      </c>
      <c r="E84" s="41" t="s">
        <v>92</v>
      </c>
      <c r="F84" s="42" t="s">
        <v>93</v>
      </c>
      <c r="G84" s="41" t="s">
        <v>75</v>
      </c>
      <c r="H84" s="43" t="n">
        <v>41077</v>
      </c>
      <c r="I84" s="44" t="n">
        <f aca="false">VALUE(MONTH(H84))</f>
        <v>6</v>
      </c>
      <c r="J84" s="45" t="n">
        <v>41</v>
      </c>
      <c r="K84" s="46" t="n">
        <v>9.99</v>
      </c>
      <c r="L84" s="47" t="n">
        <f aca="false">K84*J84</f>
        <v>409.59</v>
      </c>
    </row>
    <row r="85" customFormat="false" ht="13" hidden="true" customHeight="false" outlineLevel="1" collapsed="false">
      <c r="B85" s="41" t="n">
        <v>23358</v>
      </c>
      <c r="C85" s="41" t="s">
        <v>239</v>
      </c>
      <c r="D85" s="41" t="s">
        <v>240</v>
      </c>
      <c r="E85" s="41" t="s">
        <v>92</v>
      </c>
      <c r="F85" s="42" t="s">
        <v>93</v>
      </c>
      <c r="G85" s="41" t="s">
        <v>81</v>
      </c>
      <c r="H85" s="43" t="n">
        <v>41071</v>
      </c>
      <c r="I85" s="44" t="n">
        <f aca="false">VALUE(MONTH(H85))</f>
        <v>6</v>
      </c>
      <c r="J85" s="45" t="n">
        <v>41</v>
      </c>
      <c r="K85" s="46" t="n">
        <v>9.99</v>
      </c>
      <c r="L85" s="47" t="n">
        <f aca="false">K85*J85</f>
        <v>409.59</v>
      </c>
    </row>
    <row r="86" customFormat="false" ht="13" hidden="true" customHeight="false" outlineLevel="1" collapsed="false">
      <c r="B86" s="41" t="n">
        <v>23323</v>
      </c>
      <c r="C86" s="41" t="s">
        <v>241</v>
      </c>
      <c r="D86" s="41" t="s">
        <v>242</v>
      </c>
      <c r="E86" s="41" t="s">
        <v>207</v>
      </c>
      <c r="F86" s="42" t="s">
        <v>208</v>
      </c>
      <c r="G86" s="41" t="s">
        <v>75</v>
      </c>
      <c r="H86" s="43" t="n">
        <v>41272</v>
      </c>
      <c r="I86" s="44" t="n">
        <f aca="false">VALUE(MONTH(H86))</f>
        <v>12</v>
      </c>
      <c r="J86" s="45" t="n">
        <v>135</v>
      </c>
      <c r="K86" s="46" t="n">
        <v>3</v>
      </c>
      <c r="L86" s="47" t="n">
        <f aca="false">K86*J86</f>
        <v>405</v>
      </c>
    </row>
    <row r="87" customFormat="false" ht="13" hidden="true" customHeight="false" outlineLevel="1" collapsed="false">
      <c r="B87" s="41" t="n">
        <v>23267</v>
      </c>
      <c r="C87" s="41" t="s">
        <v>243</v>
      </c>
      <c r="D87" s="41" t="s">
        <v>244</v>
      </c>
      <c r="E87" s="41" t="s">
        <v>207</v>
      </c>
      <c r="F87" s="42" t="s">
        <v>208</v>
      </c>
      <c r="G87" s="41" t="s">
        <v>75</v>
      </c>
      <c r="H87" s="43" t="n">
        <v>41101</v>
      </c>
      <c r="I87" s="44" t="n">
        <f aca="false">VALUE(MONTH(H87))</f>
        <v>7</v>
      </c>
      <c r="J87" s="45" t="n">
        <v>129</v>
      </c>
      <c r="K87" s="46" t="n">
        <v>3</v>
      </c>
      <c r="L87" s="47" t="n">
        <f aca="false">K87*J87</f>
        <v>387</v>
      </c>
    </row>
    <row r="88" customFormat="false" ht="13" hidden="true" customHeight="false" outlineLevel="1" collapsed="false">
      <c r="B88" s="41" t="n">
        <v>23340</v>
      </c>
      <c r="C88" s="41" t="s">
        <v>245</v>
      </c>
      <c r="D88" s="41" t="s">
        <v>246</v>
      </c>
      <c r="E88" s="41" t="s">
        <v>168</v>
      </c>
      <c r="F88" s="42" t="s">
        <v>169</v>
      </c>
      <c r="G88" s="41" t="s">
        <v>75</v>
      </c>
      <c r="H88" s="43" t="n">
        <v>41095</v>
      </c>
      <c r="I88" s="44" t="n">
        <f aca="false">VALUE(MONTH(H88))</f>
        <v>7</v>
      </c>
      <c r="J88" s="45" t="n">
        <v>85</v>
      </c>
      <c r="K88" s="46" t="n">
        <v>4.5</v>
      </c>
      <c r="L88" s="47" t="n">
        <f aca="false">K88*J88</f>
        <v>382.5</v>
      </c>
    </row>
    <row r="89" customFormat="false" ht="13" hidden="true" customHeight="false" outlineLevel="1" collapsed="false">
      <c r="B89" s="41" t="n">
        <v>23269</v>
      </c>
      <c r="C89" s="41" t="s">
        <v>247</v>
      </c>
      <c r="D89" s="41" t="s">
        <v>229</v>
      </c>
      <c r="E89" s="41" t="s">
        <v>207</v>
      </c>
      <c r="F89" s="42" t="s">
        <v>208</v>
      </c>
      <c r="G89" s="41" t="s">
        <v>75</v>
      </c>
      <c r="H89" s="43" t="n">
        <v>41063</v>
      </c>
      <c r="I89" s="44" t="n">
        <f aca="false">VALUE(MONTH(H89))</f>
        <v>6</v>
      </c>
      <c r="J89" s="45" t="n">
        <v>116</v>
      </c>
      <c r="K89" s="46" t="n">
        <v>3</v>
      </c>
      <c r="L89" s="47" t="n">
        <f aca="false">K89*J89</f>
        <v>348</v>
      </c>
    </row>
    <row r="90" customFormat="false" ht="13" hidden="true" customHeight="false" outlineLevel="1" collapsed="false">
      <c r="B90" s="41" t="n">
        <v>23308</v>
      </c>
      <c r="C90" s="41" t="s">
        <v>248</v>
      </c>
      <c r="D90" s="41" t="s">
        <v>249</v>
      </c>
      <c r="E90" s="41" t="s">
        <v>207</v>
      </c>
      <c r="F90" s="42" t="s">
        <v>208</v>
      </c>
      <c r="G90" s="41" t="s">
        <v>81</v>
      </c>
      <c r="H90" s="43" t="n">
        <v>41099</v>
      </c>
      <c r="I90" s="44" t="n">
        <f aca="false">VALUE(MONTH(H90))</f>
        <v>7</v>
      </c>
      <c r="J90" s="45" t="n">
        <v>112</v>
      </c>
      <c r="K90" s="46" t="n">
        <v>3</v>
      </c>
      <c r="L90" s="47" t="n">
        <f aca="false">K90*J90</f>
        <v>336</v>
      </c>
    </row>
    <row r="91" customFormat="false" ht="13" hidden="true" customHeight="false" outlineLevel="1" collapsed="false">
      <c r="B91" s="41" t="n">
        <v>23356</v>
      </c>
      <c r="C91" s="41" t="s">
        <v>250</v>
      </c>
      <c r="D91" s="41" t="s">
        <v>251</v>
      </c>
      <c r="E91" s="41" t="s">
        <v>158</v>
      </c>
      <c r="F91" s="42" t="s">
        <v>159</v>
      </c>
      <c r="G91" s="41" t="s">
        <v>75</v>
      </c>
      <c r="H91" s="43" t="n">
        <v>41081</v>
      </c>
      <c r="I91" s="44" t="n">
        <f aca="false">VALUE(MONTH(H91))</f>
        <v>6</v>
      </c>
      <c r="J91" s="45" t="n">
        <v>80</v>
      </c>
      <c r="K91" s="46" t="n">
        <v>3.99</v>
      </c>
      <c r="L91" s="47" t="n">
        <f aca="false">K91*J91</f>
        <v>319.2</v>
      </c>
    </row>
    <row r="92" customFormat="false" ht="13" hidden="true" customHeight="false" outlineLevel="1" collapsed="false">
      <c r="B92" s="41" t="n">
        <v>23318</v>
      </c>
      <c r="C92" s="41" t="s">
        <v>252</v>
      </c>
      <c r="D92" s="41" t="s">
        <v>253</v>
      </c>
      <c r="E92" s="41" t="s">
        <v>130</v>
      </c>
      <c r="F92" s="42" t="s">
        <v>131</v>
      </c>
      <c r="G92" s="41" t="s">
        <v>75</v>
      </c>
      <c r="H92" s="43" t="n">
        <v>41099</v>
      </c>
      <c r="I92" s="44" t="n">
        <f aca="false">VALUE(MONTH(H92))</f>
        <v>7</v>
      </c>
      <c r="J92" s="45" t="n">
        <v>48</v>
      </c>
      <c r="K92" s="46" t="n">
        <v>6.5</v>
      </c>
      <c r="L92" s="47" t="n">
        <f aca="false">K92*J92</f>
        <v>312</v>
      </c>
    </row>
    <row r="93" customFormat="false" ht="13" hidden="true" customHeight="false" outlineLevel="1" collapsed="false">
      <c r="B93" s="41" t="n">
        <v>23357</v>
      </c>
      <c r="C93" s="41" t="s">
        <v>254</v>
      </c>
      <c r="D93" s="41" t="s">
        <v>210</v>
      </c>
      <c r="E93" s="41" t="s">
        <v>134</v>
      </c>
      <c r="F93" s="42" t="s">
        <v>135</v>
      </c>
      <c r="G93" s="41" t="s">
        <v>81</v>
      </c>
      <c r="H93" s="43" t="n">
        <v>41107</v>
      </c>
      <c r="I93" s="44" t="n">
        <f aca="false">VALUE(MONTH(H93))</f>
        <v>7</v>
      </c>
      <c r="J93" s="45" t="n">
        <v>50</v>
      </c>
      <c r="K93" s="46" t="n">
        <v>6</v>
      </c>
      <c r="L93" s="47" t="n">
        <f aca="false">K93*J93</f>
        <v>300</v>
      </c>
    </row>
    <row r="94" customFormat="false" ht="13" hidden="true" customHeight="false" outlineLevel="1" collapsed="false">
      <c r="B94" s="41" t="n">
        <v>23377</v>
      </c>
      <c r="C94" s="41" t="s">
        <v>255</v>
      </c>
      <c r="D94" s="41" t="s">
        <v>198</v>
      </c>
      <c r="E94" s="41" t="s">
        <v>171</v>
      </c>
      <c r="F94" s="42" t="s">
        <v>172</v>
      </c>
      <c r="G94" s="41" t="s">
        <v>75</v>
      </c>
      <c r="H94" s="43" t="n">
        <v>41075</v>
      </c>
      <c r="I94" s="44" t="n">
        <f aca="false">VALUE(MONTH(H94))</f>
        <v>6</v>
      </c>
      <c r="J94" s="45" t="n">
        <v>43</v>
      </c>
      <c r="K94" s="46" t="n">
        <v>6.5</v>
      </c>
      <c r="L94" s="47" t="n">
        <f aca="false">K94*J94</f>
        <v>279.5</v>
      </c>
    </row>
    <row r="95" customFormat="false" ht="13" hidden="true" customHeight="false" outlineLevel="1" collapsed="false">
      <c r="B95" s="41" t="n">
        <v>23311</v>
      </c>
      <c r="C95" s="41" t="s">
        <v>256</v>
      </c>
      <c r="D95" s="41" t="s">
        <v>257</v>
      </c>
      <c r="E95" s="41" t="s">
        <v>73</v>
      </c>
      <c r="F95" s="42" t="s">
        <v>74</v>
      </c>
      <c r="G95" s="41" t="s">
        <v>81</v>
      </c>
      <c r="H95" s="43" t="n">
        <v>41072</v>
      </c>
      <c r="I95" s="44" t="n">
        <f aca="false">VALUE(MONTH(H95))</f>
        <v>6</v>
      </c>
      <c r="J95" s="45" t="n">
        <v>18</v>
      </c>
      <c r="K95" s="46" t="n">
        <v>14.5</v>
      </c>
      <c r="L95" s="47" t="n">
        <f aca="false">K95*J95</f>
        <v>261</v>
      </c>
    </row>
    <row r="96" customFormat="false" ht="13" hidden="true" customHeight="false" outlineLevel="1" collapsed="false">
      <c r="B96" s="41" t="n">
        <v>23379</v>
      </c>
      <c r="C96" s="41" t="s">
        <v>258</v>
      </c>
      <c r="D96" s="41" t="s">
        <v>259</v>
      </c>
      <c r="E96" s="41" t="s">
        <v>158</v>
      </c>
      <c r="F96" s="42" t="s">
        <v>159</v>
      </c>
      <c r="G96" s="41" t="s">
        <v>75</v>
      </c>
      <c r="H96" s="43" t="n">
        <v>41270</v>
      </c>
      <c r="I96" s="44" t="n">
        <f aca="false">VALUE(MONTH(H96))</f>
        <v>12</v>
      </c>
      <c r="J96" s="45" t="n">
        <v>65</v>
      </c>
      <c r="K96" s="46" t="n">
        <v>3.99</v>
      </c>
      <c r="L96" s="47" t="n">
        <f aca="false">K96*J96</f>
        <v>259.35</v>
      </c>
    </row>
    <row r="97" customFormat="false" ht="13" hidden="true" customHeight="false" outlineLevel="1" collapsed="false">
      <c r="B97" s="41" t="n">
        <v>23360</v>
      </c>
      <c r="C97" s="41" t="s">
        <v>260</v>
      </c>
      <c r="D97" s="41" t="s">
        <v>244</v>
      </c>
      <c r="E97" s="41" t="s">
        <v>116</v>
      </c>
      <c r="F97" s="42" t="s">
        <v>117</v>
      </c>
      <c r="G97" s="41" t="s">
        <v>75</v>
      </c>
      <c r="H97" s="43" t="n">
        <v>41073</v>
      </c>
      <c r="I97" s="44" t="n">
        <f aca="false">VALUE(MONTH(H97))</f>
        <v>6</v>
      </c>
      <c r="J97" s="45" t="n">
        <v>37</v>
      </c>
      <c r="K97" s="46" t="n">
        <v>6.99</v>
      </c>
      <c r="L97" s="47" t="n">
        <f aca="false">K97*J97</f>
        <v>258.63</v>
      </c>
    </row>
    <row r="98" customFormat="false" ht="13" hidden="true" customHeight="false" outlineLevel="1" collapsed="false">
      <c r="B98" s="41" t="n">
        <v>23339</v>
      </c>
      <c r="C98" s="41" t="s">
        <v>261</v>
      </c>
      <c r="D98" s="41" t="s">
        <v>262</v>
      </c>
      <c r="E98" s="41" t="s">
        <v>134</v>
      </c>
      <c r="F98" s="42" t="s">
        <v>135</v>
      </c>
      <c r="G98" s="41" t="s">
        <v>75</v>
      </c>
      <c r="H98" s="43" t="n">
        <v>41101</v>
      </c>
      <c r="I98" s="44" t="n">
        <f aca="false">VALUE(MONTH(H98))</f>
        <v>7</v>
      </c>
      <c r="J98" s="45" t="n">
        <v>41</v>
      </c>
      <c r="K98" s="46" t="n">
        <v>6</v>
      </c>
      <c r="L98" s="47" t="n">
        <f aca="false">K98*J98</f>
        <v>246</v>
      </c>
    </row>
    <row r="99" customFormat="false" ht="13" hidden="true" customHeight="false" outlineLevel="1" collapsed="false">
      <c r="B99" s="41" t="n">
        <v>23341</v>
      </c>
      <c r="C99" s="41" t="s">
        <v>263</v>
      </c>
      <c r="D99" s="41" t="s">
        <v>264</v>
      </c>
      <c r="E99" s="41" t="s">
        <v>207</v>
      </c>
      <c r="F99" s="42" t="s">
        <v>208</v>
      </c>
      <c r="G99" s="41" t="s">
        <v>81</v>
      </c>
      <c r="H99" s="43" t="n">
        <v>41026</v>
      </c>
      <c r="I99" s="44" t="n">
        <f aca="false">VALUE(MONTH(H99))</f>
        <v>4</v>
      </c>
      <c r="J99" s="45" t="n">
        <v>77</v>
      </c>
      <c r="K99" s="46" t="n">
        <v>3</v>
      </c>
      <c r="L99" s="47" t="n">
        <f aca="false">K99*J99</f>
        <v>231</v>
      </c>
    </row>
    <row r="100" customFormat="false" ht="13" hidden="true" customHeight="false" outlineLevel="1" collapsed="false">
      <c r="B100" s="41" t="n">
        <v>23374</v>
      </c>
      <c r="C100" s="41" t="s">
        <v>265</v>
      </c>
      <c r="D100" s="41" t="s">
        <v>266</v>
      </c>
      <c r="E100" s="41" t="s">
        <v>158</v>
      </c>
      <c r="F100" s="42" t="s">
        <v>159</v>
      </c>
      <c r="G100" s="41" t="s">
        <v>75</v>
      </c>
      <c r="H100" s="43" t="n">
        <v>41257</v>
      </c>
      <c r="I100" s="44" t="n">
        <f aca="false">VALUE(MONTH(H100))</f>
        <v>12</v>
      </c>
      <c r="J100" s="45" t="n">
        <v>57</v>
      </c>
      <c r="K100" s="46" t="n">
        <v>3.99</v>
      </c>
      <c r="L100" s="47" t="n">
        <f aca="false">K100*J100</f>
        <v>227.43</v>
      </c>
    </row>
    <row r="101" customFormat="false" ht="13" hidden="true" customHeight="false" outlineLevel="1" collapsed="false">
      <c r="B101" s="41" t="n">
        <v>23273</v>
      </c>
      <c r="C101" s="41" t="s">
        <v>267</v>
      </c>
      <c r="D101" s="41" t="s">
        <v>268</v>
      </c>
      <c r="E101" s="41" t="s">
        <v>92</v>
      </c>
      <c r="F101" s="42" t="s">
        <v>93</v>
      </c>
      <c r="G101" s="41" t="s">
        <v>75</v>
      </c>
      <c r="H101" s="43" t="n">
        <v>41256</v>
      </c>
      <c r="I101" s="44" t="n">
        <f aca="false">VALUE(MONTH(H101))</f>
        <v>12</v>
      </c>
      <c r="J101" s="45" t="n">
        <v>22</v>
      </c>
      <c r="K101" s="46" t="n">
        <v>9.99</v>
      </c>
      <c r="L101" s="47" t="n">
        <f aca="false">K101*J101</f>
        <v>219.78</v>
      </c>
    </row>
    <row r="102" customFormat="false" ht="13" hidden="true" customHeight="false" outlineLevel="1" collapsed="false">
      <c r="B102" s="41" t="n">
        <v>23280</v>
      </c>
      <c r="C102" s="41" t="s">
        <v>269</v>
      </c>
      <c r="D102" s="41" t="s">
        <v>91</v>
      </c>
      <c r="E102" s="41" t="s">
        <v>116</v>
      </c>
      <c r="F102" s="42" t="s">
        <v>117</v>
      </c>
      <c r="G102" s="41" t="s">
        <v>75</v>
      </c>
      <c r="H102" s="43" t="n">
        <v>41002</v>
      </c>
      <c r="I102" s="44" t="n">
        <f aca="false">VALUE(MONTH(H102))</f>
        <v>4</v>
      </c>
      <c r="J102" s="45" t="n">
        <v>30</v>
      </c>
      <c r="K102" s="46" t="n">
        <v>6.99</v>
      </c>
      <c r="L102" s="47" t="n">
        <f aca="false">K102*J102</f>
        <v>209.7</v>
      </c>
    </row>
    <row r="103" customFormat="false" ht="13" hidden="true" customHeight="false" outlineLevel="1" collapsed="false">
      <c r="B103" s="41" t="n">
        <v>23370</v>
      </c>
      <c r="C103" s="41" t="s">
        <v>270</v>
      </c>
      <c r="D103" s="41" t="s">
        <v>133</v>
      </c>
      <c r="E103" s="41" t="s">
        <v>207</v>
      </c>
      <c r="F103" s="42" t="s">
        <v>208</v>
      </c>
      <c r="G103" s="41" t="s">
        <v>81</v>
      </c>
      <c r="H103" s="43" t="n">
        <v>41028</v>
      </c>
      <c r="I103" s="44" t="n">
        <f aca="false">VALUE(MONTH(H103))</f>
        <v>4</v>
      </c>
      <c r="J103" s="45" t="n">
        <v>63</v>
      </c>
      <c r="K103" s="46" t="n">
        <v>3</v>
      </c>
      <c r="L103" s="47" t="n">
        <f aca="false">K103*J103</f>
        <v>189</v>
      </c>
    </row>
    <row r="104" customFormat="false" ht="13" hidden="true" customHeight="false" outlineLevel="1" collapsed="false">
      <c r="B104" s="41" t="n">
        <v>23372</v>
      </c>
      <c r="C104" s="41" t="s">
        <v>271</v>
      </c>
      <c r="D104" s="41" t="s">
        <v>272</v>
      </c>
      <c r="E104" s="41" t="s">
        <v>171</v>
      </c>
      <c r="F104" s="42" t="s">
        <v>172</v>
      </c>
      <c r="G104" s="41" t="s">
        <v>75</v>
      </c>
      <c r="H104" s="43" t="n">
        <v>41255</v>
      </c>
      <c r="I104" s="44" t="n">
        <f aca="false">VALUE(MONTH(H104))</f>
        <v>12</v>
      </c>
      <c r="J104" s="45" t="n">
        <v>22</v>
      </c>
      <c r="K104" s="46" t="n">
        <v>6.5</v>
      </c>
      <c r="L104" s="47" t="n">
        <f aca="false">K104*J104</f>
        <v>143</v>
      </c>
    </row>
    <row r="105" customFormat="false" ht="13" hidden="true" customHeight="false" outlineLevel="1" collapsed="false">
      <c r="B105" s="41" t="n">
        <v>23265</v>
      </c>
      <c r="C105" s="41" t="s">
        <v>273</v>
      </c>
      <c r="D105" s="41" t="s">
        <v>274</v>
      </c>
      <c r="E105" s="41" t="s">
        <v>92</v>
      </c>
      <c r="F105" s="42" t="s">
        <v>93</v>
      </c>
      <c r="G105" s="41" t="s">
        <v>81</v>
      </c>
      <c r="H105" s="43" t="n">
        <v>41248</v>
      </c>
      <c r="I105" s="44" t="n">
        <f aca="false">VALUE(MONTH(H105))</f>
        <v>12</v>
      </c>
      <c r="J105" s="45" t="n">
        <v>14</v>
      </c>
      <c r="K105" s="46" t="n">
        <v>9.99</v>
      </c>
      <c r="L105" s="47" t="n">
        <f aca="false">K105*J105</f>
        <v>139.86</v>
      </c>
    </row>
    <row r="106" customFormat="false" ht="13" hidden="true" customHeight="false" outlineLevel="1" collapsed="false">
      <c r="B106" s="41" t="n">
        <v>23346</v>
      </c>
      <c r="C106" s="41" t="s">
        <v>275</v>
      </c>
      <c r="D106" s="41" t="s">
        <v>190</v>
      </c>
      <c r="E106" s="41" t="s">
        <v>92</v>
      </c>
      <c r="F106" s="42" t="s">
        <v>93</v>
      </c>
      <c r="G106" s="41" t="s">
        <v>75</v>
      </c>
      <c r="H106" s="43" t="n">
        <v>41119</v>
      </c>
      <c r="I106" s="44" t="n">
        <f aca="false">VALUE(MONTH(H106))</f>
        <v>7</v>
      </c>
      <c r="J106" s="45" t="n">
        <v>13</v>
      </c>
      <c r="K106" s="46" t="n">
        <v>9.99</v>
      </c>
      <c r="L106" s="47" t="n">
        <f aca="false">K106*J106</f>
        <v>129.87</v>
      </c>
    </row>
    <row r="107" customFormat="false" ht="13" hidden="true" customHeight="false" outlineLevel="1" collapsed="false">
      <c r="B107" s="41" t="n">
        <v>23312</v>
      </c>
      <c r="C107" s="41" t="s">
        <v>276</v>
      </c>
      <c r="D107" s="41" t="s">
        <v>277</v>
      </c>
      <c r="E107" s="41" t="s">
        <v>158</v>
      </c>
      <c r="F107" s="42" t="s">
        <v>159</v>
      </c>
      <c r="G107" s="41" t="s">
        <v>75</v>
      </c>
      <c r="H107" s="43" t="n">
        <v>41096</v>
      </c>
      <c r="I107" s="44" t="n">
        <f aca="false">VALUE(MONTH(H107))</f>
        <v>7</v>
      </c>
      <c r="J107" s="45" t="n">
        <v>28</v>
      </c>
      <c r="K107" s="46" t="n">
        <v>3.99</v>
      </c>
      <c r="L107" s="47" t="n">
        <f aca="false">K107*J107</f>
        <v>111.72</v>
      </c>
    </row>
    <row r="108" customFormat="false" ht="13" hidden="true" customHeight="false" outlineLevel="1" collapsed="false">
      <c r="B108" s="41" t="n">
        <v>23355</v>
      </c>
      <c r="C108" s="41" t="s">
        <v>278</v>
      </c>
      <c r="D108" s="41" t="s">
        <v>186</v>
      </c>
      <c r="E108" s="41" t="s">
        <v>144</v>
      </c>
      <c r="F108" s="42" t="s">
        <v>145</v>
      </c>
      <c r="G108" s="41" t="s">
        <v>75</v>
      </c>
      <c r="H108" s="43" t="n">
        <v>41026</v>
      </c>
      <c r="I108" s="44" t="n">
        <f aca="false">VALUE(MONTH(H108))</f>
        <v>4</v>
      </c>
      <c r="J108" s="45" t="n">
        <v>16</v>
      </c>
      <c r="K108" s="46" t="n">
        <v>4.5</v>
      </c>
      <c r="L108" s="47" t="n">
        <f aca="false">K108*J108</f>
        <v>72</v>
      </c>
    </row>
    <row r="109" customFormat="false" ht="13" hidden="true" customHeight="false" outlineLevel="1" collapsed="false">
      <c r="B109" s="41" t="n">
        <v>23322</v>
      </c>
      <c r="C109" s="41" t="s">
        <v>279</v>
      </c>
      <c r="D109" s="41" t="s">
        <v>147</v>
      </c>
      <c r="E109" s="41" t="s">
        <v>207</v>
      </c>
      <c r="F109" s="42" t="s">
        <v>208</v>
      </c>
      <c r="G109" s="41" t="s">
        <v>81</v>
      </c>
      <c r="H109" s="43" t="n">
        <v>41009</v>
      </c>
      <c r="I109" s="44" t="n">
        <f aca="false">VALUE(MONTH(H109))</f>
        <v>4</v>
      </c>
      <c r="J109" s="45" t="n">
        <v>20</v>
      </c>
      <c r="K109" s="46" t="n">
        <v>3</v>
      </c>
      <c r="L109" s="47" t="n">
        <f aca="false">K109*J109</f>
        <v>60</v>
      </c>
    </row>
    <row r="110" customFormat="false" ht="13" hidden="true" customHeight="false" outlineLevel="1" collapsed="false">
      <c r="B110" s="41" t="n">
        <v>23298</v>
      </c>
      <c r="C110" s="41" t="s">
        <v>280</v>
      </c>
      <c r="D110" s="41" t="s">
        <v>281</v>
      </c>
      <c r="E110" s="41" t="s">
        <v>144</v>
      </c>
      <c r="F110" s="42" t="s">
        <v>145</v>
      </c>
      <c r="G110" s="41" t="s">
        <v>78</v>
      </c>
      <c r="H110" s="43" t="n">
        <v>41118</v>
      </c>
      <c r="I110" s="44" t="n">
        <f aca="false">VALUE(MONTH(H110))</f>
        <v>7</v>
      </c>
      <c r="J110" s="45" t="n">
        <v>12</v>
      </c>
      <c r="K110" s="46" t="n">
        <v>4.5</v>
      </c>
      <c r="L110" s="47" t="n">
        <f aca="false">K110*J110</f>
        <v>54</v>
      </c>
    </row>
    <row r="111" customFormat="false" ht="13" hidden="true" customHeight="false" outlineLevel="1" collapsed="false">
      <c r="B111" s="41" t="n">
        <v>23367</v>
      </c>
      <c r="C111" s="41" t="s">
        <v>282</v>
      </c>
      <c r="D111" s="41" t="s">
        <v>283</v>
      </c>
      <c r="E111" s="41" t="s">
        <v>144</v>
      </c>
      <c r="F111" s="42" t="s">
        <v>145</v>
      </c>
      <c r="G111" s="41" t="s">
        <v>81</v>
      </c>
      <c r="H111" s="43" t="n">
        <v>41023</v>
      </c>
      <c r="I111" s="44" t="n">
        <f aca="false">VALUE(MONTH(H111))</f>
        <v>4</v>
      </c>
      <c r="J111" s="45" t="n">
        <v>10</v>
      </c>
      <c r="K111" s="46" t="n">
        <v>4.5</v>
      </c>
      <c r="L111" s="47" t="n">
        <f aca="false">K111*J111</f>
        <v>45</v>
      </c>
    </row>
    <row r="112" customFormat="false" ht="13" hidden="true" customHeight="false" outlineLevel="1" collapsed="false">
      <c r="B112" s="41" t="n">
        <v>23334</v>
      </c>
      <c r="C112" s="41" t="s">
        <v>284</v>
      </c>
      <c r="D112" s="41" t="s">
        <v>178</v>
      </c>
      <c r="E112" s="41" t="s">
        <v>207</v>
      </c>
      <c r="F112" s="42" t="s">
        <v>208</v>
      </c>
      <c r="G112" s="41" t="s">
        <v>75</v>
      </c>
      <c r="H112" s="43" t="n">
        <v>41260</v>
      </c>
      <c r="I112" s="44" t="n">
        <f aca="false">VALUE(MONTH(H112))</f>
        <v>12</v>
      </c>
      <c r="J112" s="45" t="n">
        <v>14</v>
      </c>
      <c r="K112" s="46" t="n">
        <v>3</v>
      </c>
      <c r="L112" s="47" t="n">
        <f aca="false">K112*J112</f>
        <v>42</v>
      </c>
    </row>
    <row r="113" customFormat="false" ht="13" hidden="true" customHeight="false" outlineLevel="1" collapsed="false">
      <c r="B113" s="41" t="n">
        <v>23285</v>
      </c>
      <c r="C113" s="41" t="s">
        <v>285</v>
      </c>
      <c r="D113" s="41" t="s">
        <v>198</v>
      </c>
      <c r="E113" s="41" t="s">
        <v>168</v>
      </c>
      <c r="F113" s="42" t="s">
        <v>169</v>
      </c>
      <c r="G113" s="41" t="s">
        <v>81</v>
      </c>
      <c r="H113" s="43" t="n">
        <v>41114</v>
      </c>
      <c r="I113" s="44" t="n">
        <f aca="false">VALUE(MONTH(H113))</f>
        <v>7</v>
      </c>
      <c r="J113" s="45" t="n">
        <v>9</v>
      </c>
      <c r="K113" s="46" t="n">
        <v>4.5</v>
      </c>
      <c r="L113" s="47" t="n">
        <f aca="false">K113*J113</f>
        <v>40.5</v>
      </c>
    </row>
    <row r="114" customFormat="false" ht="13" hidden="true" customHeight="false" outlineLevel="1" collapsed="false">
      <c r="B114" s="41" t="n">
        <v>23375</v>
      </c>
      <c r="C114" s="41" t="s">
        <v>286</v>
      </c>
      <c r="D114" s="41" t="s">
        <v>186</v>
      </c>
      <c r="E114" s="41" t="s">
        <v>116</v>
      </c>
      <c r="F114" s="42" t="s">
        <v>117</v>
      </c>
      <c r="G114" s="41" t="s">
        <v>81</v>
      </c>
      <c r="H114" s="43" t="n">
        <v>41029</v>
      </c>
      <c r="I114" s="44" t="n">
        <f aca="false">VALUE(MONTH(H114))</f>
        <v>4</v>
      </c>
      <c r="J114" s="45" t="n">
        <v>5</v>
      </c>
      <c r="K114" s="46" t="n">
        <v>6.99</v>
      </c>
      <c r="L114" s="47" t="n">
        <f aca="false">K114*J114</f>
        <v>34.95</v>
      </c>
    </row>
    <row r="115" customFormat="false" ht="13" hidden="true" customHeight="false" outlineLevel="1" collapsed="false">
      <c r="B115" s="41" t="n">
        <v>23336</v>
      </c>
      <c r="C115" s="41" t="s">
        <v>287</v>
      </c>
      <c r="D115" s="41" t="s">
        <v>288</v>
      </c>
      <c r="E115" s="41" t="s">
        <v>168</v>
      </c>
      <c r="F115" s="42" t="s">
        <v>169</v>
      </c>
      <c r="G115" s="41" t="s">
        <v>81</v>
      </c>
      <c r="H115" s="43" t="n">
        <v>41091</v>
      </c>
      <c r="I115" s="44" t="n">
        <f aca="false">VALUE(MONTH(H115))</f>
        <v>7</v>
      </c>
      <c r="J115" s="45" t="n">
        <v>7</v>
      </c>
      <c r="K115" s="46" t="n">
        <v>4.5</v>
      </c>
      <c r="L115" s="47" t="n">
        <f aca="false">K115*J115</f>
        <v>31.5</v>
      </c>
    </row>
    <row r="116" customFormat="false" ht="13" hidden="true" customHeight="false" outlineLevel="1" collapsed="false">
      <c r="B116" s="41" t="n">
        <v>23279</v>
      </c>
      <c r="C116" s="41" t="s">
        <v>289</v>
      </c>
      <c r="D116" s="41" t="s">
        <v>262</v>
      </c>
      <c r="E116" s="41" t="s">
        <v>207</v>
      </c>
      <c r="F116" s="42" t="s">
        <v>208</v>
      </c>
      <c r="G116" s="41" t="s">
        <v>75</v>
      </c>
      <c r="H116" s="43" t="n">
        <v>41020</v>
      </c>
      <c r="I116" s="44" t="n">
        <f aca="false">VALUE(MONTH(H116))</f>
        <v>4</v>
      </c>
      <c r="J116" s="45" t="n">
        <v>10</v>
      </c>
      <c r="K116" s="46" t="n">
        <v>3</v>
      </c>
      <c r="L116" s="47" t="n">
        <f aca="false">K116*J116</f>
        <v>30</v>
      </c>
    </row>
    <row r="117" customFormat="false" ht="13" hidden="true" customHeight="false" outlineLevel="1" collapsed="false">
      <c r="K117" s="52"/>
    </row>
    <row r="118" customFormat="false" ht="13" hidden="true" customHeight="false" outlineLevel="1" collapsed="false"/>
    <row r="119" customFormat="false" ht="13" hidden="true" customHeight="false" outlineLevel="1" collapsed="false"/>
    <row r="120" customFormat="false" ht="13" hidden="true" customHeight="false" outlineLevel="1" collapsed="false"/>
    <row r="121" customFormat="false" ht="18.5" hidden="false" customHeight="false" outlineLevel="0" collapsed="false">
      <c r="B121" s="10" t="s">
        <v>53</v>
      </c>
    </row>
    <row r="122" customFormat="false" ht="13" hidden="true" customHeight="false" outlineLevel="1" collapsed="false"/>
    <row r="123" customFormat="false" ht="13" hidden="true" customHeight="false" outlineLevel="1" collapsed="false">
      <c r="B123" s="2" t="s">
        <v>290</v>
      </c>
    </row>
    <row r="124" customFormat="false" ht="13.5" hidden="true" customHeight="false" outlineLevel="1" collapsed="false">
      <c r="D124" s="5"/>
    </row>
    <row r="125" customFormat="false" ht="13" hidden="true" customHeight="false" outlineLevel="1" collapsed="false">
      <c r="B125" s="53" t="s">
        <v>291</v>
      </c>
      <c r="C125" s="53"/>
      <c r="D125" s="33"/>
    </row>
    <row r="126" customFormat="false" ht="13" hidden="true" customHeight="false" outlineLevel="1" collapsed="false"/>
    <row r="127" customFormat="false" ht="13" hidden="true" customHeight="false" outlineLevel="1" collapsed="false">
      <c r="B127" s="2" t="s">
        <v>292</v>
      </c>
    </row>
    <row r="128" customFormat="false" ht="13" hidden="true" customHeight="false" outlineLevel="1" collapsed="false"/>
    <row r="129" customFormat="false" ht="13" hidden="true" customHeight="false" outlineLevel="1" collapsed="false">
      <c r="B129" s="53" t="s">
        <v>293</v>
      </c>
      <c r="C129" s="53"/>
      <c r="D129" s="33"/>
    </row>
    <row r="130" customFormat="false" ht="13" hidden="true" customHeight="false" outlineLevel="1" collapsed="false"/>
  </sheetData>
  <conditionalFormatting sqref="B10:L116">
    <cfRule type="expression" priority="2" aboveAverage="0" equalAverage="0" bottom="0" percent="0" rank="0" text="" dxfId="0">
      <formula>MOD(ROW(B10),2)</formula>
    </cfRule>
  </conditionalFormatting>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xl/worksheets/sheet8.xml><?xml version="1.0" encoding="utf-8"?>
<worksheet xmlns="http://schemas.openxmlformats.org/spreadsheetml/2006/main" xmlns:r="http://schemas.openxmlformats.org/officeDocument/2006/relationships">
  <sheetPr filterMode="false">
    <tabColor rgb="FFDB536A"/>
    <pageSetUpPr fitToPage="false"/>
  </sheetPr>
  <dimension ref="A1:D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 activeCellId="0" sqref="D1"/>
    </sheetView>
  </sheetViews>
  <sheetFormatPr defaultRowHeight="12" zeroHeight="false" outlineLevelRow="0" outlineLevelCol="0"/>
  <cols>
    <col collapsed="false" customWidth="true" hidden="false" outlineLevel="0" max="1" min="1" style="0" width="9.11"/>
    <col collapsed="false" customWidth="true" hidden="false" outlineLevel="0" max="2" min="2" style="0" width="113.79"/>
    <col collapsed="false" customWidth="true" hidden="true" outlineLevel="0" max="3" min="3" style="0" width="19"/>
    <col collapsed="false" customWidth="true" hidden="false" outlineLevel="0" max="4" min="4" style="0" width="24.1"/>
    <col collapsed="false" customWidth="true" hidden="false" outlineLevel="0" max="5" min="5" style="0" width="9.11"/>
    <col collapsed="false" customWidth="true" hidden="false" outlineLevel="0" max="6" min="6" style="0" width="13.11"/>
    <col collapsed="false" customWidth="true" hidden="false" outlineLevel="0" max="15" min="7" style="0" width="14"/>
    <col collapsed="false" customWidth="true" hidden="false" outlineLevel="0" max="1025" min="16" style="0" width="9.11"/>
  </cols>
  <sheetData>
    <row r="1" s="2" customFormat="true" ht="18.5" hidden="false" customHeight="false" outlineLevel="0" collapsed="false">
      <c r="A1" s="3" t="str">
        <f aca="false">Introduction!A1</f>
        <v>Problem Solving with Excel</v>
      </c>
    </row>
    <row r="2" s="2" customFormat="true" ht="13" hidden="false" customHeight="false" outlineLevel="0" collapsed="false">
      <c r="A2" s="4" t="str">
        <f aca="false">Introduction!A2</f>
        <v>Week 1</v>
      </c>
    </row>
    <row r="3" s="2" customFormat="true" ht="13" hidden="false" customHeight="false" outlineLevel="0" collapsed="false">
      <c r="A3" s="4" t="str">
        <f aca="false">Introduction!A3</f>
        <v>Basic Functionality</v>
      </c>
    </row>
    <row r="4" s="2" customFormat="true" ht="13" hidden="false" customHeight="false" outlineLevel="0" collapsed="false">
      <c r="A4" s="4" t="str">
        <f aca="true">MID(CELL("Filename",I7),SEARCH("]",CELL("Filename",I7),1)+1,100)</f>
        <v>Section 3 - Named Ranges (ANS)</v>
      </c>
    </row>
    <row r="5" s="2" customFormat="true" ht="13" hidden="false" customHeight="false" outlineLevel="0" collapsed="false"/>
    <row r="6" s="2" customFormat="true" ht="13" hidden="false" customHeight="false" outlineLevel="0" collapsed="false"/>
    <row r="7" customFormat="false" ht="13" hidden="false" customHeight="false" outlineLevel="0" collapsed="false">
      <c r="A7" s="2"/>
    </row>
    <row r="9" customFormat="false" ht="18.5" hidden="false" customHeight="false" outlineLevel="0" collapsed="false">
      <c r="B9" s="10" t="s">
        <v>53</v>
      </c>
      <c r="C9" s="2"/>
      <c r="D9" s="2"/>
    </row>
    <row r="10" customFormat="false" ht="13" hidden="false" customHeight="false" outlineLevel="0" collapsed="false">
      <c r="B10" s="2"/>
      <c r="C10" s="2"/>
      <c r="D10" s="2"/>
    </row>
    <row r="11" customFormat="false" ht="13" hidden="false" customHeight="false" outlineLevel="0" collapsed="false">
      <c r="B11" s="2" t="s">
        <v>290</v>
      </c>
      <c r="C11" s="2"/>
      <c r="D11" s="2"/>
    </row>
    <row r="12" customFormat="false" ht="13.5" hidden="false" customHeight="false" outlineLevel="0" collapsed="false">
      <c r="B12" s="2"/>
      <c r="C12" s="2"/>
      <c r="D12" s="5"/>
    </row>
    <row r="13" customFormat="false" ht="13" hidden="false" customHeight="false" outlineLevel="0" collapsed="false">
      <c r="B13" s="53" t="s">
        <v>291</v>
      </c>
      <c r="C13" s="53"/>
      <c r="D13" s="54" t="n">
        <f aca="false">SUM(QuantitySold)</f>
        <v>11376</v>
      </c>
    </row>
    <row r="14" customFormat="false" ht="13" hidden="false" customHeight="false" outlineLevel="0" collapsed="false">
      <c r="B14" s="2"/>
      <c r="C14" s="2"/>
      <c r="D14" s="2"/>
    </row>
    <row r="15" customFormat="false" ht="13" hidden="false" customHeight="false" outlineLevel="0" collapsed="false">
      <c r="B15" s="2" t="s">
        <v>292</v>
      </c>
      <c r="C15" s="2"/>
      <c r="D15" s="2"/>
    </row>
    <row r="16" customFormat="false" ht="13" hidden="false" customHeight="false" outlineLevel="0" collapsed="false">
      <c r="B16" s="2"/>
      <c r="C16" s="2"/>
      <c r="D16" s="2"/>
    </row>
    <row r="17" customFormat="false" ht="13" hidden="false" customHeight="false" outlineLevel="0" collapsed="false">
      <c r="B17" s="53" t="s">
        <v>293</v>
      </c>
      <c r="C17" s="53"/>
      <c r="D17" s="22" t="s">
        <v>294</v>
      </c>
    </row>
  </sheetData>
  <printOptions headings="false" gridLines="false" gridLinesSet="true" horizontalCentered="false" verticalCentered="false"/>
  <pageMargins left="0.3" right="0.3" top="0.3" bottom="0.3" header="0.2" footer="0.2"/>
  <pageSetup paperSize="1" scale="75" firstPageNumber="0" fitToWidth="1" fitToHeight="1" pageOrder="downThenOver" orientation="landscape" blackAndWhite="false" draft="false" cellComments="none" useFirstPageNumber="false" horizontalDpi="300" verticalDpi="300" copies="1"/>
  <headerFooter differentFirst="false" differentOddEven="false">
    <oddHeader>&amp;CTab: &amp;A</oddHeader>
    <oddFooter>&amp;L&amp;D &amp;T&amp;C&amp;Z&amp;F -- &amp;A&amp;R&amp;P/&amp;N</oddFooter>
  </headerFooter>
</worksheet>
</file>

<file path=docProps/app.xml><?xml version="1.0" encoding="utf-8"?>
<Properties xmlns="http://schemas.openxmlformats.org/officeDocument/2006/extended-properties" xmlns:vt="http://schemas.openxmlformats.org/officeDocument/2006/docPropsVTypes">
  <Template/>
  <TotalTime>27</TotalTime>
  <Application>LibreOffice/6.0.7.3$Linux_X86_64 LibreOffice_project/00m0$Build-3</Application>
  <Company>PricewaterhouseCoopers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2016-06-22T22:01:00Z</dcterms:created>
  <dc:creator>Matthew Jacobs</dc:creator>
  <dc:description/>
  <dc:language>en-US</dc:language>
  <cp:lastModifiedBy/>
  <dcterms:modified xsi:type="dcterms:W3CDTF">2020-07-05T17:43:31Z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BrandFormat">
    <vt:lpwstr>1.0</vt:lpwstr>
  </property>
  <property fmtid="{D5CDD505-2E9C-101B-9397-08002B2CF9AE}" pid="4" name="Company">
    <vt:lpwstr>PricewaterhouseCoopers</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Smrt_NotesFontSize">
    <vt:lpwstr>8</vt:lpwstr>
  </property>
  <property fmtid="{D5CDD505-2E9C-101B-9397-08002B2CF9AE}" pid="11" name="Smrt_WorkbookNumberDisplay">
    <vt:lpwstr>0</vt:lpwstr>
  </property>
  <property fmtid="{D5CDD505-2E9C-101B-9397-08002B2CF9AE}" pid="12" name="Smrt_WorkbookPercentageDisplay">
    <vt:lpwstr>0</vt:lpwstr>
  </property>
  <property fmtid="{D5CDD505-2E9C-101B-9397-08002B2CF9AE}" pid="13" name="Smrt_WorkbookThemeColor">
    <vt:lpwstr>PwC Maroon</vt:lpwstr>
  </property>
</Properties>
</file>